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VB\Desktop\ExcelParsing\input_files\"/>
    </mc:Choice>
  </mc:AlternateContent>
  <xr:revisionPtr revIDLastSave="0" documentId="10_ncr:100000_{A117365E-8231-413F-8401-41D3A1260E48}" xr6:coauthVersionLast="31" xr6:coauthVersionMax="31" xr10:uidLastSave="{00000000-0000-0000-0000-000000000000}"/>
  <bookViews>
    <workbookView xWindow="0" yWindow="0" windowWidth="19200" windowHeight="11064" activeTab="1" xr2:uid="{486DD34D-234A-4606-B1A2-0263CB90812E}"/>
  </bookViews>
  <sheets>
    <sheet name="Desired format" sheetId="2" r:id="rId1"/>
    <sheet name="Final Format" sheetId="3" r:id="rId2"/>
    <sheet name="Raw" sheetId="1" r:id="rId3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5" i="3" l="1"/>
  <c r="E94" i="3"/>
  <c r="D78" i="3"/>
  <c r="E78" i="3" s="1"/>
  <c r="D79" i="3" s="1"/>
  <c r="E79" i="3" s="1"/>
  <c r="D80" i="3" s="1"/>
  <c r="E80" i="3" s="1"/>
  <c r="D81" i="3" s="1"/>
  <c r="E81" i="3" s="1"/>
  <c r="D82" i="3" s="1"/>
  <c r="E82" i="3" s="1"/>
  <c r="D83" i="3" s="1"/>
  <c r="E83" i="3" s="1"/>
  <c r="D84" i="3" s="1"/>
  <c r="E84" i="3" s="1"/>
  <c r="D85" i="3" s="1"/>
  <c r="E85" i="3" s="1"/>
  <c r="D86" i="3" s="1"/>
  <c r="E86" i="3" s="1"/>
  <c r="D87" i="3" s="1"/>
  <c r="E87" i="3" s="1"/>
  <c r="D88" i="3" s="1"/>
  <c r="E88" i="3" s="1"/>
  <c r="D89" i="3" s="1"/>
  <c r="E89" i="3" s="1"/>
  <c r="D90" i="3" s="1"/>
  <c r="E90" i="3" s="1"/>
  <c r="D91" i="3" s="1"/>
  <c r="E91" i="3" s="1"/>
  <c r="D92" i="3" s="1"/>
  <c r="E92" i="3" s="1"/>
  <c r="D93" i="3" s="1"/>
  <c r="E93" i="3" s="1"/>
  <c r="E76" i="3"/>
  <c r="D66" i="3"/>
  <c r="E66" i="3" s="1"/>
  <c r="D45" i="3"/>
  <c r="H99" i="2"/>
  <c r="H98" i="2"/>
  <c r="C43" i="2"/>
  <c r="H43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H32" i="2"/>
  <c r="H33" i="2"/>
  <c r="H34" i="2"/>
  <c r="H35" i="2"/>
  <c r="H36" i="2"/>
  <c r="H37" i="2"/>
  <c r="H38" i="2"/>
  <c r="H39" i="2"/>
  <c r="H40" i="2"/>
  <c r="H41" i="2"/>
  <c r="H42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31" i="2"/>
  <c r="H67" i="2"/>
  <c r="H68" i="2"/>
  <c r="H69" i="2"/>
  <c r="H70" i="2"/>
  <c r="H71" i="2"/>
  <c r="H72" i="2"/>
  <c r="H66" i="2"/>
  <c r="H65" i="2"/>
  <c r="H74" i="2"/>
  <c r="C64" i="2"/>
  <c r="D64" i="2" s="1"/>
  <c r="D93" i="2"/>
  <c r="D74" i="2" s="1"/>
  <c r="C76" i="2"/>
  <c r="D76" i="2" s="1"/>
  <c r="C77" i="2" s="1"/>
  <c r="H11" i="2"/>
  <c r="D77" i="2" l="1"/>
  <c r="C78" i="2" s="1"/>
  <c r="D78" i="2" s="1"/>
  <c r="C79" i="2" s="1"/>
  <c r="D79" i="2" s="1"/>
  <c r="C80" i="2" s="1"/>
  <c r="D80" i="2" s="1"/>
  <c r="C81" i="2" s="1"/>
  <c r="D81" i="2" s="1"/>
  <c r="C82" i="2" s="1"/>
  <c r="D82" i="2" s="1"/>
  <c r="C83" i="2" s="1"/>
  <c r="D83" i="2" s="1"/>
  <c r="C84" i="2" s="1"/>
  <c r="D84" i="2" s="1"/>
  <c r="C85" i="2" s="1"/>
  <c r="D85" i="2" s="1"/>
  <c r="C86" i="2" s="1"/>
  <c r="D86" i="2" s="1"/>
  <c r="C87" i="2" s="1"/>
  <c r="D87" i="2" s="1"/>
  <c r="C88" i="2" s="1"/>
  <c r="D88" i="2" s="1"/>
  <c r="C89" i="2" s="1"/>
  <c r="D89" i="2" s="1"/>
  <c r="C90" i="2" s="1"/>
  <c r="D90" i="2" s="1"/>
  <c r="C91" i="2" s="1"/>
  <c r="D91" i="2" s="1"/>
  <c r="D92" i="2" s="1"/>
</calcChain>
</file>

<file path=xl/sharedStrings.xml><?xml version="1.0" encoding="utf-8"?>
<sst xmlns="http://schemas.openxmlformats.org/spreadsheetml/2006/main" count="2640" uniqueCount="924">
  <si>
    <t>Activity ID</t>
  </si>
  <si>
    <t>Activity Name</t>
  </si>
  <si>
    <t>Original Duration</t>
  </si>
  <si>
    <t>Start</t>
  </si>
  <si>
    <t>Finish</t>
  </si>
  <si>
    <t>Budgeted Total Cost</t>
  </si>
  <si>
    <t>Remaining Total Cost</t>
  </si>
  <si>
    <t>PDGT GMD Channel Count</t>
  </si>
  <si>
    <t>Primary Resource</t>
  </si>
  <si>
    <t>GPM Location</t>
  </si>
  <si>
    <t>950-962 MWL AU2020</t>
  </si>
  <si>
    <t>15-Jun-15 A</t>
  </si>
  <si>
    <t xml:space="preserve">  Project Management</t>
  </si>
  <si>
    <t>02-Jan-18 A</t>
  </si>
  <si>
    <t xml:space="preserve">    950/962 AU20-19595</t>
  </si>
  <si>
    <t>Project Management 2018</t>
  </si>
  <si>
    <t>21-Dec-18 A</t>
  </si>
  <si>
    <t>guppyam.Guppy Amy M</t>
  </si>
  <si>
    <t>PPG</t>
  </si>
  <si>
    <t xml:space="preserve">    950/962 AU20-24075</t>
  </si>
  <si>
    <t>Project Management 2019</t>
  </si>
  <si>
    <t>02-Jan-19 A</t>
  </si>
  <si>
    <t xml:space="preserve">    950/962 AU20-24080</t>
  </si>
  <si>
    <t>Project Management 2020</t>
  </si>
  <si>
    <t>02-Jan-20*</t>
  </si>
  <si>
    <t xml:space="preserve">  Management Support</t>
  </si>
  <si>
    <t xml:space="preserve">    950/962 AU20-1160</t>
  </si>
  <si>
    <t>Start PM</t>
  </si>
  <si>
    <t xml:space="preserve">  Sound Work</t>
  </si>
  <si>
    <t xml:space="preserve">    950/962 AU20-26860</t>
  </si>
  <si>
    <t>950 Plate Frame Sound VPD Optimization</t>
  </si>
  <si>
    <t>15-Feb-19*</t>
  </si>
  <si>
    <t>01-55700-400.TSD557MGT - SEC00 RES400 GLOBAL SOUND SOLUTIONS-NA - Management Labor-Program</t>
  </si>
  <si>
    <t xml:space="preserve">    950/962 AU20-26890</t>
  </si>
  <si>
    <t>Sound Validation Engineer Support 950XE  - 2019</t>
  </si>
  <si>
    <t>01-Mar-19*</t>
  </si>
  <si>
    <t xml:space="preserve">  Key Project Milestones</t>
  </si>
  <si>
    <t>30-Nov-15 A</t>
  </si>
  <si>
    <t xml:space="preserve">    950/962 AU20-1100</t>
  </si>
  <si>
    <t>Start Project</t>
  </si>
  <si>
    <t>GREENCD2.Green Christopher D</t>
  </si>
  <si>
    <t xml:space="preserve">    950/962 AU20-1040</t>
  </si>
  <si>
    <t>NPI Launch</t>
  </si>
  <si>
    <t>16-Dec-15 A</t>
  </si>
  <si>
    <t xml:space="preserve">    950/962 AU20-1110</t>
  </si>
  <si>
    <t>Testbed Build</t>
  </si>
  <si>
    <t>01-Jun-16 A</t>
  </si>
  <si>
    <t xml:space="preserve">    950/962 AU20-1120</t>
  </si>
  <si>
    <t>Prototype Build</t>
  </si>
  <si>
    <t>01-Nov-16 A</t>
  </si>
  <si>
    <t>shahvb.Shah Viresh B</t>
  </si>
  <si>
    <t xml:space="preserve">    950/962 AU20-20150</t>
  </si>
  <si>
    <t>NPI Gate 1</t>
  </si>
  <si>
    <t>13-Jun-17 A</t>
  </si>
  <si>
    <t xml:space="preserve">    950/962 AU20-1320</t>
  </si>
  <si>
    <t>Protoype Design Freeze</t>
  </si>
  <si>
    <t>24-Jul-17 A</t>
  </si>
  <si>
    <t xml:space="preserve">    950/962 AU20-20280</t>
  </si>
  <si>
    <t>NPI Gate 2/3</t>
  </si>
  <si>
    <t>10-Aug-18 A</t>
  </si>
  <si>
    <t xml:space="preserve">    950/962 AU20-1330</t>
  </si>
  <si>
    <t>Pilot Design Freeze</t>
  </si>
  <si>
    <t>13-Mar-20*</t>
  </si>
  <si>
    <t xml:space="preserve">    950/962 AU20-20990</t>
  </si>
  <si>
    <t>NPI Gate 4/5 for 950</t>
  </si>
  <si>
    <t>11-Sep-20*</t>
  </si>
  <si>
    <t xml:space="preserve">    950/962 AU20-21010</t>
  </si>
  <si>
    <t>NPI Gate 5.5 for 950</t>
  </si>
  <si>
    <t>16-Oct-20*</t>
  </si>
  <si>
    <t xml:space="preserve">    950/962 AU20-1130</t>
  </si>
  <si>
    <t>Pilot Build</t>
  </si>
  <si>
    <t xml:space="preserve">    950/962 AU20-1020</t>
  </si>
  <si>
    <t>NPI Gate 6 for 950</t>
  </si>
  <si>
    <t>14-Jan-22*</t>
  </si>
  <si>
    <t xml:space="preserve">    950/962 AU20-1140</t>
  </si>
  <si>
    <t>Production Build</t>
  </si>
  <si>
    <t>11-Feb-22*</t>
  </si>
  <si>
    <t xml:space="preserve">    950/962 AU20-1170</t>
  </si>
  <si>
    <t>Finish Project</t>
  </si>
  <si>
    <t xml:space="preserve">    950/962 AU20-1060</t>
  </si>
  <si>
    <t>NPI Gate 7</t>
  </si>
  <si>
    <t>03-Jan-23*</t>
  </si>
  <si>
    <t xml:space="preserve">  SW Milestones</t>
  </si>
  <si>
    <t>29-Apr-16 A</t>
  </si>
  <si>
    <t xml:space="preserve">    950/962 AU20-11135</t>
  </si>
  <si>
    <t>Receive SW Release A</t>
  </si>
  <si>
    <t>HagueME.Hague Evan E</t>
  </si>
  <si>
    <t xml:space="preserve">    950/962 AU20-11145</t>
  </si>
  <si>
    <t>Receive TESS 04</t>
  </si>
  <si>
    <t>11-Jan-17 A</t>
  </si>
  <si>
    <t xml:space="preserve">    950/962 AU20-20170</t>
  </si>
  <si>
    <t>Steering DV3.2 SW Release</t>
  </si>
  <si>
    <t>10-Mar-17 A</t>
  </si>
  <si>
    <t xml:space="preserve">    950/962 AU20-20750</t>
  </si>
  <si>
    <t>Receive DV3.3 SW Release</t>
  </si>
  <si>
    <t>30-Mar-17 A</t>
  </si>
  <si>
    <t xml:space="preserve">    950/962 AU20-11155</t>
  </si>
  <si>
    <t>Receive S05</t>
  </si>
  <si>
    <t>04-Apr-17 A</t>
  </si>
  <si>
    <t xml:space="preserve">    950/962 AU20-20180</t>
  </si>
  <si>
    <t>D6C8 Display Release</t>
  </si>
  <si>
    <t>15-May-17 A</t>
  </si>
  <si>
    <t xml:space="preserve">    950/962 AU20-20160</t>
  </si>
  <si>
    <t>Steering DV4 SW Release</t>
  </si>
  <si>
    <t>17-May-17 A</t>
  </si>
  <si>
    <t xml:space="preserve">    950/962 AU20-19185</t>
  </si>
  <si>
    <t>Receive S06</t>
  </si>
  <si>
    <t>19-Jun-17 A</t>
  </si>
  <si>
    <t xml:space="preserve">    950/962 AU20-19205</t>
  </si>
  <si>
    <t>Receive S07</t>
  </si>
  <si>
    <t>22-Aug-17 A</t>
  </si>
  <si>
    <t>egantr.Egan Thomas R</t>
  </si>
  <si>
    <t xml:space="preserve">    950/962 AU20-19225</t>
  </si>
  <si>
    <t>Receive S08</t>
  </si>
  <si>
    <t>01-Nov-17 A</t>
  </si>
  <si>
    <t xml:space="preserve">    950/962 AU20-21080</t>
  </si>
  <si>
    <t>Receive S13</t>
  </si>
  <si>
    <t>07-Mar-19*</t>
  </si>
  <si>
    <t xml:space="preserve">    950/962 AU20-21090</t>
  </si>
  <si>
    <t>Receive S14</t>
  </si>
  <si>
    <t>07-Jun-19*</t>
  </si>
  <si>
    <t xml:space="preserve">    950/962 AU20-21100</t>
  </si>
  <si>
    <t>Receive S15</t>
  </si>
  <si>
    <t>06-Sep-19*</t>
  </si>
  <si>
    <t xml:space="preserve">    950/962 AU20-21110</t>
  </si>
  <si>
    <t>Receive S16</t>
  </si>
  <si>
    <t>06-Dec-19*</t>
  </si>
  <si>
    <t xml:space="preserve">    950/962 AU20-21120</t>
  </si>
  <si>
    <t>Receive S17</t>
  </si>
  <si>
    <t>19-Feb-20*</t>
  </si>
  <si>
    <t xml:space="preserve">    950/962 AU20-21130</t>
  </si>
  <si>
    <t>Receive S18</t>
  </si>
  <si>
    <t>02-Mar-20*</t>
  </si>
  <si>
    <t xml:space="preserve">    950/962 AU20-21140</t>
  </si>
  <si>
    <t>Receive S19</t>
  </si>
  <si>
    <t>01-May-20*</t>
  </si>
  <si>
    <t xml:space="preserve">    950/962 AU20-21150</t>
  </si>
  <si>
    <t>Receive S20</t>
  </si>
  <si>
    <t>03-Aug-20*</t>
  </si>
  <si>
    <t xml:space="preserve">    950/962 AU201000</t>
  </si>
  <si>
    <t>Receive Prod SW</t>
  </si>
  <si>
    <t>21-Sep-21*</t>
  </si>
  <si>
    <t xml:space="preserve">  Bundle Planned Work</t>
  </si>
  <si>
    <t>15-Jul-16 A</t>
  </si>
  <si>
    <t>26-Sep-17 A</t>
  </si>
  <si>
    <t xml:space="preserve">    950/962 Platform</t>
  </si>
  <si>
    <t xml:space="preserve">      White Noise Alarm Eval</t>
  </si>
  <si>
    <t>04-Nov-16 A</t>
  </si>
  <si>
    <t xml:space="preserve">        BDL 18-2445</t>
  </si>
  <si>
    <t>Run</t>
  </si>
  <si>
    <t>18-Jul-16 A</t>
  </si>
  <si>
    <t xml:space="preserve">MylavS1.Mylavarapu Sandeep </t>
  </si>
  <si>
    <t>PPG.Sound.Bld</t>
  </si>
  <si>
    <t xml:space="preserve">        BDL 18-2455</t>
  </si>
  <si>
    <t>Report</t>
  </si>
  <si>
    <t>01-Aug-16 A</t>
  </si>
  <si>
    <t xml:space="preserve">      Contingency</t>
  </si>
  <si>
    <t>01-May-17 A</t>
  </si>
  <si>
    <t>31-Aug-17 A</t>
  </si>
  <si>
    <t xml:space="preserve">        950/962 AU20-19990</t>
  </si>
  <si>
    <t>Contingency</t>
  </si>
  <si>
    <t>powelaw.Powell Austin W</t>
  </si>
  <si>
    <t xml:space="preserve">      CR 950 PF Aux Attachment (EMB00247)</t>
  </si>
  <si>
    <t>06-Jun-17 A</t>
  </si>
  <si>
    <t xml:space="preserve">        BDL AU20-10480</t>
  </si>
  <si>
    <t>Setup</t>
  </si>
  <si>
    <t>20-Jun-17 A</t>
  </si>
  <si>
    <t xml:space="preserve">        950/962 AU20-10490</t>
  </si>
  <si>
    <t>Instrument</t>
  </si>
  <si>
    <t>19-Jul-17 A</t>
  </si>
  <si>
    <t>21-Jul-17 A</t>
  </si>
  <si>
    <t xml:space="preserve">        950/962 AU20-10511</t>
  </si>
  <si>
    <t>LOE:  Instrumentation Charges - 16c</t>
  </si>
  <si>
    <t xml:space="preserve">        950/962 AU20-10500</t>
  </si>
  <si>
    <t>25-Sep-17 A</t>
  </si>
  <si>
    <t xml:space="preserve">        950/962 AU20--10521</t>
  </si>
  <si>
    <t>Teardown</t>
  </si>
  <si>
    <t xml:space="preserve">  Testbed 2 Phase</t>
  </si>
  <si>
    <t>23-Jan-17 A</t>
  </si>
  <si>
    <t xml:space="preserve">    962 AU2020 Testbed1 (WL900100)</t>
  </si>
  <si>
    <t xml:space="preserve">      LOE</t>
  </si>
  <si>
    <t>20-Feb-17 A</t>
  </si>
  <si>
    <t xml:space="preserve">        950/962 AU20-1340</t>
  </si>
  <si>
    <t>Start Testing 950M Steering Testbed</t>
  </si>
  <si>
    <t>mccalad.McCallister Andy D</t>
  </si>
  <si>
    <t xml:space="preserve">        950/962 AU20-1350</t>
  </si>
  <si>
    <t>LOE: 950M Steering Testbed1</t>
  </si>
  <si>
    <t xml:space="preserve">        950/962 AU20-1370</t>
  </si>
  <si>
    <t>Reports Complete 950M Steering Testbed1</t>
  </si>
  <si>
    <t xml:space="preserve">        950/962 AU20-1360</t>
  </si>
  <si>
    <t>Testing Complete 950M Steering Testbed1</t>
  </si>
  <si>
    <t xml:space="preserve">      Machine Build</t>
  </si>
  <si>
    <t>23-Mar-17 A</t>
  </si>
  <si>
    <t xml:space="preserve">        950/962 AU20-2550</t>
  </si>
  <si>
    <t>Plan</t>
  </si>
  <si>
    <t>24-Feb-17 A</t>
  </si>
  <si>
    <t xml:space="preserve">        950/962 AU20-2560</t>
  </si>
  <si>
    <t>Assemble Machine</t>
  </si>
  <si>
    <t xml:space="preserve">      STP 230/289</t>
  </si>
  <si>
    <t>27-Feb-17 A</t>
  </si>
  <si>
    <t>21-Apr-17 A</t>
  </si>
  <si>
    <t xml:space="preserve">        950/962 AU20-2570</t>
  </si>
  <si>
    <t>24-Mar-17 A</t>
  </si>
  <si>
    <t>01-88107-440.TSD881MGT - SEC07 RES440 MACHINE CONTROLS - Management Labor-Program-ABC</t>
  </si>
  <si>
    <t xml:space="preserve">        950/962 AU20-2580</t>
  </si>
  <si>
    <t>27-Mar-17 A</t>
  </si>
  <si>
    <t xml:space="preserve">      G10 Gauge Display Update</t>
  </si>
  <si>
    <t>05-Apr-17 A</t>
  </si>
  <si>
    <t>06-Apr-17 A</t>
  </si>
  <si>
    <t xml:space="preserve">        950/962 AU20-20610</t>
  </si>
  <si>
    <t xml:space="preserve">        950/962 AU20-20620</t>
  </si>
  <si>
    <t>Run - Checkout</t>
  </si>
  <si>
    <t xml:space="preserve">      S05 SW Updates</t>
  </si>
  <si>
    <t>07-Apr-17 A</t>
  </si>
  <si>
    <t>13-Apr-17 A</t>
  </si>
  <si>
    <t xml:space="preserve">        950/962 AU20-20630</t>
  </si>
  <si>
    <t>Run &amp; Checkout S05</t>
  </si>
  <si>
    <t xml:space="preserve">      Cab Pressurization Test</t>
  </si>
  <si>
    <t>27-Apr-17 A</t>
  </si>
  <si>
    <t xml:space="preserve">        950/962 AU20-20670</t>
  </si>
  <si>
    <t xml:space="preserve">      Machine Safety/Servicability Audit</t>
  </si>
  <si>
    <t>28-Apr-17 A</t>
  </si>
  <si>
    <t xml:space="preserve">        950/962 AU20-19800</t>
  </si>
  <si>
    <t xml:space="preserve">      Machine Checkout STP-64</t>
  </si>
  <si>
    <t>26-Apr-17 A</t>
  </si>
  <si>
    <t xml:space="preserve">        950/962 AU20-14400</t>
  </si>
  <si>
    <t xml:space="preserve">        950/962 AU20-14405</t>
  </si>
  <si>
    <t xml:space="preserve">        950/962 AU20-14410</t>
  </si>
  <si>
    <t xml:space="preserve">      Machine Checkout STP-64 #2</t>
  </si>
  <si>
    <t>22-May-17 A</t>
  </si>
  <si>
    <t>07-Jun-17 A</t>
  </si>
  <si>
    <t xml:space="preserve">        950/962 AU20-23610</t>
  </si>
  <si>
    <t xml:space="preserve">      Steering Tuning #1</t>
  </si>
  <si>
    <t>15-Sep-17 A</t>
  </si>
  <si>
    <t xml:space="preserve">        950/962 AU20-23690</t>
  </si>
  <si>
    <t xml:space="preserve">      S07 SW Update</t>
  </si>
  <si>
    <t>25-Aug-17 A</t>
  </si>
  <si>
    <t>30-Aug-17 A</t>
  </si>
  <si>
    <t xml:space="preserve">        950/962 AU20-20640</t>
  </si>
  <si>
    <t>Run &amp; Checkout S07</t>
  </si>
  <si>
    <t xml:space="preserve">      Steering Operator Eval</t>
  </si>
  <si>
    <t>19-Sep-17 A</t>
  </si>
  <si>
    <t xml:space="preserve">        950/962 AU20-2590</t>
  </si>
  <si>
    <t xml:space="preserve">      DV1 Install</t>
  </si>
  <si>
    <t xml:space="preserve">        950/962 AU20-20680</t>
  </si>
  <si>
    <t xml:space="preserve">      962 Next Gen Service Center OMSA/MER Light Fabs</t>
  </si>
  <si>
    <t>22-Dec-17 A</t>
  </si>
  <si>
    <t xml:space="preserve">        950/962 AU20-12065</t>
  </si>
  <si>
    <t>Planning &amp; Procurement</t>
  </si>
  <si>
    <t>20-Sep-17 A</t>
  </si>
  <si>
    <t>01-55710-400.TSD557MGT - SEC10 RES400 LARGE STRUCTURES - Management Labor-Program</t>
  </si>
  <si>
    <t xml:space="preserve">        950/962 AU20-12075</t>
  </si>
  <si>
    <t>SGL Strain Gage Lab - Instrument Parts</t>
  </si>
  <si>
    <t>18-Sep-17 A</t>
  </si>
  <si>
    <t xml:space="preserve">        950/962 AU20-12085</t>
  </si>
  <si>
    <t>Instrument - Setup Bay</t>
  </si>
  <si>
    <t>20-Oct-17 A</t>
  </si>
  <si>
    <t xml:space="preserve">        950/962 AU20-12135</t>
  </si>
  <si>
    <t>Setup - Shop Support Work</t>
  </si>
  <si>
    <t>27-Sep-17 A</t>
  </si>
  <si>
    <t>11-Oct-17 A</t>
  </si>
  <si>
    <t>01-88108-241.TSD881HRY - SEC08 RES241 OPERATIONS &amp; FACILITIES - Mechanic-ABC</t>
  </si>
  <si>
    <t xml:space="preserve">        950/962 AU20-12145</t>
  </si>
  <si>
    <t>Field Prep for OMSA</t>
  </si>
  <si>
    <t>19-Oct-17 A</t>
  </si>
  <si>
    <t>MorseMP.Morse Mark P</t>
  </si>
  <si>
    <t xml:space="preserve">        950/962 AU20-12155</t>
  </si>
  <si>
    <t>LOE:  Instrumentation Charges - 151c</t>
  </si>
  <si>
    <t>27-Oct-17 A</t>
  </si>
  <si>
    <t xml:space="preserve">        950/962 AU20-12095</t>
  </si>
  <si>
    <t>23-Oct-17 A</t>
  </si>
  <si>
    <t>26-Oct-17 A</t>
  </si>
  <si>
    <t xml:space="preserve">        950/962 AU20-12105</t>
  </si>
  <si>
    <t>30-Oct-17 A</t>
  </si>
  <si>
    <t xml:space="preserve">        950/962 AU20-12115</t>
  </si>
  <si>
    <t>Preliminary Analysis/Reporting</t>
  </si>
  <si>
    <t>03-Nov-17 A</t>
  </si>
  <si>
    <t xml:space="preserve">        950/962 AU20-12125</t>
  </si>
  <si>
    <t>Final Analysis/Reporting</t>
  </si>
  <si>
    <t>06-Nov-17 A</t>
  </si>
  <si>
    <t>01-88109-400.TSD881MGT - SEC09 RES400 STRUCTURES Validation - Management Labor-Program</t>
  </si>
  <si>
    <t xml:space="preserve">      962 TB NVH Sound Eval</t>
  </si>
  <si>
    <t>02-Nov-17 A</t>
  </si>
  <si>
    <t>08-Nov-18 A</t>
  </si>
  <si>
    <t xml:space="preserve">        950/962 AU20-19365</t>
  </si>
  <si>
    <t>Run - Sound Bldg</t>
  </si>
  <si>
    <t>13-Nov-17 A</t>
  </si>
  <si>
    <t>bobchij.Bobchik Joe P</t>
  </si>
  <si>
    <t xml:space="preserve">        950/962 AU20-19375</t>
  </si>
  <si>
    <t>27-Nov-17 A</t>
  </si>
  <si>
    <t xml:space="preserve">      S08 SW Update</t>
  </si>
  <si>
    <t>28-Nov-17 A</t>
  </si>
  <si>
    <t xml:space="preserve">        950/962 AU20-20660</t>
  </si>
  <si>
    <t>Run &amp; Checkout S08</t>
  </si>
  <si>
    <t xml:space="preserve">      L5 Performance Tuning</t>
  </si>
  <si>
    <t>30-Nov-17 A</t>
  </si>
  <si>
    <t xml:space="preserve">        950/962 AU20-2680</t>
  </si>
  <si>
    <t xml:space="preserve">        950/962 AU20-2710</t>
  </si>
  <si>
    <t>29-Nov-17 A</t>
  </si>
  <si>
    <t xml:space="preserve">      Instrument Cluster Operator Eval</t>
  </si>
  <si>
    <t>04-Dec-17 A</t>
  </si>
  <si>
    <t xml:space="preserve">        950/962 AU20-24000</t>
  </si>
  <si>
    <t>01-Dec-17 A</t>
  </si>
  <si>
    <t xml:space="preserve">        950/962 AU20-24010</t>
  </si>
  <si>
    <t>01-88180-242.TSD881HRY - SEC80 RES242 PPG TEST OPERATIONS - Vehicle Operator-ABC</t>
  </si>
  <si>
    <t xml:space="preserve">      962 TB2 Machine Build #2</t>
  </si>
  <si>
    <t>17-Dec-18 A</t>
  </si>
  <si>
    <t xml:space="preserve">        950/962 AU20-21170</t>
  </si>
  <si>
    <t>08-Jan-19 A</t>
  </si>
  <si>
    <t xml:space="preserve">        950/962 AU20-21180</t>
  </si>
  <si>
    <t>Setup - (Impl Valve, OEAII, NGSC, Pump)</t>
  </si>
  <si>
    <t>07-Jan-19 A</t>
  </si>
  <si>
    <t xml:space="preserve">      S13 SW Checkout</t>
  </si>
  <si>
    <t xml:space="preserve">        950/962 AU20-21970</t>
  </si>
  <si>
    <t>Run - Steering Checkout</t>
  </si>
  <si>
    <t xml:space="preserve">      Machine Checkout STP64</t>
  </si>
  <si>
    <t xml:space="preserve">        950/962 AU20-24090</t>
  </si>
  <si>
    <t xml:space="preserve">        950/962 AU20-24100</t>
  </si>
  <si>
    <t xml:space="preserve">      Steering Tuning #2</t>
  </si>
  <si>
    <t xml:space="preserve">        950/962 AU20-25380</t>
  </si>
  <si>
    <t>Run - Knotch Filter</t>
  </si>
  <si>
    <t>SULLIPW.Sullivan Patrick W</t>
  </si>
  <si>
    <t xml:space="preserve">        950/962 AU20-25390</t>
  </si>
  <si>
    <t>Run - Operator Eval Knotch Filter</t>
  </si>
  <si>
    <t xml:space="preserve">        950/962 AU20-25400</t>
  </si>
  <si>
    <t>Run - Performance Tuning</t>
  </si>
  <si>
    <t xml:space="preserve">        950/962 AU20-25410</t>
  </si>
  <si>
    <t>Run - Operator Eval Peformance Tuning</t>
  </si>
  <si>
    <t xml:space="preserve">      Failure Mode Response #1</t>
  </si>
  <si>
    <t xml:space="preserve">        950/962 AU20-25360</t>
  </si>
  <si>
    <t xml:space="preserve">        950/962 AU20-25370</t>
  </si>
  <si>
    <t xml:space="preserve">        950/962 AU20-25340</t>
  </si>
  <si>
    <t xml:space="preserve">        950/962 AU20-25350</t>
  </si>
  <si>
    <t xml:space="preserve">      STP 230/289 #2</t>
  </si>
  <si>
    <t xml:space="preserve">        950/962 AU20-23920</t>
  </si>
  <si>
    <t xml:space="preserve">        950/962 AU20-23930</t>
  </si>
  <si>
    <t xml:space="preserve">      XMSN Development</t>
  </si>
  <si>
    <t xml:space="preserve">        950/962 AU20-21810</t>
  </si>
  <si>
    <t xml:space="preserve">        950/962 AU20-21820</t>
  </si>
  <si>
    <t xml:space="preserve">        950/962 AU20-21330</t>
  </si>
  <si>
    <t xml:space="preserve">        950/962 AU20-21850</t>
  </si>
  <si>
    <t xml:space="preserve">      Implement Valve Tuning</t>
  </si>
  <si>
    <t xml:space="preserve">        950/962 AU20-14790</t>
  </si>
  <si>
    <t xml:space="preserve">        950/962 AU20-14800</t>
  </si>
  <si>
    <t>Run (Cat Electronics - Steve Queen)</t>
  </si>
  <si>
    <t xml:space="preserve">      S14 SW Update</t>
  </si>
  <si>
    <t xml:space="preserve">        950/962 AU20-26880</t>
  </si>
  <si>
    <t>Run &amp; Checkout S14</t>
  </si>
  <si>
    <t xml:space="preserve">      L5 Performance Dev/Tuning #1</t>
  </si>
  <si>
    <t xml:space="preserve">        950/962 AU20-21790</t>
  </si>
  <si>
    <t xml:space="preserve">      ISO 5010 Feasibility</t>
  </si>
  <si>
    <t>08-May-17 A</t>
  </si>
  <si>
    <t xml:space="preserve">        950/962 AU20-19950</t>
  </si>
  <si>
    <t>14-Jun-17 A</t>
  </si>
  <si>
    <t xml:space="preserve">        950/962 AU20-23620</t>
  </si>
  <si>
    <t xml:space="preserve">        950/962 AU20-23630</t>
  </si>
  <si>
    <t xml:space="preserve">        950/962 AU20-19960</t>
  </si>
  <si>
    <t xml:space="preserve">        950/962 AU20-19970</t>
  </si>
  <si>
    <t>Run - Driver Performance</t>
  </si>
  <si>
    <t>15-Jun-17 A</t>
  </si>
  <si>
    <t>17-Jul-17 A</t>
  </si>
  <si>
    <t xml:space="preserve">        950/962 AU20-25420</t>
  </si>
  <si>
    <t>01-88103-400.TSD881MGT - SEC03 RES400 HYDRAULICS DEVELOPMENT - Management Labor-Program</t>
  </si>
  <si>
    <t xml:space="preserve">        950/962 AU20-25430</t>
  </si>
  <si>
    <t xml:space="preserve">        950/962 AU20-25440</t>
  </si>
  <si>
    <t xml:space="preserve">        950/962 AU20-25450</t>
  </si>
  <si>
    <t xml:space="preserve">        950/962 AU20-25460</t>
  </si>
  <si>
    <t xml:space="preserve">        950/962 AU20-25470</t>
  </si>
  <si>
    <t>Analyze</t>
  </si>
  <si>
    <t xml:space="preserve">      Cat Detect B Radar</t>
  </si>
  <si>
    <t xml:space="preserve">        950/962 AU20-24020</t>
  </si>
  <si>
    <t xml:space="preserve">      Failure Mode Response #2</t>
  </si>
  <si>
    <t xml:space="preserve">        950/962 AU201185</t>
  </si>
  <si>
    <t xml:space="preserve">        950/962 AU201190</t>
  </si>
  <si>
    <t xml:space="preserve">        950/962 AU201065</t>
  </si>
  <si>
    <t xml:space="preserve">        950/962 AU201180</t>
  </si>
  <si>
    <t xml:space="preserve">      S15 SW Checkout</t>
  </si>
  <si>
    <t xml:space="preserve">        950/962 AU20-22010</t>
  </si>
  <si>
    <t>Run &amp; Checkout S15</t>
  </si>
  <si>
    <t xml:space="preserve">      Implement Valve Tuning #2</t>
  </si>
  <si>
    <t xml:space="preserve">        950/962 AU20-21300</t>
  </si>
  <si>
    <t xml:space="preserve">        950/962 AU20-21800</t>
  </si>
  <si>
    <t>04-Oct-19*</t>
  </si>
  <si>
    <t xml:space="preserve">      S16 SW Checkout</t>
  </si>
  <si>
    <t xml:space="preserve">        950/962 AU20-22030</t>
  </si>
  <si>
    <t>Run &amp; Checkout S16</t>
  </si>
  <si>
    <t xml:space="preserve">      L5 Performance Dev/Tuning #2</t>
  </si>
  <si>
    <t xml:space="preserve">        950/962 AU20-24110</t>
  </si>
  <si>
    <t xml:space="preserve">      Stg V EMC Test</t>
  </si>
  <si>
    <t xml:space="preserve">        950/962 AU20-15310</t>
  </si>
  <si>
    <t>01-75304-400.E&amp;E753MGT - SEC04 RES400 ROBUST ELECT HARDWARE DESIGN - Management Labor-Program</t>
  </si>
  <si>
    <t xml:space="preserve">        950/962 AU20-15320</t>
  </si>
  <si>
    <t xml:space="preserve">        950/962 AU20-15330</t>
  </si>
  <si>
    <t xml:space="preserve">        950/962 AU20-15340</t>
  </si>
  <si>
    <t xml:space="preserve">        950/962 AU20-15350</t>
  </si>
  <si>
    <t xml:space="preserve">      S17 SW Checkout</t>
  </si>
  <si>
    <t xml:space="preserve">        950/962 AU20-22050</t>
  </si>
  <si>
    <t>Run &amp; Checkout S17</t>
  </si>
  <si>
    <t>20-Feb-20*</t>
  </si>
  <si>
    <t xml:space="preserve">      S17 SW Endurance - 50 Hrs</t>
  </si>
  <si>
    <t xml:space="preserve">        950/962 AU20-22060</t>
  </si>
  <si>
    <t>Run Endurance</t>
  </si>
  <si>
    <t xml:space="preserve">      S18 SW Checkout</t>
  </si>
  <si>
    <t xml:space="preserve">        950/962 AU20-22070</t>
  </si>
  <si>
    <t>Run &amp; Checkout S18</t>
  </si>
  <si>
    <t xml:space="preserve">      S19 SW Checkout</t>
  </si>
  <si>
    <t xml:space="preserve">        950/962 AU20-22090</t>
  </si>
  <si>
    <t>Run &amp; Checkout S19</t>
  </si>
  <si>
    <t xml:space="preserve">      S20 SW Checkout</t>
  </si>
  <si>
    <t xml:space="preserve">        950/962 AU20-22110</t>
  </si>
  <si>
    <t>Run &amp; Checkout S20</t>
  </si>
  <si>
    <t xml:space="preserve">      S20 SW Endurance - 50 Hrs</t>
  </si>
  <si>
    <t xml:space="preserve">        950/962 AU20-22120</t>
  </si>
  <si>
    <t xml:space="preserve">    950 AU2020 Testbed2 (SN)</t>
  </si>
  <si>
    <t xml:space="preserve">        950/962 AU20-3670</t>
  </si>
  <si>
    <t>Start Testing 950 TB2</t>
  </si>
  <si>
    <t xml:space="preserve">        950/962 AU20-3680</t>
  </si>
  <si>
    <t>LOE: 950 TB2</t>
  </si>
  <si>
    <t xml:space="preserve">        950/962 AU20-3690</t>
  </si>
  <si>
    <t>Testing Complete 950 TB2</t>
  </si>
  <si>
    <t xml:space="preserve">        950/962 AU20-3700</t>
  </si>
  <si>
    <t>Reports Complete 950 TB2</t>
  </si>
  <si>
    <t xml:space="preserve">      Machine Update - Built in Aurora</t>
  </si>
  <si>
    <t xml:space="preserve">        950/962 AU201010</t>
  </si>
  <si>
    <t>Machine Key On</t>
  </si>
  <si>
    <t>07-May-19*</t>
  </si>
  <si>
    <t>Field</t>
  </si>
  <si>
    <t xml:space="preserve">        950/962 AU201005</t>
  </si>
  <si>
    <t>Ship to PPG</t>
  </si>
  <si>
    <t>layjd.Lay Joe D</t>
  </si>
  <si>
    <t xml:space="preserve">        950/962 AU20-24070</t>
  </si>
  <si>
    <t xml:space="preserve">        950/962 AU20-14385</t>
  </si>
  <si>
    <t xml:space="preserve">        950/962 AU20-14395</t>
  </si>
  <si>
    <t xml:space="preserve">      Implement Valve Tuning #1</t>
  </si>
  <si>
    <t xml:space="preserve">        950/962 AU20-24120</t>
  </si>
  <si>
    <t xml:space="preserve">        950/962 AU20-24130</t>
  </si>
  <si>
    <t xml:space="preserve">        950/962 AU20-24140</t>
  </si>
  <si>
    <t xml:space="preserve">        950/962AU20-1000</t>
  </si>
  <si>
    <t xml:space="preserve">      Rimpull/Response</t>
  </si>
  <si>
    <t xml:space="preserve">        950/962 AU20-22420</t>
  </si>
  <si>
    <t xml:space="preserve">        950/962 AU20-22470</t>
  </si>
  <si>
    <t xml:space="preserve">        950/962 AU20-22430</t>
  </si>
  <si>
    <t xml:space="preserve">        950/962 AU20-22440</t>
  </si>
  <si>
    <t xml:space="preserve">        950/962 AU20-22410</t>
  </si>
  <si>
    <t xml:space="preserve">        950/962 AU20-22450</t>
  </si>
  <si>
    <t xml:space="preserve">        950/962 AU20-22460</t>
  </si>
  <si>
    <t xml:space="preserve">        950/962 AU20-22480</t>
  </si>
  <si>
    <t xml:space="preserve">      STP-153 (Airflow Testing)</t>
  </si>
  <si>
    <t xml:space="preserve">        950/962 AU20-24150</t>
  </si>
  <si>
    <t xml:space="preserve">        950/962 AU20-24160</t>
  </si>
  <si>
    <t>Setup/Run</t>
  </si>
  <si>
    <t xml:space="preserve">        950/962 AU20-24210</t>
  </si>
  <si>
    <t xml:space="preserve">        950/962 AU20-24170</t>
  </si>
  <si>
    <t xml:space="preserve">      STP-155 (Water Flow Test)</t>
  </si>
  <si>
    <t xml:space="preserve">        950/962 AU20-24180</t>
  </si>
  <si>
    <t xml:space="preserve">        950/962 AU20-24190</t>
  </si>
  <si>
    <t xml:space="preserve">        950/962 AU20-24220</t>
  </si>
  <si>
    <t xml:space="preserve">        950/962 AU20-24200</t>
  </si>
  <si>
    <t xml:space="preserve">      STP-152 (Ambient Capability) &amp; STP-154 (IMT) w/ UHT</t>
  </si>
  <si>
    <t xml:space="preserve">        950/962 AU20-22720</t>
  </si>
  <si>
    <t xml:space="preserve">        950/962 AU20-22730</t>
  </si>
  <si>
    <t xml:space="preserve">        950/962 AU20-22790</t>
  </si>
  <si>
    <t xml:space="preserve">        950/962 AU20-22780</t>
  </si>
  <si>
    <t>Prep Field - MDC</t>
  </si>
  <si>
    <t>Field_Prep1.Field Prep 1</t>
  </si>
  <si>
    <t xml:space="preserve">        950/962 AU20-22740</t>
  </si>
  <si>
    <t xml:space="preserve">        950/962 AU20-22750</t>
  </si>
  <si>
    <t xml:space="preserve">        950/962 AU20-22760</t>
  </si>
  <si>
    <t>Report (Class 3)</t>
  </si>
  <si>
    <t xml:space="preserve">      MER Engine Install test</t>
  </si>
  <si>
    <t xml:space="preserve">        950/962 AU20-24230</t>
  </si>
  <si>
    <t xml:space="preserve">        950/962 AU20-24240</t>
  </si>
  <si>
    <t xml:space="preserve">        950/962 AU20-24300</t>
  </si>
  <si>
    <t xml:space="preserve">        950/962 AU20-24250</t>
  </si>
  <si>
    <t xml:space="preserve">        950/962 AU20-24310</t>
  </si>
  <si>
    <t xml:space="preserve">        950/962 AU20-24260</t>
  </si>
  <si>
    <t xml:space="preserve">        950/962 AU20-24270</t>
  </si>
  <si>
    <t xml:space="preserve">        950/962 AU20-24280</t>
  </si>
  <si>
    <t xml:space="preserve">        950/962 AU20-24290</t>
  </si>
  <si>
    <t>TIC Report</t>
  </si>
  <si>
    <t xml:space="preserve">      Hydraulic Test</t>
  </si>
  <si>
    <t xml:space="preserve">        950/962 AU20-22180</t>
  </si>
  <si>
    <t xml:space="preserve">        950/962 AU20-22190</t>
  </si>
  <si>
    <t xml:space="preserve">        950/962 AU20-22200</t>
  </si>
  <si>
    <t xml:space="preserve">        950/962 AU20-22170</t>
  </si>
  <si>
    <t xml:space="preserve">        950/962 AU20-22210</t>
  </si>
  <si>
    <t xml:space="preserve">        950/962 AU20-22220</t>
  </si>
  <si>
    <t xml:space="preserve">      S15 SW Update</t>
  </si>
  <si>
    <t xml:space="preserve">        950/962AU20-1010</t>
  </si>
  <si>
    <t xml:space="preserve">      950 Stage V  Machine Sound Dev</t>
  </si>
  <si>
    <t xml:space="preserve">        950/962 AU20-21220</t>
  </si>
  <si>
    <t xml:space="preserve">        950/962 AU20-21230</t>
  </si>
  <si>
    <t xml:space="preserve">      Cold Room Test</t>
  </si>
  <si>
    <t xml:space="preserve">        950/962 AU20-22550</t>
  </si>
  <si>
    <t xml:space="preserve">        950/962 AU20-22560</t>
  </si>
  <si>
    <t xml:space="preserve">        950/962 AU20-22570</t>
  </si>
  <si>
    <t xml:space="preserve">        950/962 AU20-22610</t>
  </si>
  <si>
    <t>Ship to test site</t>
  </si>
  <si>
    <t xml:space="preserve">        950/962 AU20-22640</t>
  </si>
  <si>
    <t>Machine Install</t>
  </si>
  <si>
    <t>TC-L</t>
  </si>
  <si>
    <t xml:space="preserve">        950/962 AU20-22580</t>
  </si>
  <si>
    <t>TC-L.I6Val.UNASSIGN</t>
  </si>
  <si>
    <t xml:space="preserve">        950/962 AU20-22650</t>
  </si>
  <si>
    <t>Machine Removal</t>
  </si>
  <si>
    <t xml:space="preserve">        950/962 AU20-22620</t>
  </si>
  <si>
    <t>Ship from test site</t>
  </si>
  <si>
    <t xml:space="preserve">        950/962 AU20-22590</t>
  </si>
  <si>
    <t xml:space="preserve">        950/962 AU20-22600</t>
  </si>
  <si>
    <t xml:space="preserve">      S16 SW Update</t>
  </si>
  <si>
    <t xml:space="preserve">        950/962AU20-1020</t>
  </si>
  <si>
    <t xml:space="preserve">        950/962 AU20-24320</t>
  </si>
  <si>
    <t xml:space="preserve">      MER #2</t>
  </si>
  <si>
    <t xml:space="preserve">        950/962 AU20-25500</t>
  </si>
  <si>
    <t xml:space="preserve">        950/962 AU20-25510</t>
  </si>
  <si>
    <t xml:space="preserve">        950/962 AU20-25570</t>
  </si>
  <si>
    <t xml:space="preserve">        950/962 AU20-25520</t>
  </si>
  <si>
    <t xml:space="preserve">        950/962 AU20-25580</t>
  </si>
  <si>
    <t xml:space="preserve">        950/962 AU20-25530</t>
  </si>
  <si>
    <t xml:space="preserve">        950/962 AU20-25540</t>
  </si>
  <si>
    <t xml:space="preserve">        950/962 AU20-25550</t>
  </si>
  <si>
    <t xml:space="preserve">        950/962 AU20-25560</t>
  </si>
  <si>
    <t xml:space="preserve">      Prelim ISO 5010 Steering</t>
  </si>
  <si>
    <t xml:space="preserve">        950/962 AU20-24340</t>
  </si>
  <si>
    <t xml:space="preserve">        950/962 AU20-24350</t>
  </si>
  <si>
    <t xml:space="preserve">        950/962 AU20-24360</t>
  </si>
  <si>
    <t xml:space="preserve">        950/962 AU20-24330</t>
  </si>
  <si>
    <t xml:space="preserve">        950/962 AU20-24370</t>
  </si>
  <si>
    <t xml:space="preserve">        950/962 AU20-24380</t>
  </si>
  <si>
    <t xml:space="preserve">      S17 SW Update</t>
  </si>
  <si>
    <t xml:space="preserve">        950/962AU20-1030</t>
  </si>
  <si>
    <t xml:space="preserve">      XMSN Auto Cal Dev</t>
  </si>
  <si>
    <t xml:space="preserve">        950/962 AU20-22520</t>
  </si>
  <si>
    <t xml:space="preserve">        950/962 AU20-22540</t>
  </si>
  <si>
    <t xml:space="preserve">        950/962 AU20-22500</t>
  </si>
  <si>
    <t xml:space="preserve">        950/962 AU20-22510</t>
  </si>
  <si>
    <t xml:space="preserve">      STP 407 Engine Installation Audit</t>
  </si>
  <si>
    <t xml:space="preserve">        950/962 AU20-24440</t>
  </si>
  <si>
    <t xml:space="preserve">        950/962 AU20-24450</t>
  </si>
  <si>
    <t xml:space="preserve">        950/962 AU20-24460</t>
  </si>
  <si>
    <t xml:space="preserve">        950/962 AU20-24470</t>
  </si>
  <si>
    <t xml:space="preserve">        950/962 AU20-24480</t>
  </si>
  <si>
    <t xml:space="preserve">        950/962 AU20-24490</t>
  </si>
  <si>
    <t xml:space="preserve">      XMSN Signature</t>
  </si>
  <si>
    <t xml:space="preserve">        950/962 AU20-22680</t>
  </si>
  <si>
    <t xml:space="preserve">        950/962 AU20-22700</t>
  </si>
  <si>
    <t xml:space="preserve">        950/962 AU20-22660</t>
  </si>
  <si>
    <t xml:space="preserve">        950/962 AU20-22670</t>
  </si>
  <si>
    <t xml:space="preserve">      L5 Issue Resolution</t>
  </si>
  <si>
    <t xml:space="preserve">        950/962 AU20-4840</t>
  </si>
  <si>
    <t xml:space="preserve">        950/962 AU20-4850</t>
  </si>
  <si>
    <t xml:space="preserve">        950/962 AU20-4860</t>
  </si>
  <si>
    <t>Instrument Tech.Instrumentation Setup Tech</t>
  </si>
  <si>
    <t xml:space="preserve">        950/962 AU20-4870</t>
  </si>
  <si>
    <t xml:space="preserve">        950/962 AU20-4880</t>
  </si>
  <si>
    <t xml:space="preserve">      950 Stage V  Machine Sound Dev #2</t>
  </si>
  <si>
    <t xml:space="preserve">        950/962 AU20-26865</t>
  </si>
  <si>
    <t xml:space="preserve">        950/962 AU20-26870</t>
  </si>
  <si>
    <t xml:space="preserve">      Productivity</t>
  </si>
  <si>
    <t xml:space="preserve">        950/962 AU20-22800</t>
  </si>
  <si>
    <t xml:space="preserve">        950/962 AU20-22810</t>
  </si>
  <si>
    <t xml:space="preserve">        950/962 AU20-22850</t>
  </si>
  <si>
    <t>Field Prep</t>
  </si>
  <si>
    <t xml:space="preserve">        950/962 AU20-22820</t>
  </si>
  <si>
    <t xml:space="preserve">        950/962 AU20-22830</t>
  </si>
  <si>
    <t xml:space="preserve">        950/962 AU20-22840</t>
  </si>
  <si>
    <t xml:space="preserve">    962 Stg V Testbed3 (SN)</t>
  </si>
  <si>
    <t xml:space="preserve">        950/962 AU20-24500</t>
  </si>
  <si>
    <t>Start Testing 962 Stg V TB 3</t>
  </si>
  <si>
    <t xml:space="preserve">        950/962 AU20-24510</t>
  </si>
  <si>
    <t>LOE: 962 Stg V TB 3</t>
  </si>
  <si>
    <t xml:space="preserve">        950/962 AU20-24520</t>
  </si>
  <si>
    <t>Testing Complete: 962 Stg V TB 3</t>
  </si>
  <si>
    <t xml:space="preserve">        950/962 AU20-24530</t>
  </si>
  <si>
    <t>Reports Complete: 962 Stg V TB 3</t>
  </si>
  <si>
    <t xml:space="preserve">      962 Stg V Machine Build</t>
  </si>
  <si>
    <t xml:space="preserve">        950/962 AU20-24540</t>
  </si>
  <si>
    <t xml:space="preserve">        950/962 AU20-24550</t>
  </si>
  <si>
    <t>Rework (Imp valve, pump, Hyd tank, AUX valve, Safim brake valve, NGSC gen 3, OEAII</t>
  </si>
  <si>
    <t>15-Apr-19*</t>
  </si>
  <si>
    <t xml:space="preserve">      SW &amp; Electrical Checkout</t>
  </si>
  <si>
    <t xml:space="preserve">        950/962 AU20-24880</t>
  </si>
  <si>
    <t xml:space="preserve">        950/962 AU20-24620</t>
  </si>
  <si>
    <t xml:space="preserve">        950/962 AU20-24630</t>
  </si>
  <si>
    <t xml:space="preserve">        950/962 AU20-24570</t>
  </si>
  <si>
    <t xml:space="preserve">        950/962 AU20-24580</t>
  </si>
  <si>
    <t xml:space="preserve">        950/962 AU20-24590</t>
  </si>
  <si>
    <t xml:space="preserve">        950/962 AU20-24560</t>
  </si>
  <si>
    <t xml:space="preserve">        950/962 AU20-24600</t>
  </si>
  <si>
    <t xml:space="preserve">        950/962 AU20-24610</t>
  </si>
  <si>
    <t xml:space="preserve">      Light Fab and Engine Install OMSA &amp; MER Test</t>
  </si>
  <si>
    <t xml:space="preserve">        950/962 AU20-24740</t>
  </si>
  <si>
    <t xml:space="preserve">        950/962 AU20-24750</t>
  </si>
  <si>
    <t xml:space="preserve">        950/962 AU20-24810</t>
  </si>
  <si>
    <t xml:space="preserve">        950/962 AU20-24760</t>
  </si>
  <si>
    <t>01-88102-400.TSD881MGT - SEC02 RES400 INSTRUMENTATION - Management Labor-Program</t>
  </si>
  <si>
    <t xml:space="preserve">        950/962 AU20-24820</t>
  </si>
  <si>
    <t xml:space="preserve">        950/962 AU20-24770</t>
  </si>
  <si>
    <t xml:space="preserve">        950/962 AU20-24780</t>
  </si>
  <si>
    <t xml:space="preserve">        950/962 AU20-24790</t>
  </si>
  <si>
    <t xml:space="preserve">        950/962 AU20-24800</t>
  </si>
  <si>
    <t xml:space="preserve">        950/962AU20-1040</t>
  </si>
  <si>
    <t xml:space="preserve">      OMSA Heavy Fab</t>
  </si>
  <si>
    <t xml:space="preserve">        950/962 AU20-24640</t>
  </si>
  <si>
    <t xml:space="preserve">        950/962 AU20-24650</t>
  </si>
  <si>
    <t>PPG SGL Tech.PPG SGL Tech</t>
  </si>
  <si>
    <t xml:space="preserve">        950/962 AU20-24710</t>
  </si>
  <si>
    <t>15-Aug-19*</t>
  </si>
  <si>
    <t xml:space="preserve">        950/962 AU20-24660</t>
  </si>
  <si>
    <t>Instrument - Setup Bay or Lab</t>
  </si>
  <si>
    <t xml:space="preserve">        950/962 AU20-24730</t>
  </si>
  <si>
    <t xml:space="preserve">        950/962 AU20-24670</t>
  </si>
  <si>
    <t xml:space="preserve">        950/962 AU20-24680</t>
  </si>
  <si>
    <t>Teardown - Including Channel Verification</t>
  </si>
  <si>
    <t xml:space="preserve">        950/962 AU20-24690</t>
  </si>
  <si>
    <t>Preliminary Results Analysis</t>
  </si>
  <si>
    <t xml:space="preserve">        950/962 AU20-24700</t>
  </si>
  <si>
    <t>Formal Presentation and Report</t>
  </si>
  <si>
    <t xml:space="preserve">        950/962 AU20-24720</t>
  </si>
  <si>
    <t xml:space="preserve">        950/962AU20-1050</t>
  </si>
  <si>
    <t xml:space="preserve">        950/962 AU20-24830</t>
  </si>
  <si>
    <t>26-Sep-19*</t>
  </si>
  <si>
    <t xml:space="preserve">      Electrical Load Study &amp; Battery Shielded Cable</t>
  </si>
  <si>
    <t xml:space="preserve">        950/962 AU20-24860</t>
  </si>
  <si>
    <t>07-Nov-19*</t>
  </si>
  <si>
    <t xml:space="preserve">      Servicability Audit</t>
  </si>
  <si>
    <t xml:space="preserve">        950/962 AU20-24840</t>
  </si>
  <si>
    <t>25-Nov-19*</t>
  </si>
  <si>
    <t xml:space="preserve">      Safety Audit</t>
  </si>
  <si>
    <t xml:space="preserve">        950/962 AU20-24870</t>
  </si>
  <si>
    <t xml:space="preserve">        950/962AU20-1060</t>
  </si>
  <si>
    <t xml:space="preserve">      ISO 3450 Feasibility Checkout</t>
  </si>
  <si>
    <t xml:space="preserve">        950/962 AU20-23320</t>
  </si>
  <si>
    <t xml:space="preserve">        950/962 AU20-23290</t>
  </si>
  <si>
    <t xml:space="preserve">        950/962 AU20-23300</t>
  </si>
  <si>
    <t xml:space="preserve">        950/962 AU20-23340</t>
  </si>
  <si>
    <t xml:space="preserve">        950/962 AU20-23310</t>
  </si>
  <si>
    <t xml:space="preserve">        950/962 AU20-23330</t>
  </si>
  <si>
    <t xml:space="preserve">        950/962AU20-1070</t>
  </si>
  <si>
    <t xml:space="preserve">    962 T3 HMU Testbed 4 (SN)</t>
  </si>
  <si>
    <t xml:space="preserve">        950/962 AU20-24890</t>
  </si>
  <si>
    <t>Start Testing 962 T3 HMU TB 4</t>
  </si>
  <si>
    <t xml:space="preserve">        950/962 AU20-24900</t>
  </si>
  <si>
    <t>LOE: 962 T3 HMU TB 4</t>
  </si>
  <si>
    <t xml:space="preserve">        950/962 AU20-24910</t>
  </si>
  <si>
    <t>Testing Complete: 962 T3 HMU TB 4</t>
  </si>
  <si>
    <t xml:space="preserve">        950/962 AU20-24920</t>
  </si>
  <si>
    <t>Reports Complete: 962 T3 HMU TB 4</t>
  </si>
  <si>
    <t xml:space="preserve">        950/962 AU201020</t>
  </si>
  <si>
    <t xml:space="preserve">        950/962 AU201015</t>
  </si>
  <si>
    <t xml:space="preserve">        950/962 AU20-24950</t>
  </si>
  <si>
    <t xml:space="preserve">        950/962 AU20-24960</t>
  </si>
  <si>
    <t xml:space="preserve">        950/962 AU20-24970</t>
  </si>
  <si>
    <t xml:space="preserve">      962 T3 Muffler Sound Validation</t>
  </si>
  <si>
    <t xml:space="preserve">        950/962 AU20-25490</t>
  </si>
  <si>
    <t>rogerar2.Rogers Adam R</t>
  </si>
  <si>
    <t xml:space="preserve">        950/962 AU20-25480</t>
  </si>
  <si>
    <t xml:space="preserve">      962 Endurance 0-500 hrs</t>
  </si>
  <si>
    <t xml:space="preserve">        950/962 AU20-25010</t>
  </si>
  <si>
    <t xml:space="preserve">        950/962 AU20-25000</t>
  </si>
  <si>
    <t>Endurance - 1 shift for 1st week</t>
  </si>
  <si>
    <t xml:space="preserve">        950/962 AU20-24990</t>
  </si>
  <si>
    <t>Endurance (40-250hr)</t>
  </si>
  <si>
    <t xml:space="preserve">        950/962 AU20-25030</t>
  </si>
  <si>
    <t>250hr Service/Inspect</t>
  </si>
  <si>
    <t xml:space="preserve">        950/962 AU20-25020</t>
  </si>
  <si>
    <t>Endurance (251-500hr)</t>
  </si>
  <si>
    <t xml:space="preserve">        950/962 AU20-24980</t>
  </si>
  <si>
    <t>500hr Service/Inspect/Update</t>
  </si>
  <si>
    <t xml:space="preserve">        950/962AU20-1080</t>
  </si>
  <si>
    <t xml:space="preserve">      962 Endurance 501-1000 hrs</t>
  </si>
  <si>
    <t xml:space="preserve">        950/962 AU20-25050</t>
  </si>
  <si>
    <t>Endurance (501-750hr)</t>
  </si>
  <si>
    <t xml:space="preserve">        950/962 AU20-25080</t>
  </si>
  <si>
    <t>750hr Service/Inspect</t>
  </si>
  <si>
    <t xml:space="preserve">        950/962 AU20-25070</t>
  </si>
  <si>
    <t>Endurance (751-1000hr)</t>
  </si>
  <si>
    <t xml:space="preserve">        950/962 AU20-25040</t>
  </si>
  <si>
    <t>1000hr Service/Inspect/Update</t>
  </si>
  <si>
    <t xml:space="preserve">      962 Endurance 1001-1500 hrs</t>
  </si>
  <si>
    <t xml:space="preserve">        950/962 AU20-25100</t>
  </si>
  <si>
    <t>Endurance (1001-1250hr)</t>
  </si>
  <si>
    <t xml:space="preserve">        950/962 AU20-25130</t>
  </si>
  <si>
    <t>1250hr Service/Inspect</t>
  </si>
  <si>
    <t xml:space="preserve">        950/962 AU20-25120</t>
  </si>
  <si>
    <t>Endurance (1251-1500hr)</t>
  </si>
  <si>
    <t xml:space="preserve">        950/962 AU20-25090</t>
  </si>
  <si>
    <t>1500hr Service/Inspect/Update</t>
  </si>
  <si>
    <t xml:space="preserve">        950/962AU20-1090</t>
  </si>
  <si>
    <t xml:space="preserve">      962 Endurance 1501-2000 hrs</t>
  </si>
  <si>
    <t xml:space="preserve">        950/962 AU20-25150</t>
  </si>
  <si>
    <t>Endurance (1501-1750hr)</t>
  </si>
  <si>
    <t xml:space="preserve">        950/962 AU20-25180</t>
  </si>
  <si>
    <t>1750hr Service/Inspect</t>
  </si>
  <si>
    <t xml:space="preserve">        950/962 AU20-25170</t>
  </si>
  <si>
    <t>Endurance (1750-2000hr)</t>
  </si>
  <si>
    <t xml:space="preserve">        950/962 AU20-25140</t>
  </si>
  <si>
    <t>2000hr Service/Inspect/Update</t>
  </si>
  <si>
    <t xml:space="preserve">      BOSCH Fuel System Eval</t>
  </si>
  <si>
    <t xml:space="preserve">        950/962 AU20-25310</t>
  </si>
  <si>
    <t xml:space="preserve">      962 Final Inspection</t>
  </si>
  <si>
    <t xml:space="preserve">        950/962 AU20-25330</t>
  </si>
  <si>
    <t>Rework (Imp valve, OEAII, NGSC, Pump)</t>
  </si>
  <si>
    <t xml:space="preserve">      962 Axle Pinion Bearing Inspection</t>
  </si>
  <si>
    <t xml:space="preserve">        950/962 AU20-21700</t>
  </si>
  <si>
    <t xml:space="preserve">        950/962 AU20-21720</t>
  </si>
  <si>
    <t xml:space="preserve">        950/962AU20-1100</t>
  </si>
  <si>
    <t xml:space="preserve">      962 T3 Sound Development</t>
  </si>
  <si>
    <t xml:space="preserve">        950/962 AU20-25590</t>
  </si>
  <si>
    <t>13-Jan-20*</t>
  </si>
  <si>
    <t xml:space="preserve">        950/962 AU20-25585</t>
  </si>
  <si>
    <t xml:space="preserve">        950/962AU20-1110</t>
  </si>
  <si>
    <t xml:space="preserve">      962 Altitude Test</t>
  </si>
  <si>
    <t xml:space="preserve">        950/962 AU20-25220</t>
  </si>
  <si>
    <t>Plan - 966M Altitude Performance Eval</t>
  </si>
  <si>
    <t xml:space="preserve">        950/962 AU20-25230</t>
  </si>
  <si>
    <t>Setup - 966M Altitude Performance Eval</t>
  </si>
  <si>
    <t>27-Apr-20*</t>
  </si>
  <si>
    <t xml:space="preserve">        950/962 AU20-25200</t>
  </si>
  <si>
    <t xml:space="preserve">        950/962 AU20-25210</t>
  </si>
  <si>
    <t>Run - Machine Checkout</t>
  </si>
  <si>
    <t xml:space="preserve">        950/962 AU20-25300</t>
  </si>
  <si>
    <t>Run Baseline</t>
  </si>
  <si>
    <t xml:space="preserve">        950/962 AU20-25260</t>
  </si>
  <si>
    <t>Ship machine to Denver CO</t>
  </si>
  <si>
    <t xml:space="preserve">        950/962 AU20-25270</t>
  </si>
  <si>
    <t>Run Response at Denver (5000 ft)</t>
  </si>
  <si>
    <t xml:space="preserve">        950/962 AU20-25280</t>
  </si>
  <si>
    <t>Ship machine to Leadville CO</t>
  </si>
  <si>
    <t xml:space="preserve">        950/962 AU20-25290</t>
  </si>
  <si>
    <t>Run Response at Leadville (10000 ft)</t>
  </si>
  <si>
    <t xml:space="preserve">        950/962 AU20-25190</t>
  </si>
  <si>
    <t>Ship machine back to PPG</t>
  </si>
  <si>
    <t xml:space="preserve">        950/962 AU20-25240</t>
  </si>
  <si>
    <t>Teardown - 966M Altitude Performance Eval</t>
  </si>
  <si>
    <t xml:space="preserve">        950/962 AU20-25250</t>
  </si>
  <si>
    <t>Report - 966M Altitude Performance Eval</t>
  </si>
  <si>
    <t xml:space="preserve">  Pilot Phase</t>
  </si>
  <si>
    <t xml:space="preserve">    962 HRC AU2020 Pilot #1 (SN)</t>
  </si>
  <si>
    <t xml:space="preserve">        950/962 AU20-5600</t>
  </si>
  <si>
    <t>Start Testing 962 HRC Pilot</t>
  </si>
  <si>
    <t xml:space="preserve">        950/962 AU20-5610</t>
  </si>
  <si>
    <t>LOE: 962 HRC Pilot</t>
  </si>
  <si>
    <t xml:space="preserve">        950/962 AU20-5630</t>
  </si>
  <si>
    <t>Reports Complete: 962 HRC Pilot</t>
  </si>
  <si>
    <t xml:space="preserve">        950/962 AU20-5620</t>
  </si>
  <si>
    <t>Testing Complete: 962 HRC Pilot</t>
  </si>
  <si>
    <t xml:space="preserve">      Machine Checkout</t>
  </si>
  <si>
    <t xml:space="preserve">        950/962 AU20-18290</t>
  </si>
  <si>
    <t xml:space="preserve">        950/962 AU20-18300</t>
  </si>
  <si>
    <t>08-Feb-21*</t>
  </si>
  <si>
    <t xml:space="preserve">      L5 Checkout</t>
  </si>
  <si>
    <t xml:space="preserve">        950/962 AU20-23110</t>
  </si>
  <si>
    <t xml:space="preserve">      SW Update</t>
  </si>
  <si>
    <t xml:space="preserve">        950/962 AU20-23120</t>
  </si>
  <si>
    <t xml:space="preserve">      962 HRC ISO 5010 Steering Certification</t>
  </si>
  <si>
    <t xml:space="preserve">        950/962 AU20-23440</t>
  </si>
  <si>
    <t xml:space="preserve">        950/962 AU20-23450</t>
  </si>
  <si>
    <t xml:space="preserve">        950/962 AU20-23460</t>
  </si>
  <si>
    <t xml:space="preserve">        950/962 AU20-23430</t>
  </si>
  <si>
    <t xml:space="preserve">        950/962 AU20-23470</t>
  </si>
  <si>
    <t xml:space="preserve">        950/962 AU20-23480</t>
  </si>
  <si>
    <t xml:space="preserve">      ISO 3450 Brake Cert STP24</t>
  </si>
  <si>
    <t xml:space="preserve">        950/962 AU201040</t>
  </si>
  <si>
    <t xml:space="preserve">        950/962 AU201025</t>
  </si>
  <si>
    <t xml:space="preserve">        950/962 AU201030</t>
  </si>
  <si>
    <t xml:space="preserve">        950/962 AU201050</t>
  </si>
  <si>
    <t xml:space="preserve">        950/962 AU201035</t>
  </si>
  <si>
    <t xml:space="preserve">        950/962 AU201045</t>
  </si>
  <si>
    <t xml:space="preserve">      962 HRC EMC Test</t>
  </si>
  <si>
    <t xml:space="preserve">        950/962 AU20-23240</t>
  </si>
  <si>
    <t xml:space="preserve">        950/962 AU20-23250</t>
  </si>
  <si>
    <t xml:space="preserve">        950/962 AU20-23260</t>
  </si>
  <si>
    <t xml:space="preserve">        950/962 AU20-23270</t>
  </si>
  <si>
    <t xml:space="preserve">        950/962 AU20-23280</t>
  </si>
  <si>
    <t xml:space="preserve">      962 Pilot HRC Endurance 0-500 hrs</t>
  </si>
  <si>
    <t xml:space="preserve">        950/962 AU20-23160</t>
  </si>
  <si>
    <t xml:space="preserve">        950/962 AU20-23150</t>
  </si>
  <si>
    <t xml:space="preserve">        950/962 AU20-23140</t>
  </si>
  <si>
    <t xml:space="preserve">        950/962 AU20-23180</t>
  </si>
  <si>
    <t xml:space="preserve">        950/962 AU20-23170</t>
  </si>
  <si>
    <t xml:space="preserve">        950/962 AU20-23130</t>
  </si>
  <si>
    <t xml:space="preserve">      962 Pilot HRC Endurance 501-1000 hrs</t>
  </si>
  <si>
    <t xml:space="preserve">        950/962 AU20-23200</t>
  </si>
  <si>
    <t xml:space="preserve">        950/962 AU20-23230</t>
  </si>
  <si>
    <t xml:space="preserve">        950/962 AU20-23220</t>
  </si>
  <si>
    <t xml:space="preserve">        950/962 AU20-23190</t>
  </si>
  <si>
    <t xml:space="preserve">      962 Pilot HRC Endurance 1001-1500 hrs</t>
  </si>
  <si>
    <t xml:space="preserve">        950/962 AU201060</t>
  </si>
  <si>
    <t xml:space="preserve">        950/962 AU201075</t>
  </si>
  <si>
    <t xml:space="preserve">        950/962 AU201070</t>
  </si>
  <si>
    <t xml:space="preserve">        950/962 AU201055</t>
  </si>
  <si>
    <t xml:space="preserve">    950 LRC AU2020 Endurance Pilot #2 (SN)</t>
  </si>
  <si>
    <t xml:space="preserve">        950/962 AU20-10440</t>
  </si>
  <si>
    <t>Start Testing 950 LRC Pilot</t>
  </si>
  <si>
    <t xml:space="preserve">        950/962 AU20-10470</t>
  </si>
  <si>
    <t>LOE: 950 LRC Pilot</t>
  </si>
  <si>
    <t xml:space="preserve">        950/962 AU20-10450</t>
  </si>
  <si>
    <t>Testing Complete: 950 LRC Pilot</t>
  </si>
  <si>
    <t xml:space="preserve">        950/962 AU20-23590</t>
  </si>
  <si>
    <t xml:space="preserve">        950/962 AU20-23600</t>
  </si>
  <si>
    <t>22-Feb-21*</t>
  </si>
  <si>
    <t xml:space="preserve">        950/962 AU20-23500</t>
  </si>
  <si>
    <t xml:space="preserve">        950/962 AU20-23510</t>
  </si>
  <si>
    <t xml:space="preserve">      950 LRC ISO 5010 Steering Certification</t>
  </si>
  <si>
    <t xml:space="preserve">        950/962 AU20-23530</t>
  </si>
  <si>
    <t xml:space="preserve">        950/962 AU20-23540</t>
  </si>
  <si>
    <t>18-Mar-21*</t>
  </si>
  <si>
    <t xml:space="preserve">        950/962 AU20-23550</t>
  </si>
  <si>
    <t xml:space="preserve">        950/962 AU20-23520</t>
  </si>
  <si>
    <t xml:space="preserve">        950/962 AU20-23560</t>
  </si>
  <si>
    <t xml:space="preserve">        950/962 AU20-23570</t>
  </si>
  <si>
    <t xml:space="preserve">      950 Pilot LRC Endurance 0-500 hrs</t>
  </si>
  <si>
    <t xml:space="preserve">        950/962 AU20-10410</t>
  </si>
  <si>
    <t xml:space="preserve">        950/962 AU20-10400</t>
  </si>
  <si>
    <t xml:space="preserve">        950/962 AU20-10390</t>
  </si>
  <si>
    <t xml:space="preserve">        950/962 AU20-10430</t>
  </si>
  <si>
    <t xml:space="preserve">        950/962 AU20-10420</t>
  </si>
  <si>
    <t xml:space="preserve">        950/962 AU20-10380</t>
  </si>
  <si>
    <t xml:space="preserve">      950 Pilot LRC Endurance 501-1000 hrs</t>
  </si>
  <si>
    <t xml:space="preserve">        950/962 AU20-10520</t>
  </si>
  <si>
    <t xml:space="preserve">        950/962 AU20-10550</t>
  </si>
  <si>
    <t xml:space="preserve">        950/962 AU20-10540</t>
  </si>
  <si>
    <t xml:space="preserve">        950/962 AU20-10510</t>
  </si>
  <si>
    <t xml:space="preserve">      950 Pilot LRC Endurance 1001-1500 hrs</t>
  </si>
  <si>
    <t xml:space="preserve">        950/962 AU20-10570</t>
  </si>
  <si>
    <t xml:space="preserve">        950/962 AU20-10600</t>
  </si>
  <si>
    <t xml:space="preserve">        950/962 AU20-10590</t>
  </si>
  <si>
    <t xml:space="preserve">        950/962 AU20-10560</t>
  </si>
  <si>
    <t xml:space="preserve">      950 Pilot LRC Endurance 1501-2000 hrs</t>
  </si>
  <si>
    <t xml:space="preserve">        950/962 AU20-10620</t>
  </si>
  <si>
    <t xml:space="preserve">        950/962 AU20-10650</t>
  </si>
  <si>
    <t xml:space="preserve">        950/962 AU20-10640</t>
  </si>
  <si>
    <t xml:space="preserve">        950/962 AU20-10610</t>
  </si>
  <si>
    <t xml:space="preserve">      950 Pilot LRC Endurance 2001-2500 hrs</t>
  </si>
  <si>
    <t xml:space="preserve">        950/962 AU20-10670</t>
  </si>
  <si>
    <t>Endurance (2001-2250hr)</t>
  </si>
  <si>
    <t xml:space="preserve">        950/962 AU20-10700</t>
  </si>
  <si>
    <t>2250hr Service/Inspect</t>
  </si>
  <si>
    <t xml:space="preserve">        950/962 AU20-10690</t>
  </si>
  <si>
    <t>Endurance (2251-2500hr)</t>
  </si>
  <si>
    <t xml:space="preserve">        950/962 AU20-10660</t>
  </si>
  <si>
    <t>2500hr Service/Inspect/Update</t>
  </si>
  <si>
    <t xml:space="preserve">      950 Pilot LRC Endurance 2501-3000 hrs</t>
  </si>
  <si>
    <t xml:space="preserve">        950/962 AU20-10720</t>
  </si>
  <si>
    <t>Endurance (2501-2550hr)</t>
  </si>
  <si>
    <t xml:space="preserve">        950/962 AU20-10750</t>
  </si>
  <si>
    <t>2550hr Service/Inspect</t>
  </si>
  <si>
    <t xml:space="preserve">        950/962 AU20-10740</t>
  </si>
  <si>
    <t>Endurance (2551-3000hr)</t>
  </si>
  <si>
    <t xml:space="preserve">        950/962 AU20-10710</t>
  </si>
  <si>
    <t>3000hr Service/Inspect/Update</t>
  </si>
  <si>
    <t xml:space="preserve">      950 Pilot LRC Endurance 3001-3500 hrs</t>
  </si>
  <si>
    <t xml:space="preserve">        950/962 AU201085</t>
  </si>
  <si>
    <t>Endurance (3001-3250hr)</t>
  </si>
  <si>
    <t xml:space="preserve">        950/962 AU201100</t>
  </si>
  <si>
    <t>3250hr Service/Inspect</t>
  </si>
  <si>
    <t xml:space="preserve">        950/962 AU201095</t>
  </si>
  <si>
    <t>Endurance (3251-3500hr)</t>
  </si>
  <si>
    <t xml:space="preserve">        950/962 AU201080</t>
  </si>
  <si>
    <t>3500hr Service/Inspect/Update</t>
  </si>
  <si>
    <t xml:space="preserve">      950 Pilot LRC Endurance 3501-4000 hrs</t>
  </si>
  <si>
    <t xml:space="preserve">        950/962 AU201110</t>
  </si>
  <si>
    <t>Endurance (3501-3750hr)</t>
  </si>
  <si>
    <t xml:space="preserve">        950/962 AU201125</t>
  </si>
  <si>
    <t>3750hr Service/Inspect</t>
  </si>
  <si>
    <t xml:space="preserve">        950/962 AU201120</t>
  </si>
  <si>
    <t>Endurance (3751-4000hr)</t>
  </si>
  <si>
    <t xml:space="preserve">        950/962 AU201105</t>
  </si>
  <si>
    <t>4000hr Service/Inspect/Update</t>
  </si>
  <si>
    <t xml:space="preserve">      950 Pilot LRC Endurance 4001-4500 hrs</t>
  </si>
  <si>
    <t xml:space="preserve">        950/962 AU201135</t>
  </si>
  <si>
    <t>Endurance (4001-4250hr)</t>
  </si>
  <si>
    <t xml:space="preserve">        950/962 AU201150</t>
  </si>
  <si>
    <t>4250hr Service/Inspect</t>
  </si>
  <si>
    <t xml:space="preserve">        950/962 AU201145</t>
  </si>
  <si>
    <t>Endurance (4250-4500hr)</t>
  </si>
  <si>
    <t xml:space="preserve">        950/962 AU201130</t>
  </si>
  <si>
    <t>4500hr Service/Inspect/Update</t>
  </si>
  <si>
    <t xml:space="preserve">      950 Pilot LRC Endurance 4501-5000 hrs</t>
  </si>
  <si>
    <t xml:space="preserve">        950/962 AU201160</t>
  </si>
  <si>
    <t>Endurance (4501-4750hr)</t>
  </si>
  <si>
    <t xml:space="preserve">        950/962 AU201175</t>
  </si>
  <si>
    <t>4750hr Service/Inspect</t>
  </si>
  <si>
    <t xml:space="preserve">        950/962 AU201170</t>
  </si>
  <si>
    <t>Endurance (4750-5000hr)</t>
  </si>
  <si>
    <t xml:space="preserve">        950/962 AU201155</t>
  </si>
  <si>
    <t>5000hr Service/Inspect/Update</t>
  </si>
  <si>
    <t>SW</t>
  </si>
  <si>
    <t>Machine</t>
  </si>
  <si>
    <t>Hydraulics</t>
  </si>
  <si>
    <t>Steering Tuning- Knotch Filter</t>
  </si>
  <si>
    <t xml:space="preserve">Steering Tuning- Operator Eval </t>
  </si>
  <si>
    <t>Steering Tuning - Perf Tuning</t>
  </si>
  <si>
    <t>Steering Tuning- Opr Eval Knotch Filter</t>
  </si>
  <si>
    <t>Transmission</t>
  </si>
  <si>
    <t>Performance</t>
  </si>
  <si>
    <t>Technology</t>
  </si>
  <si>
    <t>CAT E</t>
  </si>
  <si>
    <t>Safety and Regs</t>
  </si>
  <si>
    <t>Cooling</t>
  </si>
  <si>
    <t>Engine Installation</t>
  </si>
  <si>
    <t>NVH</t>
  </si>
  <si>
    <t xml:space="preserve">      MER #2  Engine Install Test</t>
  </si>
  <si>
    <t>Aurora Build</t>
  </si>
  <si>
    <t>Heavy Structures</t>
  </si>
  <si>
    <t>Light Fab &amp; MER</t>
  </si>
  <si>
    <t>ELI</t>
  </si>
  <si>
    <t>Product Support</t>
  </si>
  <si>
    <t>Endurance # 1</t>
  </si>
  <si>
    <t>Endurance # 2</t>
  </si>
  <si>
    <t>Endurance # 3</t>
  </si>
  <si>
    <t>Endurance # 4</t>
  </si>
  <si>
    <t>PPG Build</t>
  </si>
  <si>
    <t xml:space="preserve">      Electrical Load Study &amp; Battery   Shielded Cable</t>
  </si>
  <si>
    <t>Endurance # 5</t>
  </si>
  <si>
    <t>Endurance # 6</t>
  </si>
  <si>
    <t>Endurance # 7</t>
  </si>
  <si>
    <t>Endurance # 8</t>
  </si>
  <si>
    <t>Endurance # 9</t>
  </si>
  <si>
    <t>Endurance # 10</t>
  </si>
  <si>
    <t>PPG Machine Build</t>
  </si>
  <si>
    <t xml:space="preserve">      ISO 3450 Brake Certification</t>
  </si>
  <si>
    <t xml:space="preserve">      ISO 5010 Steering 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</si>
</sst>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9A4E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5" fontId="0" fillId="0" borderId="0" xfId="0" applyNumberFormat="1"/>
    <xf numFmtId="8" fontId="0" fillId="0" borderId="0" xfId="0" applyNumberFormat="1"/>
    <xf numFmtId="0" fontId="0" fillId="0" borderId="1" xfId="0" applyFill="1" applyBorder="1" applyAlignment="1">
      <alignment horizontal="center"/>
    </xf>
    <xf numFmtId="15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4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15" fontId="0" fillId="0" borderId="1" xfId="0" applyNumberFormat="1" applyBorder="1" applyAlignment="1">
      <alignment vertical="center"/>
    </xf>
    <xf numFmtId="0" fontId="0" fillId="3" borderId="1" xfId="0" applyFill="1" applyBorder="1"/>
    <xf numFmtId="0" fontId="0" fillId="0" borderId="1" xfId="0" applyBorder="1" applyAlignment="1">
      <alignment horizontal="left" indent="2"/>
    </xf>
    <xf numFmtId="15" fontId="0" fillId="3" borderId="1" xfId="0" applyNumberFormat="1" applyFill="1" applyBorder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15" fontId="0" fillId="0" borderId="1" xfId="0" applyNumberFormat="1" applyBorder="1" applyAlignment="1">
      <alignment horizontal="right" vertical="top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5" fontId="0" fillId="0" borderId="1" xfId="0" applyNumberFormat="1" applyBorder="1" applyAlignment="1">
      <alignment horizontal="right" vertical="center"/>
    </xf>
    <xf numFmtId="15" fontId="0" fillId="4" borderId="1" xfId="0" applyNumberFormat="1" applyFill="1" applyBorder="1"/>
    <xf numFmtId="0" fontId="0" fillId="0" borderId="2" xfId="0" applyFill="1" applyBorder="1" applyAlignment="1">
      <alignment vertical="center"/>
    </xf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42E5-104B-402D-847E-A291BA1E84B1}">
  <dimension ref="A1:H118"/>
  <sheetViews>
    <sheetView zoomScale="130" zoomScaleNormal="130" workbookViewId="0">
      <selection sqref="A1:D118"/>
    </sheetView>
  </sheetViews>
  <sheetFormatPr defaultRowHeight="13.2" x14ac:dyDescent="0.25"/>
  <cols>
    <col min="1" max="1" width="21.5546875" customWidth="1"/>
    <col min="2" max="2" width="38.21875" customWidth="1"/>
    <col min="3" max="4" width="11.5546875" bestFit="1" customWidth="1"/>
    <col min="7" max="7" width="37.6640625" bestFit="1" customWidth="1"/>
    <col min="8" max="8" width="14.77734375" bestFit="1" customWidth="1"/>
  </cols>
  <sheetData>
    <row r="1" spans="1:8" x14ac:dyDescent="0.25">
      <c r="B1" t="s">
        <v>0</v>
      </c>
      <c r="C1" t="s">
        <v>3</v>
      </c>
      <c r="D1" t="s">
        <v>4</v>
      </c>
      <c r="G1" t="s">
        <v>1</v>
      </c>
      <c r="H1" t="s">
        <v>2</v>
      </c>
    </row>
    <row r="2" spans="1:8" x14ac:dyDescent="0.25">
      <c r="A2" s="3"/>
      <c r="B2" s="9" t="s">
        <v>305</v>
      </c>
      <c r="C2" s="4">
        <v>43472</v>
      </c>
      <c r="D2" s="4">
        <v>43504</v>
      </c>
      <c r="E2" s="7">
        <f>DATEDIF(C2,D2,"d")</f>
        <v>32</v>
      </c>
      <c r="G2" s="3" t="s">
        <v>310</v>
      </c>
      <c r="H2" s="3">
        <v>10</v>
      </c>
    </row>
    <row r="3" spans="1:8" x14ac:dyDescent="0.25">
      <c r="A3" s="5" t="s">
        <v>888</v>
      </c>
      <c r="B3" s="10" t="s">
        <v>312</v>
      </c>
      <c r="C3" s="6">
        <v>43531</v>
      </c>
      <c r="D3" s="6">
        <v>43537</v>
      </c>
      <c r="E3" s="7">
        <f t="shared" ref="E3:E29" si="0">DATEDIF(C3,D3,"d")</f>
        <v>6</v>
      </c>
      <c r="G3" s="5" t="s">
        <v>314</v>
      </c>
      <c r="H3" s="5">
        <v>5</v>
      </c>
    </row>
    <row r="4" spans="1:8" x14ac:dyDescent="0.25">
      <c r="A4" s="5" t="s">
        <v>889</v>
      </c>
      <c r="B4" s="10" t="s">
        <v>315</v>
      </c>
      <c r="C4" s="6">
        <v>43538</v>
      </c>
      <c r="D4" s="6">
        <v>43542</v>
      </c>
      <c r="E4" s="7">
        <f t="shared" si="0"/>
        <v>4</v>
      </c>
      <c r="G4" s="5" t="s">
        <v>149</v>
      </c>
      <c r="H4" s="5">
        <v>3</v>
      </c>
    </row>
    <row r="5" spans="1:8" x14ac:dyDescent="0.25">
      <c r="A5" s="5" t="s">
        <v>890</v>
      </c>
      <c r="B5" s="10" t="s">
        <v>318</v>
      </c>
      <c r="C5" s="6">
        <v>43543</v>
      </c>
      <c r="D5" s="6">
        <v>43570</v>
      </c>
      <c r="E5" s="7">
        <f t="shared" si="0"/>
        <v>27</v>
      </c>
      <c r="G5" s="5"/>
      <c r="H5" s="5">
        <v>20</v>
      </c>
    </row>
    <row r="6" spans="1:8" x14ac:dyDescent="0.25">
      <c r="A6" s="5" t="s">
        <v>890</v>
      </c>
      <c r="B6" s="10" t="s">
        <v>891</v>
      </c>
      <c r="C6" s="6">
        <v>43543</v>
      </c>
      <c r="D6" s="6">
        <v>43545</v>
      </c>
      <c r="E6" s="7">
        <f t="shared" si="0"/>
        <v>2</v>
      </c>
      <c r="G6" s="5"/>
      <c r="H6" s="5">
        <v>3</v>
      </c>
    </row>
    <row r="7" spans="1:8" x14ac:dyDescent="0.25">
      <c r="A7" s="5" t="s">
        <v>890</v>
      </c>
      <c r="B7" s="10" t="s">
        <v>894</v>
      </c>
      <c r="C7" s="6">
        <v>43546</v>
      </c>
      <c r="D7" s="6">
        <v>43549</v>
      </c>
      <c r="E7" s="7">
        <f t="shared" si="0"/>
        <v>3</v>
      </c>
      <c r="G7" s="5"/>
      <c r="H7" s="5">
        <v>2</v>
      </c>
    </row>
    <row r="8" spans="1:8" x14ac:dyDescent="0.25">
      <c r="A8" s="5" t="s">
        <v>890</v>
      </c>
      <c r="B8" s="10" t="s">
        <v>893</v>
      </c>
      <c r="C8" s="6">
        <v>43550</v>
      </c>
      <c r="D8" s="6">
        <v>43563</v>
      </c>
      <c r="E8" s="7">
        <f t="shared" si="0"/>
        <v>13</v>
      </c>
      <c r="G8" s="5"/>
      <c r="H8" s="5">
        <v>10</v>
      </c>
    </row>
    <row r="9" spans="1:8" x14ac:dyDescent="0.25">
      <c r="A9" s="5" t="s">
        <v>890</v>
      </c>
      <c r="B9" s="10" t="s">
        <v>892</v>
      </c>
      <c r="C9" s="6">
        <v>43564</v>
      </c>
      <c r="D9" s="6">
        <v>43570</v>
      </c>
      <c r="E9" s="7">
        <f t="shared" si="0"/>
        <v>6</v>
      </c>
      <c r="G9" s="5"/>
      <c r="H9" s="5">
        <v>5</v>
      </c>
    </row>
    <row r="10" spans="1:8" x14ac:dyDescent="0.25">
      <c r="A10" s="5" t="s">
        <v>890</v>
      </c>
      <c r="B10" s="10" t="s">
        <v>328</v>
      </c>
      <c r="C10" s="6">
        <v>43564</v>
      </c>
      <c r="D10" s="6">
        <v>43600</v>
      </c>
      <c r="E10" s="7">
        <f t="shared" si="0"/>
        <v>36</v>
      </c>
      <c r="G10" s="5"/>
      <c r="H10" s="5">
        <v>27</v>
      </c>
    </row>
    <row r="11" spans="1:8" x14ac:dyDescent="0.25">
      <c r="A11" s="5" t="s">
        <v>888</v>
      </c>
      <c r="B11" s="10" t="s">
        <v>333</v>
      </c>
      <c r="C11" s="6">
        <v>43601</v>
      </c>
      <c r="D11" s="6">
        <v>43607</v>
      </c>
      <c r="E11" s="7">
        <f t="shared" si="0"/>
        <v>6</v>
      </c>
      <c r="G11" s="5"/>
      <c r="H11" s="5">
        <f>D11-C11</f>
        <v>6</v>
      </c>
    </row>
    <row r="12" spans="1:8" x14ac:dyDescent="0.25">
      <c r="A12" s="5" t="s">
        <v>895</v>
      </c>
      <c r="B12" s="10" t="s">
        <v>336</v>
      </c>
      <c r="C12" s="6">
        <v>43608</v>
      </c>
      <c r="D12" s="6">
        <v>43635</v>
      </c>
      <c r="E12" s="7">
        <f t="shared" si="0"/>
        <v>27</v>
      </c>
      <c r="G12" s="5"/>
      <c r="H12" s="5">
        <v>19</v>
      </c>
    </row>
    <row r="13" spans="1:8" x14ac:dyDescent="0.25">
      <c r="A13" s="5" t="s">
        <v>888</v>
      </c>
      <c r="B13" s="10" t="s">
        <v>341</v>
      </c>
      <c r="C13" s="6">
        <v>43636</v>
      </c>
      <c r="D13" s="6">
        <v>43657</v>
      </c>
      <c r="E13" s="7">
        <f t="shared" si="0"/>
        <v>21</v>
      </c>
      <c r="G13" s="5" t="s">
        <v>344</v>
      </c>
      <c r="H13" s="5">
        <v>25</v>
      </c>
    </row>
    <row r="14" spans="1:8" x14ac:dyDescent="0.25">
      <c r="A14" s="5" t="s">
        <v>888</v>
      </c>
      <c r="B14" s="10" t="s">
        <v>345</v>
      </c>
      <c r="C14" s="6">
        <v>43623</v>
      </c>
      <c r="D14" s="6">
        <v>43626</v>
      </c>
      <c r="E14" s="7">
        <f t="shared" si="0"/>
        <v>3</v>
      </c>
      <c r="G14" s="5"/>
      <c r="H14" s="5">
        <v>2</v>
      </c>
    </row>
    <row r="15" spans="1:8" x14ac:dyDescent="0.25">
      <c r="A15" s="5" t="s">
        <v>896</v>
      </c>
      <c r="B15" s="10" t="s">
        <v>348</v>
      </c>
      <c r="C15" s="6">
        <v>43658</v>
      </c>
      <c r="D15" s="6">
        <v>43671</v>
      </c>
      <c r="E15" s="7">
        <f t="shared" si="0"/>
        <v>13</v>
      </c>
      <c r="G15" s="5" t="s">
        <v>149</v>
      </c>
      <c r="H15" s="5">
        <v>10</v>
      </c>
    </row>
    <row r="16" spans="1:8" x14ac:dyDescent="0.25">
      <c r="A16" s="5" t="s">
        <v>899</v>
      </c>
      <c r="B16" s="10" t="s">
        <v>350</v>
      </c>
      <c r="C16" s="6">
        <v>43672</v>
      </c>
      <c r="D16" s="6">
        <v>43692</v>
      </c>
      <c r="E16" s="7">
        <f t="shared" si="0"/>
        <v>20</v>
      </c>
      <c r="G16" s="5"/>
      <c r="H16" s="5">
        <v>568</v>
      </c>
    </row>
    <row r="17" spans="1:8" ht="12.6" customHeight="1" x14ac:dyDescent="0.25">
      <c r="A17" s="5" t="s">
        <v>897</v>
      </c>
      <c r="B17" s="10" t="s">
        <v>369</v>
      </c>
      <c r="C17" s="6">
        <v>43692</v>
      </c>
      <c r="D17" s="6">
        <v>43696</v>
      </c>
      <c r="E17" s="7">
        <f t="shared" si="0"/>
        <v>4</v>
      </c>
      <c r="G17" s="5" t="s">
        <v>149</v>
      </c>
      <c r="H17" s="5">
        <v>3</v>
      </c>
    </row>
    <row r="18" spans="1:8" x14ac:dyDescent="0.25">
      <c r="A18" s="5" t="s">
        <v>898</v>
      </c>
      <c r="B18" s="10" t="s">
        <v>371</v>
      </c>
      <c r="C18" s="6">
        <v>43697</v>
      </c>
      <c r="D18" s="6">
        <v>43727</v>
      </c>
      <c r="E18" s="7">
        <f t="shared" si="0"/>
        <v>30</v>
      </c>
      <c r="G18" s="5"/>
      <c r="H18" s="5">
        <v>27</v>
      </c>
    </row>
    <row r="19" spans="1:8" x14ac:dyDescent="0.25">
      <c r="A19" s="5" t="s">
        <v>888</v>
      </c>
      <c r="B19" s="10" t="s">
        <v>376</v>
      </c>
      <c r="C19" s="6">
        <v>43728</v>
      </c>
      <c r="D19" s="6">
        <v>43741</v>
      </c>
      <c r="E19" s="7">
        <f t="shared" si="0"/>
        <v>13</v>
      </c>
      <c r="G19" s="5" t="s">
        <v>378</v>
      </c>
      <c r="H19" s="5">
        <v>10</v>
      </c>
    </row>
    <row r="20" spans="1:8" x14ac:dyDescent="0.25">
      <c r="A20" s="5" t="s">
        <v>888</v>
      </c>
      <c r="B20" s="10" t="s">
        <v>379</v>
      </c>
      <c r="C20" s="6">
        <v>43742</v>
      </c>
      <c r="D20" s="6">
        <v>43755</v>
      </c>
      <c r="E20" s="7">
        <f t="shared" si="0"/>
        <v>13</v>
      </c>
      <c r="G20" s="5" t="s">
        <v>149</v>
      </c>
      <c r="H20" s="5">
        <v>20</v>
      </c>
    </row>
    <row r="21" spans="1:8" x14ac:dyDescent="0.25">
      <c r="A21" s="5" t="s">
        <v>888</v>
      </c>
      <c r="B21" s="10" t="s">
        <v>383</v>
      </c>
      <c r="C21" s="6">
        <v>43805</v>
      </c>
      <c r="D21" s="6">
        <v>43818</v>
      </c>
      <c r="E21" s="7">
        <f t="shared" si="0"/>
        <v>13</v>
      </c>
      <c r="G21" s="5" t="s">
        <v>385</v>
      </c>
      <c r="H21" s="5">
        <v>10</v>
      </c>
    </row>
    <row r="22" spans="1:8" x14ac:dyDescent="0.25">
      <c r="A22" s="5" t="s">
        <v>896</v>
      </c>
      <c r="B22" s="10" t="s">
        <v>386</v>
      </c>
      <c r="C22" s="6">
        <v>43832</v>
      </c>
      <c r="D22" s="6">
        <v>43853</v>
      </c>
      <c r="E22" s="7">
        <f t="shared" si="0"/>
        <v>21</v>
      </c>
      <c r="G22" s="5" t="s">
        <v>149</v>
      </c>
      <c r="H22" s="5">
        <v>15</v>
      </c>
    </row>
    <row r="23" spans="1:8" x14ac:dyDescent="0.25">
      <c r="A23" s="5" t="s">
        <v>899</v>
      </c>
      <c r="B23" s="10" t="s">
        <v>388</v>
      </c>
      <c r="C23" s="6">
        <v>43854</v>
      </c>
      <c r="D23" s="6">
        <v>43892</v>
      </c>
      <c r="E23" s="7">
        <f t="shared" si="0"/>
        <v>38</v>
      </c>
      <c r="G23" s="5"/>
      <c r="H23" s="5">
        <v>77</v>
      </c>
    </row>
    <row r="24" spans="1:8" x14ac:dyDescent="0.25">
      <c r="A24" s="5" t="s">
        <v>888</v>
      </c>
      <c r="B24" s="10" t="s">
        <v>395</v>
      </c>
      <c r="C24" s="6">
        <v>43881</v>
      </c>
      <c r="D24" s="6">
        <v>43894</v>
      </c>
      <c r="E24" s="7">
        <f t="shared" si="0"/>
        <v>13</v>
      </c>
      <c r="G24" s="5" t="s">
        <v>397</v>
      </c>
      <c r="H24" s="5">
        <v>10</v>
      </c>
    </row>
    <row r="25" spans="1:8" x14ac:dyDescent="0.25">
      <c r="A25" s="5" t="s">
        <v>888</v>
      </c>
      <c r="B25" s="10" t="s">
        <v>399</v>
      </c>
      <c r="C25" s="6">
        <v>43895</v>
      </c>
      <c r="D25" s="6">
        <v>43898</v>
      </c>
      <c r="E25" s="7">
        <f t="shared" si="0"/>
        <v>3</v>
      </c>
      <c r="G25" s="5" t="s">
        <v>401</v>
      </c>
      <c r="H25" s="5">
        <v>4</v>
      </c>
    </row>
    <row r="26" spans="1:8" x14ac:dyDescent="0.25">
      <c r="A26" s="5" t="s">
        <v>888</v>
      </c>
      <c r="B26" s="10" t="s">
        <v>402</v>
      </c>
      <c r="C26" s="6">
        <v>43892</v>
      </c>
      <c r="D26" s="6">
        <v>43903</v>
      </c>
      <c r="E26" s="7">
        <f t="shared" si="0"/>
        <v>11</v>
      </c>
      <c r="G26" s="5" t="s">
        <v>404</v>
      </c>
      <c r="H26" s="5">
        <v>10</v>
      </c>
    </row>
    <row r="27" spans="1:8" x14ac:dyDescent="0.25">
      <c r="A27" s="5" t="s">
        <v>888</v>
      </c>
      <c r="B27" s="10" t="s">
        <v>405</v>
      </c>
      <c r="C27" s="6">
        <v>43952</v>
      </c>
      <c r="D27" s="6">
        <v>43965</v>
      </c>
      <c r="E27" s="7">
        <f t="shared" si="0"/>
        <v>13</v>
      </c>
      <c r="G27" s="5" t="s">
        <v>407</v>
      </c>
      <c r="H27" s="5">
        <v>10</v>
      </c>
    </row>
    <row r="28" spans="1:8" x14ac:dyDescent="0.25">
      <c r="A28" s="5" t="s">
        <v>888</v>
      </c>
      <c r="B28" s="10" t="s">
        <v>408</v>
      </c>
      <c r="C28" s="6">
        <v>44046</v>
      </c>
      <c r="D28" s="6">
        <v>44057</v>
      </c>
      <c r="E28" s="7">
        <f t="shared" si="0"/>
        <v>11</v>
      </c>
      <c r="G28" s="5" t="s">
        <v>410</v>
      </c>
      <c r="H28" s="5">
        <v>10</v>
      </c>
    </row>
    <row r="29" spans="1:8" x14ac:dyDescent="0.25">
      <c r="A29" s="5" t="s">
        <v>888</v>
      </c>
      <c r="B29" s="10" t="s">
        <v>411</v>
      </c>
      <c r="C29" s="6">
        <v>44058</v>
      </c>
      <c r="D29" s="6">
        <v>44061</v>
      </c>
      <c r="E29" s="7">
        <f t="shared" si="0"/>
        <v>3</v>
      </c>
      <c r="G29" s="5" t="s">
        <v>401</v>
      </c>
      <c r="H29" s="5">
        <v>4</v>
      </c>
    </row>
    <row r="30" spans="1:8" x14ac:dyDescent="0.25">
      <c r="A30" s="7"/>
      <c r="B30" s="11" t="s">
        <v>413</v>
      </c>
      <c r="C30" s="31">
        <v>43592</v>
      </c>
      <c r="D30" s="31">
        <v>44027</v>
      </c>
      <c r="G30" s="7" t="s">
        <v>904</v>
      </c>
      <c r="H30" s="7"/>
    </row>
    <row r="31" spans="1:8" x14ac:dyDescent="0.25">
      <c r="A31" s="7" t="s">
        <v>889</v>
      </c>
      <c r="B31" s="22" t="s">
        <v>424</v>
      </c>
      <c r="C31" s="8">
        <v>43592</v>
      </c>
      <c r="D31" s="8">
        <v>43593</v>
      </c>
      <c r="G31" s="7"/>
      <c r="H31" s="7">
        <f t="shared" ref="H31:H57" si="1">DATEDIF(C31,D31,"d")</f>
        <v>1</v>
      </c>
    </row>
    <row r="32" spans="1:8" x14ac:dyDescent="0.25">
      <c r="A32" s="7" t="s">
        <v>889</v>
      </c>
      <c r="B32" s="22" t="s">
        <v>428</v>
      </c>
      <c r="C32" s="8">
        <v>43594</v>
      </c>
      <c r="D32" s="8">
        <v>43594</v>
      </c>
      <c r="G32" s="7"/>
      <c r="H32" s="7">
        <f t="shared" si="1"/>
        <v>0</v>
      </c>
    </row>
    <row r="33" spans="1:8" x14ac:dyDescent="0.25">
      <c r="A33" s="7" t="s">
        <v>888</v>
      </c>
      <c r="B33" s="7" t="s">
        <v>312</v>
      </c>
      <c r="C33" s="8">
        <v>43595</v>
      </c>
      <c r="D33" s="8">
        <v>43608</v>
      </c>
      <c r="G33" s="7" t="s">
        <v>314</v>
      </c>
      <c r="H33" s="7">
        <f t="shared" si="1"/>
        <v>13</v>
      </c>
    </row>
    <row r="34" spans="1:8" x14ac:dyDescent="0.25">
      <c r="A34" s="7" t="s">
        <v>889</v>
      </c>
      <c r="B34" s="7" t="s">
        <v>223</v>
      </c>
      <c r="C34" s="8">
        <v>43609</v>
      </c>
      <c r="D34" s="8">
        <v>43614</v>
      </c>
      <c r="G34" s="7"/>
      <c r="H34" s="7">
        <f t="shared" si="1"/>
        <v>5</v>
      </c>
    </row>
    <row r="35" spans="1:8" x14ac:dyDescent="0.25">
      <c r="A35" s="7" t="s">
        <v>890</v>
      </c>
      <c r="B35" s="7" t="s">
        <v>433</v>
      </c>
      <c r="C35" s="8">
        <v>43615</v>
      </c>
      <c r="D35" s="8">
        <v>43635</v>
      </c>
      <c r="G35" s="7"/>
      <c r="H35" s="7">
        <f t="shared" si="1"/>
        <v>20</v>
      </c>
    </row>
    <row r="36" spans="1:8" x14ac:dyDescent="0.25">
      <c r="A36" s="7" t="s">
        <v>896</v>
      </c>
      <c r="B36" s="7" t="s">
        <v>348</v>
      </c>
      <c r="C36" s="8">
        <v>43636</v>
      </c>
      <c r="D36" s="8">
        <v>43649</v>
      </c>
      <c r="G36" s="7"/>
      <c r="H36" s="7">
        <f t="shared" si="1"/>
        <v>13</v>
      </c>
    </row>
    <row r="37" spans="1:8" x14ac:dyDescent="0.25">
      <c r="A37" s="7" t="s">
        <v>888</v>
      </c>
      <c r="B37" s="7" t="s">
        <v>345</v>
      </c>
      <c r="C37" s="8">
        <v>43623</v>
      </c>
      <c r="D37" s="8">
        <v>43626</v>
      </c>
      <c r="G37" s="7" t="s">
        <v>347</v>
      </c>
      <c r="H37" s="7">
        <f t="shared" si="1"/>
        <v>3</v>
      </c>
    </row>
    <row r="38" spans="1:8" x14ac:dyDescent="0.25">
      <c r="A38" s="7" t="s">
        <v>896</v>
      </c>
      <c r="B38" s="7" t="s">
        <v>438</v>
      </c>
      <c r="C38" s="8">
        <v>43651</v>
      </c>
      <c r="D38" s="8">
        <v>43663</v>
      </c>
      <c r="G38" s="7"/>
      <c r="H38" s="7">
        <f t="shared" si="1"/>
        <v>12</v>
      </c>
    </row>
    <row r="39" spans="1:8" x14ac:dyDescent="0.25">
      <c r="A39" s="7" t="s">
        <v>900</v>
      </c>
      <c r="B39" s="7" t="s">
        <v>447</v>
      </c>
      <c r="C39" s="8">
        <v>43664</v>
      </c>
      <c r="D39" s="8">
        <v>43671</v>
      </c>
      <c r="G39" s="7"/>
      <c r="H39" s="7">
        <f t="shared" si="1"/>
        <v>7</v>
      </c>
    </row>
    <row r="40" spans="1:8" x14ac:dyDescent="0.25">
      <c r="A40" s="7" t="s">
        <v>900</v>
      </c>
      <c r="B40" s="7" t="s">
        <v>453</v>
      </c>
      <c r="C40" s="8">
        <v>43672</v>
      </c>
      <c r="D40" s="8">
        <v>43677</v>
      </c>
      <c r="G40" s="7"/>
      <c r="H40" s="7">
        <f t="shared" si="1"/>
        <v>5</v>
      </c>
    </row>
    <row r="41" spans="1:8" ht="26.4" x14ac:dyDescent="0.25">
      <c r="A41" s="19" t="s">
        <v>900</v>
      </c>
      <c r="B41" s="13" t="s">
        <v>458</v>
      </c>
      <c r="C41" s="20">
        <v>43678</v>
      </c>
      <c r="D41" s="20">
        <v>43699</v>
      </c>
      <c r="G41" s="7"/>
      <c r="H41" s="7">
        <f t="shared" si="1"/>
        <v>21</v>
      </c>
    </row>
    <row r="42" spans="1:8" x14ac:dyDescent="0.25">
      <c r="A42" s="7" t="s">
        <v>901</v>
      </c>
      <c r="B42" s="7" t="s">
        <v>469</v>
      </c>
      <c r="C42" s="8">
        <v>43700</v>
      </c>
      <c r="D42" s="8">
        <v>43712</v>
      </c>
      <c r="G42" s="7"/>
      <c r="H42" s="7">
        <f t="shared" si="1"/>
        <v>12</v>
      </c>
    </row>
    <row r="43" spans="1:8" x14ac:dyDescent="0.25">
      <c r="A43" s="7" t="s">
        <v>890</v>
      </c>
      <c r="B43" s="7" t="s">
        <v>480</v>
      </c>
      <c r="C43" s="8">
        <f>D42+1</f>
        <v>43713</v>
      </c>
      <c r="D43" s="8">
        <v>43741</v>
      </c>
      <c r="G43" s="7"/>
      <c r="H43" s="7">
        <f t="shared" si="1"/>
        <v>28</v>
      </c>
    </row>
    <row r="44" spans="1:8" x14ac:dyDescent="0.25">
      <c r="A44" s="7" t="s">
        <v>888</v>
      </c>
      <c r="B44" s="7" t="s">
        <v>487</v>
      </c>
      <c r="C44" s="8">
        <v>43714</v>
      </c>
      <c r="D44" s="8">
        <v>43717</v>
      </c>
      <c r="G44" s="7" t="s">
        <v>378</v>
      </c>
      <c r="H44" s="7">
        <f t="shared" si="1"/>
        <v>3</v>
      </c>
    </row>
    <row r="45" spans="1:8" x14ac:dyDescent="0.25">
      <c r="A45" s="7" t="s">
        <v>902</v>
      </c>
      <c r="B45" s="7" t="s">
        <v>489</v>
      </c>
      <c r="C45" s="8">
        <v>43742</v>
      </c>
      <c r="D45" s="8">
        <v>43746</v>
      </c>
      <c r="G45" s="7"/>
      <c r="H45" s="7">
        <f t="shared" si="1"/>
        <v>4</v>
      </c>
    </row>
    <row r="46" spans="1:8" x14ac:dyDescent="0.25">
      <c r="A46" s="7" t="s">
        <v>896</v>
      </c>
      <c r="B46" s="7" t="s">
        <v>492</v>
      </c>
      <c r="C46" s="8">
        <v>43747</v>
      </c>
      <c r="D46" s="8">
        <v>43815</v>
      </c>
      <c r="G46" s="7"/>
      <c r="H46" s="7">
        <f t="shared" si="1"/>
        <v>68</v>
      </c>
    </row>
    <row r="47" spans="1:8" x14ac:dyDescent="0.25">
      <c r="A47" s="7" t="s">
        <v>888</v>
      </c>
      <c r="B47" s="7" t="s">
        <v>509</v>
      </c>
      <c r="C47" s="8">
        <v>43805</v>
      </c>
      <c r="D47" s="8">
        <v>43808</v>
      </c>
      <c r="G47" s="7" t="s">
        <v>385</v>
      </c>
      <c r="H47" s="7">
        <f t="shared" si="1"/>
        <v>3</v>
      </c>
    </row>
    <row r="48" spans="1:8" x14ac:dyDescent="0.25">
      <c r="A48" s="7" t="s">
        <v>896</v>
      </c>
      <c r="B48" s="7" t="s">
        <v>386</v>
      </c>
      <c r="C48" s="8">
        <v>43832</v>
      </c>
      <c r="D48" s="8">
        <v>43853</v>
      </c>
      <c r="G48" s="7"/>
      <c r="H48" s="7">
        <f t="shared" si="1"/>
        <v>21</v>
      </c>
    </row>
    <row r="49" spans="1:8" x14ac:dyDescent="0.25">
      <c r="A49" s="7" t="s">
        <v>901</v>
      </c>
      <c r="B49" s="7" t="s">
        <v>903</v>
      </c>
      <c r="C49" s="8">
        <v>43854</v>
      </c>
      <c r="D49" s="8">
        <v>43887</v>
      </c>
      <c r="G49" s="7"/>
      <c r="H49" s="7">
        <f t="shared" si="1"/>
        <v>33</v>
      </c>
    </row>
    <row r="50" spans="1:8" x14ac:dyDescent="0.25">
      <c r="A50" s="7" t="s">
        <v>899</v>
      </c>
      <c r="B50" s="7" t="s">
        <v>522</v>
      </c>
      <c r="C50" s="8">
        <v>43866</v>
      </c>
      <c r="D50" s="8">
        <v>43892</v>
      </c>
      <c r="G50" s="7"/>
      <c r="H50" s="7">
        <f t="shared" si="1"/>
        <v>26</v>
      </c>
    </row>
    <row r="51" spans="1:8" x14ac:dyDescent="0.25">
      <c r="A51" s="7" t="s">
        <v>888</v>
      </c>
      <c r="B51" s="7" t="s">
        <v>529</v>
      </c>
      <c r="C51" s="8">
        <v>43880</v>
      </c>
      <c r="D51" s="8">
        <v>43881</v>
      </c>
      <c r="G51" s="7" t="s">
        <v>397</v>
      </c>
      <c r="H51" s="7">
        <f t="shared" si="1"/>
        <v>1</v>
      </c>
    </row>
    <row r="52" spans="1:8" x14ac:dyDescent="0.25">
      <c r="A52" s="7" t="s">
        <v>895</v>
      </c>
      <c r="B52" s="7" t="s">
        <v>531</v>
      </c>
      <c r="C52" s="8">
        <v>43889</v>
      </c>
      <c r="D52" s="8">
        <v>43922</v>
      </c>
      <c r="G52" s="7"/>
      <c r="H52" s="7">
        <f t="shared" si="1"/>
        <v>33</v>
      </c>
    </row>
    <row r="53" spans="1:8" x14ac:dyDescent="0.25">
      <c r="A53" s="7" t="s">
        <v>901</v>
      </c>
      <c r="B53" s="7" t="s">
        <v>536</v>
      </c>
      <c r="C53" s="8">
        <v>43923</v>
      </c>
      <c r="D53" s="8">
        <v>43934</v>
      </c>
      <c r="G53" s="7"/>
      <c r="H53" s="7">
        <f t="shared" si="1"/>
        <v>11</v>
      </c>
    </row>
    <row r="54" spans="1:8" x14ac:dyDescent="0.25">
      <c r="A54" s="7" t="s">
        <v>895</v>
      </c>
      <c r="B54" s="7" t="s">
        <v>543</v>
      </c>
      <c r="C54" s="8">
        <v>43935</v>
      </c>
      <c r="D54" s="8">
        <v>43959</v>
      </c>
      <c r="G54" s="7"/>
      <c r="H54" s="7">
        <f t="shared" si="1"/>
        <v>24</v>
      </c>
    </row>
    <row r="55" spans="1:8" x14ac:dyDescent="0.25">
      <c r="A55" s="7" t="s">
        <v>896</v>
      </c>
      <c r="B55" s="7" t="s">
        <v>548</v>
      </c>
      <c r="C55" s="8">
        <v>43962</v>
      </c>
      <c r="D55" s="8">
        <v>43973</v>
      </c>
      <c r="G55" s="7"/>
      <c r="H55" s="7">
        <f t="shared" si="1"/>
        <v>11</v>
      </c>
    </row>
    <row r="56" spans="1:8" x14ac:dyDescent="0.25">
      <c r="A56" s="7" t="s">
        <v>902</v>
      </c>
      <c r="B56" s="7" t="s">
        <v>555</v>
      </c>
      <c r="C56" s="8">
        <v>43977</v>
      </c>
      <c r="D56" s="8">
        <v>43979</v>
      </c>
      <c r="G56" s="7"/>
      <c r="H56" s="7">
        <f t="shared" si="1"/>
        <v>2</v>
      </c>
    </row>
    <row r="57" spans="1:8" x14ac:dyDescent="0.25">
      <c r="A57" s="7" t="s">
        <v>896</v>
      </c>
      <c r="B57" s="7" t="s">
        <v>558</v>
      </c>
      <c r="C57" s="8">
        <v>43980</v>
      </c>
      <c r="D57" s="8">
        <v>44000</v>
      </c>
      <c r="G57" s="7"/>
      <c r="H57" s="7">
        <f t="shared" si="1"/>
        <v>20</v>
      </c>
    </row>
    <row r="58" spans="1:8" x14ac:dyDescent="0.25">
      <c r="A58" s="7"/>
      <c r="B58" s="12" t="s">
        <v>566</v>
      </c>
      <c r="C58" s="8">
        <v>43545</v>
      </c>
      <c r="D58" s="8">
        <v>43602</v>
      </c>
      <c r="G58" s="7" t="s">
        <v>913</v>
      </c>
      <c r="H58" s="7">
        <v>42</v>
      </c>
    </row>
    <row r="59" spans="1:8" ht="39.6" x14ac:dyDescent="0.25">
      <c r="A59" s="19" t="s">
        <v>889</v>
      </c>
      <c r="B59" s="32" t="s">
        <v>921</v>
      </c>
      <c r="C59" s="28">
        <v>43570</v>
      </c>
      <c r="D59" s="28">
        <v>43602</v>
      </c>
      <c r="G59" s="14" t="s">
        <v>578</v>
      </c>
      <c r="H59" s="19">
        <v>17</v>
      </c>
    </row>
    <row r="60" spans="1:8" x14ac:dyDescent="0.25">
      <c r="A60" s="7" t="s">
        <v>888</v>
      </c>
      <c r="B60" s="18" t="s">
        <v>580</v>
      </c>
      <c r="C60" s="8">
        <v>43605</v>
      </c>
      <c r="D60" s="8">
        <v>43626</v>
      </c>
      <c r="G60" s="7"/>
      <c r="H60" s="7">
        <v>15</v>
      </c>
    </row>
    <row r="61" spans="1:8" x14ac:dyDescent="0.25">
      <c r="A61" s="7" t="s">
        <v>889</v>
      </c>
      <c r="B61" s="18" t="s">
        <v>223</v>
      </c>
      <c r="C61" s="8">
        <v>43627</v>
      </c>
      <c r="D61" s="8">
        <v>43629</v>
      </c>
      <c r="G61" s="7"/>
      <c r="H61" s="7">
        <v>13</v>
      </c>
    </row>
    <row r="62" spans="1:8" x14ac:dyDescent="0.25">
      <c r="A62" s="7" t="s">
        <v>890</v>
      </c>
      <c r="B62" s="18" t="s">
        <v>480</v>
      </c>
      <c r="C62" s="8">
        <v>43630</v>
      </c>
      <c r="D62" s="8">
        <v>43661</v>
      </c>
      <c r="G62" s="7"/>
      <c r="H62" s="7">
        <v>58</v>
      </c>
    </row>
    <row r="63" spans="1:8" ht="26.4" x14ac:dyDescent="0.25">
      <c r="A63" s="25" t="s">
        <v>906</v>
      </c>
      <c r="B63" s="15" t="s">
        <v>590</v>
      </c>
      <c r="C63" s="27">
        <v>43662</v>
      </c>
      <c r="D63" s="27">
        <v>43691</v>
      </c>
      <c r="E63" s="7"/>
      <c r="G63" s="25"/>
      <c r="H63" s="26">
        <v>24</v>
      </c>
    </row>
    <row r="64" spans="1:8" x14ac:dyDescent="0.25">
      <c r="A64" s="7" t="s">
        <v>888</v>
      </c>
      <c r="B64" s="18" t="s">
        <v>345</v>
      </c>
      <c r="C64" s="8">
        <f>D63+1</f>
        <v>43692</v>
      </c>
      <c r="D64" s="8">
        <f>C64+H64</f>
        <v>43694</v>
      </c>
      <c r="G64" s="7" t="s">
        <v>347</v>
      </c>
      <c r="H64" s="7">
        <v>2</v>
      </c>
    </row>
    <row r="65" spans="1:8" x14ac:dyDescent="0.25">
      <c r="A65" s="7" t="s">
        <v>905</v>
      </c>
      <c r="B65" s="18" t="s">
        <v>602</v>
      </c>
      <c r="C65" s="8">
        <v>43692</v>
      </c>
      <c r="D65" s="8">
        <v>43733</v>
      </c>
      <c r="G65" s="7"/>
      <c r="H65" s="7">
        <f t="shared" ref="H65:H72" si="2">DATEDIF(C65, D65,"d")</f>
        <v>41</v>
      </c>
    </row>
    <row r="66" spans="1:8" x14ac:dyDescent="0.25">
      <c r="A66" s="7" t="s">
        <v>888</v>
      </c>
      <c r="B66" s="18" t="s">
        <v>487</v>
      </c>
      <c r="C66" s="8">
        <v>43714</v>
      </c>
      <c r="D66" s="8">
        <v>43717</v>
      </c>
      <c r="G66" s="7" t="s">
        <v>378</v>
      </c>
      <c r="H66" s="7">
        <f t="shared" si="2"/>
        <v>3</v>
      </c>
    </row>
    <row r="67" spans="1:8" x14ac:dyDescent="0.25">
      <c r="A67" s="7" t="s">
        <v>896</v>
      </c>
      <c r="B67" s="18" t="s">
        <v>348</v>
      </c>
      <c r="C67" s="8">
        <v>43734</v>
      </c>
      <c r="D67" s="8">
        <v>43754</v>
      </c>
      <c r="G67" s="7"/>
      <c r="H67" s="7">
        <f t="shared" si="2"/>
        <v>20</v>
      </c>
    </row>
    <row r="68" spans="1:8" ht="26.4" x14ac:dyDescent="0.25">
      <c r="A68" s="17" t="s">
        <v>907</v>
      </c>
      <c r="B68" s="14" t="s">
        <v>914</v>
      </c>
      <c r="C68" s="30">
        <v>43776</v>
      </c>
      <c r="D68" s="30">
        <v>43782</v>
      </c>
      <c r="G68" s="19"/>
      <c r="H68" s="29">
        <f t="shared" si="2"/>
        <v>6</v>
      </c>
    </row>
    <row r="69" spans="1:8" x14ac:dyDescent="0.25">
      <c r="A69" s="7" t="s">
        <v>908</v>
      </c>
      <c r="B69" s="18" t="s">
        <v>625</v>
      </c>
      <c r="C69" s="8">
        <v>43794</v>
      </c>
      <c r="D69" s="8">
        <v>43795</v>
      </c>
      <c r="G69" s="7"/>
      <c r="H69" s="7">
        <f t="shared" si="2"/>
        <v>1</v>
      </c>
    </row>
    <row r="70" spans="1:8" x14ac:dyDescent="0.25">
      <c r="A70" s="7" t="s">
        <v>899</v>
      </c>
      <c r="B70" s="18" t="s">
        <v>628</v>
      </c>
      <c r="C70" s="8">
        <v>43796</v>
      </c>
      <c r="D70" s="8">
        <v>43801</v>
      </c>
      <c r="G70" s="7"/>
      <c r="H70" s="7">
        <f t="shared" si="2"/>
        <v>5</v>
      </c>
    </row>
    <row r="71" spans="1:8" x14ac:dyDescent="0.25">
      <c r="A71" s="7" t="s">
        <v>888</v>
      </c>
      <c r="B71" s="18" t="s">
        <v>509</v>
      </c>
      <c r="C71" s="8">
        <v>43805</v>
      </c>
      <c r="D71" s="8">
        <v>43808</v>
      </c>
      <c r="G71" s="7" t="s">
        <v>385</v>
      </c>
      <c r="H71" s="7">
        <f t="shared" si="2"/>
        <v>3</v>
      </c>
    </row>
    <row r="72" spans="1:8" x14ac:dyDescent="0.25">
      <c r="A72" s="7" t="s">
        <v>899</v>
      </c>
      <c r="B72" s="18" t="s">
        <v>631</v>
      </c>
      <c r="C72" s="8">
        <v>43832</v>
      </c>
      <c r="D72" s="8">
        <v>43857</v>
      </c>
      <c r="G72" s="7"/>
      <c r="H72" s="7">
        <f t="shared" si="2"/>
        <v>25</v>
      </c>
    </row>
    <row r="73" spans="1:8" ht="13.2" customHeight="1" x14ac:dyDescent="0.25">
      <c r="A73" s="7" t="s">
        <v>888</v>
      </c>
      <c r="B73" s="18" t="s">
        <v>529</v>
      </c>
      <c r="C73" s="8">
        <v>43880</v>
      </c>
      <c r="D73" s="8">
        <v>43881</v>
      </c>
      <c r="G73" s="7" t="s">
        <v>397</v>
      </c>
      <c r="H73" s="7">
        <v>2</v>
      </c>
    </row>
    <row r="74" spans="1:8" x14ac:dyDescent="0.25">
      <c r="A74" s="7"/>
      <c r="B74" s="21" t="s">
        <v>639</v>
      </c>
      <c r="C74" s="23">
        <v>43552</v>
      </c>
      <c r="D74" s="23">
        <f>D93</f>
        <v>43984</v>
      </c>
      <c r="G74" s="7"/>
      <c r="H74" s="21">
        <f>SUM(H75:H93)</f>
        <v>245</v>
      </c>
    </row>
    <row r="75" spans="1:8" x14ac:dyDescent="0.25">
      <c r="A75" s="7" t="s">
        <v>889</v>
      </c>
      <c r="B75" s="7" t="s">
        <v>422</v>
      </c>
      <c r="C75" s="8">
        <v>43586</v>
      </c>
      <c r="D75" s="8">
        <v>43631</v>
      </c>
      <c r="G75" s="7"/>
      <c r="H75" s="7">
        <v>3</v>
      </c>
    </row>
    <row r="76" spans="1:8" x14ac:dyDescent="0.25">
      <c r="A76" s="7" t="s">
        <v>889</v>
      </c>
      <c r="B76" s="22" t="s">
        <v>424</v>
      </c>
      <c r="C76" s="8">
        <f>D75+1</f>
        <v>43632</v>
      </c>
      <c r="D76" s="8">
        <f t="shared" ref="D76:D87" si="3">C76+H76</f>
        <v>43634</v>
      </c>
      <c r="G76" s="7"/>
      <c r="H76" s="7">
        <v>2</v>
      </c>
    </row>
    <row r="77" spans="1:8" x14ac:dyDescent="0.25">
      <c r="A77" s="7" t="s">
        <v>889</v>
      </c>
      <c r="B77" s="22" t="s">
        <v>428</v>
      </c>
      <c r="C77" s="8">
        <f>D76</f>
        <v>43634</v>
      </c>
      <c r="D77" s="8">
        <f t="shared" si="3"/>
        <v>43635</v>
      </c>
      <c r="G77" s="7"/>
      <c r="H77" s="7">
        <v>1</v>
      </c>
    </row>
    <row r="78" spans="1:8" x14ac:dyDescent="0.25">
      <c r="A78" s="7" t="s">
        <v>889</v>
      </c>
      <c r="B78" s="7" t="s">
        <v>223</v>
      </c>
      <c r="C78" s="8">
        <f>D77+1</f>
        <v>43636</v>
      </c>
      <c r="D78" s="8">
        <f t="shared" si="3"/>
        <v>43641</v>
      </c>
      <c r="G78" s="7" t="s">
        <v>149</v>
      </c>
      <c r="H78" s="7">
        <v>5</v>
      </c>
    </row>
    <row r="79" spans="1:8" x14ac:dyDescent="0.25">
      <c r="A79" s="7" t="s">
        <v>908</v>
      </c>
      <c r="B79" s="7" t="s">
        <v>625</v>
      </c>
      <c r="C79" s="8">
        <f t="shared" ref="C79:C88" si="4">D78+1</f>
        <v>43642</v>
      </c>
      <c r="D79" s="8">
        <f t="shared" si="3"/>
        <v>43644</v>
      </c>
      <c r="G79" s="7"/>
      <c r="H79" s="7">
        <v>2</v>
      </c>
    </row>
    <row r="80" spans="1:8" x14ac:dyDescent="0.25">
      <c r="A80" s="7" t="s">
        <v>902</v>
      </c>
      <c r="B80" s="7" t="s">
        <v>653</v>
      </c>
      <c r="C80" s="8">
        <f t="shared" si="4"/>
        <v>43645</v>
      </c>
      <c r="D80" s="8">
        <f t="shared" si="3"/>
        <v>43647</v>
      </c>
      <c r="G80" s="7" t="s">
        <v>285</v>
      </c>
      <c r="H80" s="7">
        <v>2</v>
      </c>
    </row>
    <row r="81" spans="1:8" x14ac:dyDescent="0.25">
      <c r="A81" s="7" t="s">
        <v>909</v>
      </c>
      <c r="B81" s="7" t="s">
        <v>657</v>
      </c>
      <c r="C81" s="8">
        <f t="shared" si="4"/>
        <v>43648</v>
      </c>
      <c r="D81" s="8">
        <f t="shared" si="3"/>
        <v>43716</v>
      </c>
      <c r="G81" s="7"/>
      <c r="H81" s="7">
        <v>68</v>
      </c>
    </row>
    <row r="82" spans="1:8" x14ac:dyDescent="0.25">
      <c r="A82" s="7" t="s">
        <v>888</v>
      </c>
      <c r="B82" s="7" t="s">
        <v>345</v>
      </c>
      <c r="C82" s="8">
        <f t="shared" si="4"/>
        <v>43717</v>
      </c>
      <c r="D82" s="8">
        <f t="shared" si="3"/>
        <v>43719</v>
      </c>
      <c r="G82" s="7" t="s">
        <v>347</v>
      </c>
      <c r="H82" s="7">
        <v>2</v>
      </c>
    </row>
    <row r="83" spans="1:8" x14ac:dyDescent="0.25">
      <c r="A83" s="7" t="s">
        <v>910</v>
      </c>
      <c r="B83" s="7" t="s">
        <v>670</v>
      </c>
      <c r="C83" s="8">
        <f t="shared" si="4"/>
        <v>43720</v>
      </c>
      <c r="D83" s="8">
        <f t="shared" si="3"/>
        <v>43748</v>
      </c>
      <c r="G83" s="7"/>
      <c r="H83" s="7">
        <v>28</v>
      </c>
    </row>
    <row r="84" spans="1:8" x14ac:dyDescent="0.25">
      <c r="A84" s="7" t="s">
        <v>911</v>
      </c>
      <c r="B84" s="7" t="s">
        <v>679</v>
      </c>
      <c r="C84" s="8">
        <f t="shared" si="4"/>
        <v>43749</v>
      </c>
      <c r="D84" s="8">
        <f t="shared" si="3"/>
        <v>43778</v>
      </c>
      <c r="G84" s="7"/>
      <c r="H84" s="7">
        <v>29</v>
      </c>
    </row>
    <row r="85" spans="1:8" x14ac:dyDescent="0.25">
      <c r="A85" s="7" t="s">
        <v>888</v>
      </c>
      <c r="B85" s="7" t="s">
        <v>487</v>
      </c>
      <c r="C85" s="8">
        <f t="shared" si="4"/>
        <v>43779</v>
      </c>
      <c r="D85" s="8">
        <f t="shared" si="3"/>
        <v>43781</v>
      </c>
      <c r="G85" s="7" t="s">
        <v>378</v>
      </c>
      <c r="H85" s="7">
        <v>2</v>
      </c>
    </row>
    <row r="86" spans="1:8" x14ac:dyDescent="0.25">
      <c r="A86" s="7" t="s">
        <v>912</v>
      </c>
      <c r="B86" s="7" t="s">
        <v>689</v>
      </c>
      <c r="C86" s="8">
        <f t="shared" si="4"/>
        <v>43782</v>
      </c>
      <c r="D86" s="8">
        <f t="shared" si="3"/>
        <v>43812</v>
      </c>
      <c r="G86" s="7"/>
      <c r="H86" s="7">
        <v>30</v>
      </c>
    </row>
    <row r="87" spans="1:8" x14ac:dyDescent="0.25">
      <c r="A87" s="7" t="s">
        <v>901</v>
      </c>
      <c r="B87" s="7" t="s">
        <v>698</v>
      </c>
      <c r="C87" s="8">
        <f t="shared" si="4"/>
        <v>43813</v>
      </c>
      <c r="D87" s="8">
        <f t="shared" si="3"/>
        <v>43818</v>
      </c>
      <c r="G87" s="7" t="s">
        <v>149</v>
      </c>
      <c r="H87" s="7">
        <v>5</v>
      </c>
    </row>
    <row r="88" spans="1:8" x14ac:dyDescent="0.25">
      <c r="A88" s="7" t="s">
        <v>889</v>
      </c>
      <c r="B88" s="7" t="s">
        <v>700</v>
      </c>
      <c r="C88" s="8">
        <f t="shared" si="4"/>
        <v>43819</v>
      </c>
      <c r="D88" s="8">
        <f>C88+13</f>
        <v>43832</v>
      </c>
      <c r="G88" s="7" t="s">
        <v>702</v>
      </c>
      <c r="H88" s="7">
        <v>13</v>
      </c>
    </row>
    <row r="89" spans="1:8" x14ac:dyDescent="0.25">
      <c r="A89" s="7" t="s">
        <v>889</v>
      </c>
      <c r="B89" s="7" t="s">
        <v>703</v>
      </c>
      <c r="C89" s="8">
        <f>D88+1</f>
        <v>43833</v>
      </c>
      <c r="D89" s="8">
        <f>C89+H89</f>
        <v>43843</v>
      </c>
      <c r="G89" s="7"/>
      <c r="H89" s="7">
        <v>10</v>
      </c>
    </row>
    <row r="90" spans="1:8" x14ac:dyDescent="0.25">
      <c r="A90" s="7" t="s">
        <v>888</v>
      </c>
      <c r="B90" s="7" t="s">
        <v>509</v>
      </c>
      <c r="C90" s="8">
        <f>D89+1</f>
        <v>43844</v>
      </c>
      <c r="D90" s="8">
        <f>C90+H90</f>
        <v>43846</v>
      </c>
      <c r="G90" s="7" t="s">
        <v>385</v>
      </c>
      <c r="H90" s="7">
        <v>2</v>
      </c>
    </row>
    <row r="91" spans="1:8" x14ac:dyDescent="0.25">
      <c r="A91" s="7" t="s">
        <v>902</v>
      </c>
      <c r="B91" s="7" t="s">
        <v>707</v>
      </c>
      <c r="C91" s="8">
        <f t="shared" ref="C91" si="5">D90+1</f>
        <v>43847</v>
      </c>
      <c r="D91" s="8">
        <f>C91+H91</f>
        <v>43850</v>
      </c>
      <c r="G91" s="7" t="s">
        <v>285</v>
      </c>
      <c r="H91" s="7">
        <v>3</v>
      </c>
    </row>
    <row r="92" spans="1:8" x14ac:dyDescent="0.25">
      <c r="A92" s="7" t="s">
        <v>888</v>
      </c>
      <c r="B92" s="7" t="s">
        <v>529</v>
      </c>
      <c r="C92" s="8">
        <v>43880</v>
      </c>
      <c r="D92" s="8">
        <f>C92+H92</f>
        <v>43882</v>
      </c>
      <c r="G92" s="7"/>
      <c r="H92" s="7">
        <v>2</v>
      </c>
    </row>
    <row r="93" spans="1:8" x14ac:dyDescent="0.25">
      <c r="A93" s="7" t="s">
        <v>896</v>
      </c>
      <c r="B93" s="7" t="s">
        <v>712</v>
      </c>
      <c r="C93" s="8">
        <v>43948</v>
      </c>
      <c r="D93" s="8">
        <f>C93+H93</f>
        <v>43984</v>
      </c>
      <c r="G93" s="7"/>
      <c r="H93" s="7">
        <v>36</v>
      </c>
    </row>
    <row r="94" spans="1:8" x14ac:dyDescent="0.25">
      <c r="A94" s="7"/>
      <c r="B94" s="33" t="s">
        <v>738</v>
      </c>
      <c r="C94" s="8">
        <v>44221</v>
      </c>
      <c r="D94" s="8">
        <v>44438</v>
      </c>
      <c r="H94">
        <v>154</v>
      </c>
    </row>
    <row r="95" spans="1:8" x14ac:dyDescent="0.25">
      <c r="A95" s="7" t="s">
        <v>889</v>
      </c>
      <c r="B95" s="7" t="s">
        <v>747</v>
      </c>
      <c r="C95" s="8">
        <v>44235</v>
      </c>
      <c r="D95" s="8">
        <v>44237</v>
      </c>
      <c r="H95">
        <v>3</v>
      </c>
    </row>
    <row r="96" spans="1:8" x14ac:dyDescent="0.25">
      <c r="A96" s="7" t="s">
        <v>896</v>
      </c>
      <c r="B96" s="7" t="s">
        <v>751</v>
      </c>
      <c r="C96" s="8">
        <v>44238</v>
      </c>
      <c r="D96" s="8">
        <v>44244</v>
      </c>
      <c r="H96">
        <v>5</v>
      </c>
    </row>
    <row r="97" spans="1:8" x14ac:dyDescent="0.25">
      <c r="A97" s="7" t="s">
        <v>888</v>
      </c>
      <c r="B97" s="7" t="s">
        <v>753</v>
      </c>
      <c r="C97" s="8">
        <v>44245</v>
      </c>
      <c r="D97" s="8">
        <v>44251</v>
      </c>
      <c r="H97">
        <v>5</v>
      </c>
    </row>
    <row r="98" spans="1:8" x14ac:dyDescent="0.25">
      <c r="A98" s="7" t="s">
        <v>899</v>
      </c>
      <c r="B98" s="7" t="s">
        <v>755</v>
      </c>
      <c r="C98" s="8">
        <v>44252</v>
      </c>
      <c r="D98" s="8">
        <v>44274</v>
      </c>
      <c r="H98">
        <f>DATEDIF(C98,D98,"d")</f>
        <v>22</v>
      </c>
    </row>
    <row r="99" spans="1:8" x14ac:dyDescent="0.25">
      <c r="A99" s="7" t="s">
        <v>899</v>
      </c>
      <c r="B99" s="7" t="s">
        <v>762</v>
      </c>
      <c r="C99" s="8">
        <v>44277</v>
      </c>
      <c r="D99" s="8">
        <v>44301</v>
      </c>
      <c r="H99">
        <f>DATEDIF(C99,D99,"d")</f>
        <v>24</v>
      </c>
    </row>
    <row r="100" spans="1:8" x14ac:dyDescent="0.25">
      <c r="A100" s="7" t="s">
        <v>899</v>
      </c>
      <c r="B100" s="7" t="s">
        <v>769</v>
      </c>
      <c r="C100" s="8">
        <v>44302</v>
      </c>
      <c r="D100" s="8">
        <v>44313</v>
      </c>
      <c r="H100">
        <v>77</v>
      </c>
    </row>
    <row r="101" spans="1:8" x14ac:dyDescent="0.25">
      <c r="A101" s="7" t="s">
        <v>909</v>
      </c>
      <c r="B101" s="7" t="s">
        <v>775</v>
      </c>
      <c r="C101" s="8">
        <v>44258</v>
      </c>
      <c r="D101" s="8">
        <v>44355</v>
      </c>
      <c r="H101">
        <v>69</v>
      </c>
    </row>
    <row r="102" spans="1:8" x14ac:dyDescent="0.25">
      <c r="A102" s="7" t="s">
        <v>910</v>
      </c>
      <c r="B102" s="7" t="s">
        <v>782</v>
      </c>
      <c r="C102" s="8">
        <v>44356</v>
      </c>
      <c r="D102" s="8">
        <v>44396</v>
      </c>
      <c r="H102">
        <v>28</v>
      </c>
    </row>
    <row r="103" spans="1:8" x14ac:dyDescent="0.25">
      <c r="A103" s="7" t="s">
        <v>911</v>
      </c>
      <c r="B103" s="7" t="s">
        <v>787</v>
      </c>
      <c r="C103" s="8">
        <v>44397</v>
      </c>
      <c r="D103" s="8">
        <v>44438</v>
      </c>
      <c r="H103">
        <v>30</v>
      </c>
    </row>
    <row r="104" spans="1:8" x14ac:dyDescent="0.25">
      <c r="A104" s="7"/>
      <c r="B104" s="34" t="s">
        <v>792</v>
      </c>
      <c r="C104" s="8">
        <v>44235</v>
      </c>
      <c r="D104" s="8">
        <v>44718</v>
      </c>
      <c r="H104">
        <v>333</v>
      </c>
    </row>
    <row r="105" spans="1:8" x14ac:dyDescent="0.25">
      <c r="A105" s="7" t="s">
        <v>889</v>
      </c>
      <c r="B105" s="7" t="s">
        <v>747</v>
      </c>
      <c r="C105" s="8">
        <v>44249</v>
      </c>
      <c r="D105" s="8">
        <v>44251</v>
      </c>
      <c r="H105">
        <v>13</v>
      </c>
    </row>
    <row r="106" spans="1:8" x14ac:dyDescent="0.25">
      <c r="A106" s="7" t="s">
        <v>896</v>
      </c>
      <c r="B106" s="7" t="s">
        <v>751</v>
      </c>
      <c r="C106" s="8">
        <v>44252</v>
      </c>
      <c r="D106" s="8">
        <v>44265</v>
      </c>
      <c r="H106">
        <v>10</v>
      </c>
    </row>
    <row r="107" spans="1:8" x14ac:dyDescent="0.25">
      <c r="A107" s="7" t="s">
        <v>888</v>
      </c>
      <c r="B107" s="7" t="s">
        <v>753</v>
      </c>
      <c r="C107" s="8">
        <v>44266</v>
      </c>
      <c r="D107" s="8">
        <v>44272</v>
      </c>
      <c r="H107">
        <v>5</v>
      </c>
    </row>
    <row r="108" spans="1:8" x14ac:dyDescent="0.25">
      <c r="A108" s="7" t="s">
        <v>899</v>
      </c>
      <c r="B108" s="7" t="s">
        <v>804</v>
      </c>
      <c r="C108" s="8">
        <v>44273</v>
      </c>
      <c r="D108" s="8">
        <v>44295</v>
      </c>
      <c r="H108">
        <v>34</v>
      </c>
    </row>
    <row r="109" spans="1:8" x14ac:dyDescent="0.25">
      <c r="A109" s="7" t="s">
        <v>909</v>
      </c>
      <c r="B109" s="7" t="s">
        <v>812</v>
      </c>
      <c r="C109" s="8">
        <v>44296</v>
      </c>
      <c r="D109" s="8">
        <v>44340</v>
      </c>
      <c r="H109">
        <v>71</v>
      </c>
    </row>
    <row r="110" spans="1:8" x14ac:dyDescent="0.25">
      <c r="A110" s="7" t="s">
        <v>910</v>
      </c>
      <c r="B110" s="7" t="s">
        <v>819</v>
      </c>
      <c r="C110" s="8">
        <v>44341</v>
      </c>
      <c r="D110" s="8">
        <v>44383</v>
      </c>
      <c r="H110">
        <v>29</v>
      </c>
    </row>
    <row r="111" spans="1:8" x14ac:dyDescent="0.25">
      <c r="A111" s="7" t="s">
        <v>911</v>
      </c>
      <c r="B111" s="7" t="s">
        <v>824</v>
      </c>
      <c r="C111" s="8">
        <v>44384</v>
      </c>
      <c r="D111" s="8">
        <v>44424</v>
      </c>
      <c r="H111">
        <v>29</v>
      </c>
    </row>
    <row r="112" spans="1:8" x14ac:dyDescent="0.25">
      <c r="A112" s="7" t="s">
        <v>912</v>
      </c>
      <c r="B112" s="7" t="s">
        <v>829</v>
      </c>
      <c r="C112" s="8">
        <v>44425</v>
      </c>
      <c r="D112" s="8">
        <v>44466</v>
      </c>
      <c r="H112">
        <v>29</v>
      </c>
    </row>
    <row r="113" spans="1:8" x14ac:dyDescent="0.25">
      <c r="A113" s="7" t="s">
        <v>915</v>
      </c>
      <c r="B113" s="7" t="s">
        <v>834</v>
      </c>
      <c r="C113" s="8">
        <v>44467</v>
      </c>
      <c r="D113" s="8">
        <v>44508</v>
      </c>
      <c r="H113">
        <v>30</v>
      </c>
    </row>
    <row r="114" spans="1:8" x14ac:dyDescent="0.25">
      <c r="A114" s="7" t="s">
        <v>916</v>
      </c>
      <c r="B114" s="7" t="s">
        <v>843</v>
      </c>
      <c r="C114" s="8">
        <v>44509</v>
      </c>
      <c r="D114" s="8">
        <v>44550</v>
      </c>
      <c r="H114">
        <v>28</v>
      </c>
    </row>
    <row r="115" spans="1:8" x14ac:dyDescent="0.25">
      <c r="A115" s="7" t="s">
        <v>917</v>
      </c>
      <c r="B115" s="7" t="s">
        <v>852</v>
      </c>
      <c r="C115" s="8">
        <v>44551</v>
      </c>
      <c r="D115" s="8">
        <v>44592</v>
      </c>
      <c r="H115">
        <v>23</v>
      </c>
    </row>
    <row r="116" spans="1:8" x14ac:dyDescent="0.25">
      <c r="A116" s="7" t="s">
        <v>918</v>
      </c>
      <c r="B116" s="7" t="s">
        <v>861</v>
      </c>
      <c r="C116" s="8">
        <v>44593</v>
      </c>
      <c r="D116" s="8">
        <v>44634</v>
      </c>
      <c r="H116">
        <v>30</v>
      </c>
    </row>
    <row r="117" spans="1:8" x14ac:dyDescent="0.25">
      <c r="A117" s="7" t="s">
        <v>919</v>
      </c>
      <c r="B117" s="7" t="s">
        <v>870</v>
      </c>
      <c r="C117" s="8">
        <v>44635</v>
      </c>
      <c r="D117" s="8">
        <v>44676</v>
      </c>
      <c r="H117">
        <v>30</v>
      </c>
    </row>
    <row r="118" spans="1:8" x14ac:dyDescent="0.25">
      <c r="A118" s="7" t="s">
        <v>920</v>
      </c>
      <c r="B118" s="7" t="s">
        <v>879</v>
      </c>
      <c r="C118" s="8">
        <v>44677</v>
      </c>
      <c r="D118" s="8">
        <v>44718</v>
      </c>
      <c r="H118">
        <v>29</v>
      </c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C841-9D61-4C60-9CFB-5E13B6E8EC09}">
  <dimension ref="B3:E120"/>
  <sheetViews>
    <sheetView tabSelected="1" topLeftCell="B1" zoomScale="116" workbookViewId="0">
      <selection activeCell="C1" sqref="C1"/>
    </sheetView>
  </sheetViews>
  <sheetFormatPr defaultRowHeight="13.2" x14ac:dyDescent="0.25"/>
  <cols>
    <col min="2" max="2" width="15.77734375" bestFit="1" customWidth="1"/>
    <col min="3" max="3" width="38.44140625" bestFit="1" customWidth="1"/>
    <col min="4" max="5" width="9.77734375" bestFit="1" customWidth="1"/>
  </cols>
  <sheetData>
    <row r="3" spans="2:5" x14ac:dyDescent="0.25">
      <c r="C3" t="s">
        <v>0</v>
      </c>
      <c r="D3" t="s">
        <v>3</v>
      </c>
      <c r="E3" t="s">
        <v>4</v>
      </c>
    </row>
    <row r="4" spans="2:5" x14ac:dyDescent="0.25">
      <c r="B4" s="3"/>
      <c r="C4" s="9" t="s">
        <v>305</v>
      </c>
      <c r="D4" s="4">
        <v>43472</v>
      </c>
      <c r="E4" s="4">
        <v>43504</v>
      </c>
    </row>
    <row r="5" spans="2:5" x14ac:dyDescent="0.25">
      <c r="B5" s="5" t="s">
        <v>888</v>
      </c>
      <c r="C5" s="10" t="s">
        <v>312</v>
      </c>
      <c r="D5" s="6">
        <v>43531</v>
      </c>
      <c r="E5" s="6">
        <v>43537</v>
      </c>
    </row>
    <row r="6" spans="2:5" x14ac:dyDescent="0.25">
      <c r="B6" s="5" t="s">
        <v>889</v>
      </c>
      <c r="C6" s="10" t="s">
        <v>315</v>
      </c>
      <c r="D6" s="6">
        <v>43538</v>
      </c>
      <c r="E6" s="6">
        <v>43542</v>
      </c>
    </row>
    <row r="7" spans="2:5" x14ac:dyDescent="0.25">
      <c r="B7" s="5" t="s">
        <v>890</v>
      </c>
      <c r="C7" s="10" t="s">
        <v>318</v>
      </c>
      <c r="D7" s="6">
        <v>43543</v>
      </c>
      <c r="E7" s="6">
        <v>43570</v>
      </c>
    </row>
    <row r="8" spans="2:5" x14ac:dyDescent="0.25">
      <c r="B8" s="5" t="s">
        <v>890</v>
      </c>
      <c r="C8" s="10" t="s">
        <v>891</v>
      </c>
      <c r="D8" s="6">
        <v>43543</v>
      </c>
      <c r="E8" s="6">
        <v>43545</v>
      </c>
    </row>
    <row r="9" spans="2:5" x14ac:dyDescent="0.25">
      <c r="B9" s="5" t="s">
        <v>890</v>
      </c>
      <c r="C9" s="10" t="s">
        <v>894</v>
      </c>
      <c r="D9" s="6">
        <v>43546</v>
      </c>
      <c r="E9" s="6">
        <v>43549</v>
      </c>
    </row>
    <row r="10" spans="2:5" x14ac:dyDescent="0.25">
      <c r="B10" s="5" t="s">
        <v>890</v>
      </c>
      <c r="C10" s="10" t="s">
        <v>893</v>
      </c>
      <c r="D10" s="6">
        <v>43550</v>
      </c>
      <c r="E10" s="6">
        <v>43563</v>
      </c>
    </row>
    <row r="11" spans="2:5" x14ac:dyDescent="0.25">
      <c r="B11" s="5" t="s">
        <v>890</v>
      </c>
      <c r="C11" s="10" t="s">
        <v>892</v>
      </c>
      <c r="D11" s="6">
        <v>43564</v>
      </c>
      <c r="E11" s="6">
        <v>43570</v>
      </c>
    </row>
    <row r="12" spans="2:5" x14ac:dyDescent="0.25">
      <c r="B12" s="5" t="s">
        <v>890</v>
      </c>
      <c r="C12" s="10" t="s">
        <v>328</v>
      </c>
      <c r="D12" s="6">
        <v>43564</v>
      </c>
      <c r="E12" s="6">
        <v>43600</v>
      </c>
    </row>
    <row r="13" spans="2:5" x14ac:dyDescent="0.25">
      <c r="B13" s="5" t="s">
        <v>888</v>
      </c>
      <c r="C13" s="10" t="s">
        <v>333</v>
      </c>
      <c r="D13" s="6">
        <v>43601</v>
      </c>
      <c r="E13" s="6">
        <v>43607</v>
      </c>
    </row>
    <row r="14" spans="2:5" x14ac:dyDescent="0.25">
      <c r="B14" s="5" t="s">
        <v>895</v>
      </c>
      <c r="C14" s="10" t="s">
        <v>336</v>
      </c>
      <c r="D14" s="6">
        <v>43608</v>
      </c>
      <c r="E14" s="6">
        <v>43635</v>
      </c>
    </row>
    <row r="15" spans="2:5" x14ac:dyDescent="0.25">
      <c r="B15" s="5" t="s">
        <v>888</v>
      </c>
      <c r="C15" s="10" t="s">
        <v>341</v>
      </c>
      <c r="D15" s="6">
        <v>43636</v>
      </c>
      <c r="E15" s="6">
        <v>43657</v>
      </c>
    </row>
    <row r="16" spans="2:5" x14ac:dyDescent="0.25">
      <c r="B16" s="5" t="s">
        <v>888</v>
      </c>
      <c r="C16" s="10" t="s">
        <v>345</v>
      </c>
      <c r="D16" s="6">
        <v>43623</v>
      </c>
      <c r="E16" s="6">
        <v>43626</v>
      </c>
    </row>
    <row r="17" spans="2:5" x14ac:dyDescent="0.25">
      <c r="B17" s="5" t="s">
        <v>896</v>
      </c>
      <c r="C17" s="10" t="s">
        <v>348</v>
      </c>
      <c r="D17" s="6">
        <v>43658</v>
      </c>
      <c r="E17" s="6">
        <v>43671</v>
      </c>
    </row>
    <row r="18" spans="2:5" x14ac:dyDescent="0.25">
      <c r="B18" s="5" t="s">
        <v>899</v>
      </c>
      <c r="C18" s="10" t="s">
        <v>350</v>
      </c>
      <c r="D18" s="6">
        <v>43672</v>
      </c>
      <c r="E18" s="6">
        <v>43692</v>
      </c>
    </row>
    <row r="19" spans="2:5" x14ac:dyDescent="0.25">
      <c r="B19" s="5" t="s">
        <v>897</v>
      </c>
      <c r="C19" s="10" t="s">
        <v>369</v>
      </c>
      <c r="D19" s="6">
        <v>43692</v>
      </c>
      <c r="E19" s="6">
        <v>43696</v>
      </c>
    </row>
    <row r="20" spans="2:5" x14ac:dyDescent="0.25">
      <c r="B20" s="5" t="s">
        <v>898</v>
      </c>
      <c r="C20" s="10" t="s">
        <v>371</v>
      </c>
      <c r="D20" s="6">
        <v>43697</v>
      </c>
      <c r="E20" s="6">
        <v>43727</v>
      </c>
    </row>
    <row r="21" spans="2:5" x14ac:dyDescent="0.25">
      <c r="B21" s="5" t="s">
        <v>888</v>
      </c>
      <c r="C21" s="10" t="s">
        <v>376</v>
      </c>
      <c r="D21" s="6">
        <v>43728</v>
      </c>
      <c r="E21" s="6">
        <v>43741</v>
      </c>
    </row>
    <row r="22" spans="2:5" x14ac:dyDescent="0.25">
      <c r="B22" s="5" t="s">
        <v>888</v>
      </c>
      <c r="C22" s="10" t="s">
        <v>379</v>
      </c>
      <c r="D22" s="6">
        <v>43742</v>
      </c>
      <c r="E22" s="6">
        <v>43755</v>
      </c>
    </row>
    <row r="23" spans="2:5" x14ac:dyDescent="0.25">
      <c r="B23" s="5" t="s">
        <v>888</v>
      </c>
      <c r="C23" s="10" t="s">
        <v>383</v>
      </c>
      <c r="D23" s="6">
        <v>43805</v>
      </c>
      <c r="E23" s="6">
        <v>43818</v>
      </c>
    </row>
    <row r="24" spans="2:5" x14ac:dyDescent="0.25">
      <c r="B24" s="5" t="s">
        <v>896</v>
      </c>
      <c r="C24" s="10" t="s">
        <v>386</v>
      </c>
      <c r="D24" s="6">
        <v>43832</v>
      </c>
      <c r="E24" s="6">
        <v>43853</v>
      </c>
    </row>
    <row r="25" spans="2:5" x14ac:dyDescent="0.25">
      <c r="B25" s="5" t="s">
        <v>899</v>
      </c>
      <c r="C25" s="10" t="s">
        <v>388</v>
      </c>
      <c r="D25" s="6">
        <v>43854</v>
      </c>
      <c r="E25" s="6">
        <v>43892</v>
      </c>
    </row>
    <row r="26" spans="2:5" x14ac:dyDescent="0.25">
      <c r="B26" s="5" t="s">
        <v>888</v>
      </c>
      <c r="C26" s="10" t="s">
        <v>395</v>
      </c>
      <c r="D26" s="6">
        <v>43881</v>
      </c>
      <c r="E26" s="6">
        <v>43894</v>
      </c>
    </row>
    <row r="27" spans="2:5" x14ac:dyDescent="0.25">
      <c r="B27" s="5" t="s">
        <v>888</v>
      </c>
      <c r="C27" s="10" t="s">
        <v>399</v>
      </c>
      <c r="D27" s="6">
        <v>43895</v>
      </c>
      <c r="E27" s="6">
        <v>43898</v>
      </c>
    </row>
    <row r="28" spans="2:5" x14ac:dyDescent="0.25">
      <c r="B28" s="5" t="s">
        <v>888</v>
      </c>
      <c r="C28" s="10" t="s">
        <v>402</v>
      </c>
      <c r="D28" s="6">
        <v>43892</v>
      </c>
      <c r="E28" s="6">
        <v>43903</v>
      </c>
    </row>
    <row r="29" spans="2:5" x14ac:dyDescent="0.25">
      <c r="B29" s="5" t="s">
        <v>888</v>
      </c>
      <c r="C29" s="10" t="s">
        <v>405</v>
      </c>
      <c r="D29" s="6">
        <v>43952</v>
      </c>
      <c r="E29" s="6">
        <v>43965</v>
      </c>
    </row>
    <row r="30" spans="2:5" x14ac:dyDescent="0.25">
      <c r="B30" s="5" t="s">
        <v>888</v>
      </c>
      <c r="C30" s="10" t="s">
        <v>408</v>
      </c>
      <c r="D30" s="6">
        <v>44046</v>
      </c>
      <c r="E30" s="6">
        <v>44057</v>
      </c>
    </row>
    <row r="31" spans="2:5" x14ac:dyDescent="0.25">
      <c r="B31" s="5" t="s">
        <v>888</v>
      </c>
      <c r="C31" s="10" t="s">
        <v>411</v>
      </c>
      <c r="D31" s="6">
        <v>44058</v>
      </c>
      <c r="E31" s="6">
        <v>44061</v>
      </c>
    </row>
    <row r="32" spans="2:5" x14ac:dyDescent="0.25">
      <c r="B32" s="7"/>
      <c r="C32" s="11" t="s">
        <v>413</v>
      </c>
      <c r="D32" s="31">
        <v>43592</v>
      </c>
      <c r="E32" s="31">
        <v>44027</v>
      </c>
    </row>
    <row r="33" spans="2:5" x14ac:dyDescent="0.25">
      <c r="B33" s="5" t="s">
        <v>889</v>
      </c>
      <c r="C33" s="22" t="s">
        <v>424</v>
      </c>
      <c r="D33" s="8">
        <v>43592</v>
      </c>
      <c r="E33" s="8">
        <v>43593</v>
      </c>
    </row>
    <row r="34" spans="2:5" x14ac:dyDescent="0.25">
      <c r="B34" s="5" t="s">
        <v>889</v>
      </c>
      <c r="C34" s="22" t="s">
        <v>428</v>
      </c>
      <c r="D34" s="8">
        <v>43594</v>
      </c>
      <c r="E34" s="8">
        <v>43594</v>
      </c>
    </row>
    <row r="35" spans="2:5" x14ac:dyDescent="0.25">
      <c r="B35" s="5" t="s">
        <v>888</v>
      </c>
      <c r="C35" s="7" t="s">
        <v>312</v>
      </c>
      <c r="D35" s="8">
        <v>43595</v>
      </c>
      <c r="E35" s="8">
        <v>43608</v>
      </c>
    </row>
    <row r="36" spans="2:5" x14ac:dyDescent="0.25">
      <c r="B36" s="5" t="s">
        <v>889</v>
      </c>
      <c r="C36" s="7" t="s">
        <v>223</v>
      </c>
      <c r="D36" s="8">
        <v>43609</v>
      </c>
      <c r="E36" s="8">
        <v>43614</v>
      </c>
    </row>
    <row r="37" spans="2:5" x14ac:dyDescent="0.25">
      <c r="B37" s="5" t="s">
        <v>890</v>
      </c>
      <c r="C37" s="7" t="s">
        <v>433</v>
      </c>
      <c r="D37" s="8">
        <v>43615</v>
      </c>
      <c r="E37" s="8">
        <v>43635</v>
      </c>
    </row>
    <row r="38" spans="2:5" x14ac:dyDescent="0.25">
      <c r="B38" s="5" t="s">
        <v>896</v>
      </c>
      <c r="C38" s="7" t="s">
        <v>348</v>
      </c>
      <c r="D38" s="8">
        <v>43636</v>
      </c>
      <c r="E38" s="8">
        <v>43649</v>
      </c>
    </row>
    <row r="39" spans="2:5" x14ac:dyDescent="0.25">
      <c r="B39" s="5" t="s">
        <v>888</v>
      </c>
      <c r="C39" s="7" t="s">
        <v>345</v>
      </c>
      <c r="D39" s="8">
        <v>43623</v>
      </c>
      <c r="E39" s="8">
        <v>43626</v>
      </c>
    </row>
    <row r="40" spans="2:5" x14ac:dyDescent="0.25">
      <c r="B40" s="5" t="s">
        <v>896</v>
      </c>
      <c r="C40" s="7" t="s">
        <v>438</v>
      </c>
      <c r="D40" s="8">
        <v>43651</v>
      </c>
      <c r="E40" s="8">
        <v>43663</v>
      </c>
    </row>
    <row r="41" spans="2:5" x14ac:dyDescent="0.25">
      <c r="B41" s="5" t="s">
        <v>900</v>
      </c>
      <c r="C41" s="7" t="s">
        <v>447</v>
      </c>
      <c r="D41" s="8">
        <v>43664</v>
      </c>
      <c r="E41" s="8">
        <v>43671</v>
      </c>
    </row>
    <row r="42" spans="2:5" x14ac:dyDescent="0.25">
      <c r="B42" s="5" t="s">
        <v>900</v>
      </c>
      <c r="C42" s="7" t="s">
        <v>453</v>
      </c>
      <c r="D42" s="8">
        <v>43672</v>
      </c>
      <c r="E42" s="8">
        <v>43677</v>
      </c>
    </row>
    <row r="43" spans="2:5" ht="26.4" x14ac:dyDescent="0.25">
      <c r="B43" s="16" t="s">
        <v>900</v>
      </c>
      <c r="C43" s="13" t="s">
        <v>458</v>
      </c>
      <c r="D43" s="20">
        <v>43678</v>
      </c>
      <c r="E43" s="20">
        <v>43699</v>
      </c>
    </row>
    <row r="44" spans="2:5" x14ac:dyDescent="0.25">
      <c r="B44" s="5" t="s">
        <v>901</v>
      </c>
      <c r="C44" s="7" t="s">
        <v>469</v>
      </c>
      <c r="D44" s="8">
        <v>43700</v>
      </c>
      <c r="E44" s="8">
        <v>43712</v>
      </c>
    </row>
    <row r="45" spans="2:5" x14ac:dyDescent="0.25">
      <c r="B45" s="5" t="s">
        <v>890</v>
      </c>
      <c r="C45" s="7" t="s">
        <v>480</v>
      </c>
      <c r="D45" s="8">
        <f>E44+1</f>
        <v>43713</v>
      </c>
      <c r="E45" s="8">
        <v>43741</v>
      </c>
    </row>
    <row r="46" spans="2:5" x14ac:dyDescent="0.25">
      <c r="B46" s="5" t="s">
        <v>888</v>
      </c>
      <c r="C46" s="7" t="s">
        <v>487</v>
      </c>
      <c r="D46" s="8">
        <v>43714</v>
      </c>
      <c r="E46" s="8">
        <v>43717</v>
      </c>
    </row>
    <row r="47" spans="2:5" x14ac:dyDescent="0.25">
      <c r="B47" s="5" t="s">
        <v>902</v>
      </c>
      <c r="C47" s="7" t="s">
        <v>489</v>
      </c>
      <c r="D47" s="8">
        <v>43742</v>
      </c>
      <c r="E47" s="8">
        <v>43746</v>
      </c>
    </row>
    <row r="48" spans="2:5" x14ac:dyDescent="0.25">
      <c r="B48" s="5" t="s">
        <v>896</v>
      </c>
      <c r="C48" s="7" t="s">
        <v>492</v>
      </c>
      <c r="D48" s="8">
        <v>43747</v>
      </c>
      <c r="E48" s="8">
        <v>43815</v>
      </c>
    </row>
    <row r="49" spans="2:5" x14ac:dyDescent="0.25">
      <c r="B49" s="5" t="s">
        <v>888</v>
      </c>
      <c r="C49" s="7" t="s">
        <v>509</v>
      </c>
      <c r="D49" s="8">
        <v>43805</v>
      </c>
      <c r="E49" s="8">
        <v>43808</v>
      </c>
    </row>
    <row r="50" spans="2:5" x14ac:dyDescent="0.25">
      <c r="B50" s="5" t="s">
        <v>896</v>
      </c>
      <c r="C50" s="7" t="s">
        <v>386</v>
      </c>
      <c r="D50" s="8">
        <v>43832</v>
      </c>
      <c r="E50" s="8">
        <v>43853</v>
      </c>
    </row>
    <row r="51" spans="2:5" x14ac:dyDescent="0.25">
      <c r="B51" s="5" t="s">
        <v>901</v>
      </c>
      <c r="C51" s="7" t="s">
        <v>903</v>
      </c>
      <c r="D51" s="8">
        <v>43854</v>
      </c>
      <c r="E51" s="8">
        <v>43887</v>
      </c>
    </row>
    <row r="52" spans="2:5" x14ac:dyDescent="0.25">
      <c r="B52" s="5" t="s">
        <v>899</v>
      </c>
      <c r="C52" s="7" t="s">
        <v>522</v>
      </c>
      <c r="D52" s="8">
        <v>43866</v>
      </c>
      <c r="E52" s="8">
        <v>43892</v>
      </c>
    </row>
    <row r="53" spans="2:5" x14ac:dyDescent="0.25">
      <c r="B53" s="5" t="s">
        <v>888</v>
      </c>
      <c r="C53" s="7" t="s">
        <v>529</v>
      </c>
      <c r="D53" s="8">
        <v>43880</v>
      </c>
      <c r="E53" s="8">
        <v>43881</v>
      </c>
    </row>
    <row r="54" spans="2:5" x14ac:dyDescent="0.25">
      <c r="B54" s="5" t="s">
        <v>895</v>
      </c>
      <c r="C54" s="7" t="s">
        <v>531</v>
      </c>
      <c r="D54" s="8">
        <v>43889</v>
      </c>
      <c r="E54" s="8">
        <v>43922</v>
      </c>
    </row>
    <row r="55" spans="2:5" x14ac:dyDescent="0.25">
      <c r="B55" s="5" t="s">
        <v>901</v>
      </c>
      <c r="C55" s="7" t="s">
        <v>536</v>
      </c>
      <c r="D55" s="8">
        <v>43923</v>
      </c>
      <c r="E55" s="8">
        <v>43934</v>
      </c>
    </row>
    <row r="56" spans="2:5" x14ac:dyDescent="0.25">
      <c r="B56" s="5" t="s">
        <v>895</v>
      </c>
      <c r="C56" s="7" t="s">
        <v>543</v>
      </c>
      <c r="D56" s="8">
        <v>43935</v>
      </c>
      <c r="E56" s="8">
        <v>43959</v>
      </c>
    </row>
    <row r="57" spans="2:5" x14ac:dyDescent="0.25">
      <c r="B57" s="5" t="s">
        <v>896</v>
      </c>
      <c r="C57" s="7" t="s">
        <v>548</v>
      </c>
      <c r="D57" s="8">
        <v>43962</v>
      </c>
      <c r="E57" s="8">
        <v>43973</v>
      </c>
    </row>
    <row r="58" spans="2:5" x14ac:dyDescent="0.25">
      <c r="B58" s="5" t="s">
        <v>902</v>
      </c>
      <c r="C58" s="7" t="s">
        <v>555</v>
      </c>
      <c r="D58" s="8">
        <v>43977</v>
      </c>
      <c r="E58" s="8">
        <v>43979</v>
      </c>
    </row>
    <row r="59" spans="2:5" x14ac:dyDescent="0.25">
      <c r="B59" s="5" t="s">
        <v>896</v>
      </c>
      <c r="C59" s="7" t="s">
        <v>558</v>
      </c>
      <c r="D59" s="8">
        <v>43980</v>
      </c>
      <c r="E59" s="8">
        <v>44000</v>
      </c>
    </row>
    <row r="60" spans="2:5" x14ac:dyDescent="0.25">
      <c r="B60" s="7"/>
      <c r="C60" s="12" t="s">
        <v>566</v>
      </c>
      <c r="D60" s="8">
        <v>43545</v>
      </c>
      <c r="E60" s="8">
        <v>43602</v>
      </c>
    </row>
    <row r="61" spans="2:5" x14ac:dyDescent="0.25">
      <c r="B61" s="16" t="s">
        <v>889</v>
      </c>
      <c r="C61" s="32" t="s">
        <v>921</v>
      </c>
      <c r="D61" s="28">
        <v>43570</v>
      </c>
      <c r="E61" s="28">
        <v>43602</v>
      </c>
    </row>
    <row r="62" spans="2:5" x14ac:dyDescent="0.25">
      <c r="B62" s="5" t="s">
        <v>888</v>
      </c>
      <c r="C62" s="18" t="s">
        <v>580</v>
      </c>
      <c r="D62" s="8">
        <v>43605</v>
      </c>
      <c r="E62" s="8">
        <v>43626</v>
      </c>
    </row>
    <row r="63" spans="2:5" x14ac:dyDescent="0.25">
      <c r="B63" s="5" t="s">
        <v>889</v>
      </c>
      <c r="C63" s="18" t="s">
        <v>223</v>
      </c>
      <c r="D63" s="8">
        <v>43627</v>
      </c>
      <c r="E63" s="8">
        <v>43629</v>
      </c>
    </row>
    <row r="64" spans="2:5" x14ac:dyDescent="0.25">
      <c r="B64" s="5" t="s">
        <v>890</v>
      </c>
      <c r="C64" s="18" t="s">
        <v>480</v>
      </c>
      <c r="D64" s="8">
        <v>43630</v>
      </c>
      <c r="E64" s="8">
        <v>43661</v>
      </c>
    </row>
    <row r="65" spans="2:5" ht="26.4" x14ac:dyDescent="0.25">
      <c r="B65" s="24" t="s">
        <v>906</v>
      </c>
      <c r="C65" s="15" t="s">
        <v>590</v>
      </c>
      <c r="D65" s="27">
        <v>43662</v>
      </c>
      <c r="E65" s="27">
        <v>43691</v>
      </c>
    </row>
    <row r="66" spans="2:5" x14ac:dyDescent="0.25">
      <c r="B66" s="5" t="s">
        <v>888</v>
      </c>
      <c r="C66" s="18" t="s">
        <v>345</v>
      </c>
      <c r="D66" s="8">
        <f>E65+1</f>
        <v>43692</v>
      </c>
      <c r="E66" s="8">
        <f>D66+I66</f>
        <v>43692</v>
      </c>
    </row>
    <row r="67" spans="2:5" x14ac:dyDescent="0.25">
      <c r="B67" s="5" t="s">
        <v>905</v>
      </c>
      <c r="C67" s="18" t="s">
        <v>602</v>
      </c>
      <c r="D67" s="8">
        <v>43692</v>
      </c>
      <c r="E67" s="8">
        <v>43733</v>
      </c>
    </row>
    <row r="68" spans="2:5" x14ac:dyDescent="0.25">
      <c r="B68" s="5" t="s">
        <v>888</v>
      </c>
      <c r="C68" s="18" t="s">
        <v>487</v>
      </c>
      <c r="D68" s="8">
        <v>43714</v>
      </c>
      <c r="E68" s="8">
        <v>43717</v>
      </c>
    </row>
    <row r="69" spans="2:5" x14ac:dyDescent="0.25">
      <c r="B69" s="5" t="s">
        <v>896</v>
      </c>
      <c r="C69" s="18" t="s">
        <v>348</v>
      </c>
      <c r="D69" s="8">
        <v>43734</v>
      </c>
      <c r="E69" s="8">
        <v>43754</v>
      </c>
    </row>
    <row r="70" spans="2:5" ht="26.4" x14ac:dyDescent="0.25">
      <c r="B70" s="16" t="s">
        <v>907</v>
      </c>
      <c r="C70" s="14" t="s">
        <v>914</v>
      </c>
      <c r="D70" s="30">
        <v>43776</v>
      </c>
      <c r="E70" s="30">
        <v>43782</v>
      </c>
    </row>
    <row r="71" spans="2:5" x14ac:dyDescent="0.25">
      <c r="B71" s="5" t="s">
        <v>908</v>
      </c>
      <c r="C71" s="18" t="s">
        <v>625</v>
      </c>
      <c r="D71" s="8">
        <v>43794</v>
      </c>
      <c r="E71" s="8">
        <v>43795</v>
      </c>
    </row>
    <row r="72" spans="2:5" x14ac:dyDescent="0.25">
      <c r="B72" s="5" t="s">
        <v>899</v>
      </c>
      <c r="C72" s="18" t="s">
        <v>628</v>
      </c>
      <c r="D72" s="8">
        <v>43796</v>
      </c>
      <c r="E72" s="8">
        <v>43801</v>
      </c>
    </row>
    <row r="73" spans="2:5" x14ac:dyDescent="0.25">
      <c r="B73" s="5" t="s">
        <v>888</v>
      </c>
      <c r="C73" s="18" t="s">
        <v>509</v>
      </c>
      <c r="D73" s="8">
        <v>43805</v>
      </c>
      <c r="E73" s="8">
        <v>43808</v>
      </c>
    </row>
    <row r="74" spans="2:5" x14ac:dyDescent="0.25">
      <c r="B74" s="5" t="s">
        <v>899</v>
      </c>
      <c r="C74" s="18" t="s">
        <v>631</v>
      </c>
      <c r="D74" s="8">
        <v>43832</v>
      </c>
      <c r="E74" s="8">
        <v>43857</v>
      </c>
    </row>
    <row r="75" spans="2:5" x14ac:dyDescent="0.25">
      <c r="B75" s="5" t="s">
        <v>888</v>
      </c>
      <c r="C75" s="18" t="s">
        <v>529</v>
      </c>
      <c r="D75" s="8">
        <v>43880</v>
      </c>
      <c r="E75" s="8">
        <v>43881</v>
      </c>
    </row>
    <row r="76" spans="2:5" x14ac:dyDescent="0.25">
      <c r="B76" s="7"/>
      <c r="C76" s="21" t="s">
        <v>639</v>
      </c>
      <c r="D76" s="23">
        <v>43552</v>
      </c>
      <c r="E76" s="23">
        <f>E95</f>
        <v>43948</v>
      </c>
    </row>
    <row r="77" spans="2:5" x14ac:dyDescent="0.25">
      <c r="B77" s="5" t="s">
        <v>889</v>
      </c>
      <c r="C77" s="7" t="s">
        <v>422</v>
      </c>
      <c r="D77" s="8">
        <v>43586</v>
      </c>
      <c r="E77" s="8">
        <v>43631</v>
      </c>
    </row>
    <row r="78" spans="2:5" x14ac:dyDescent="0.25">
      <c r="B78" s="5" t="s">
        <v>889</v>
      </c>
      <c r="C78" s="22" t="s">
        <v>424</v>
      </c>
      <c r="D78" s="8">
        <f>E77+1</f>
        <v>43632</v>
      </c>
      <c r="E78" s="8">
        <f t="shared" ref="E78:E89" si="0">D78+I78</f>
        <v>43632</v>
      </c>
    </row>
    <row r="79" spans="2:5" x14ac:dyDescent="0.25">
      <c r="B79" s="5" t="s">
        <v>889</v>
      </c>
      <c r="C79" s="22" t="s">
        <v>428</v>
      </c>
      <c r="D79" s="8">
        <f>E78</f>
        <v>43632</v>
      </c>
      <c r="E79" s="8">
        <f t="shared" si="0"/>
        <v>43632</v>
      </c>
    </row>
    <row r="80" spans="2:5" x14ac:dyDescent="0.25">
      <c r="B80" s="5" t="s">
        <v>889</v>
      </c>
      <c r="C80" s="7" t="s">
        <v>223</v>
      </c>
      <c r="D80" s="8">
        <f>E79+1</f>
        <v>43633</v>
      </c>
      <c r="E80" s="8">
        <f t="shared" si="0"/>
        <v>43633</v>
      </c>
    </row>
    <row r="81" spans="2:5" x14ac:dyDescent="0.25">
      <c r="B81" s="5" t="s">
        <v>908</v>
      </c>
      <c r="C81" s="7" t="s">
        <v>625</v>
      </c>
      <c r="D81" s="8">
        <f t="shared" ref="D81:D90" si="1">E80+1</f>
        <v>43634</v>
      </c>
      <c r="E81" s="8">
        <f t="shared" si="0"/>
        <v>43634</v>
      </c>
    </row>
    <row r="82" spans="2:5" x14ac:dyDescent="0.25">
      <c r="B82" s="5" t="s">
        <v>902</v>
      </c>
      <c r="C82" s="7" t="s">
        <v>653</v>
      </c>
      <c r="D82" s="8">
        <f t="shared" si="1"/>
        <v>43635</v>
      </c>
      <c r="E82" s="8">
        <f t="shared" si="0"/>
        <v>43635</v>
      </c>
    </row>
    <row r="83" spans="2:5" x14ac:dyDescent="0.25">
      <c r="B83" s="5" t="s">
        <v>909</v>
      </c>
      <c r="C83" s="7" t="s">
        <v>657</v>
      </c>
      <c r="D83" s="8">
        <f t="shared" si="1"/>
        <v>43636</v>
      </c>
      <c r="E83" s="8">
        <f t="shared" si="0"/>
        <v>43636</v>
      </c>
    </row>
    <row r="84" spans="2:5" x14ac:dyDescent="0.25">
      <c r="B84" s="5" t="s">
        <v>888</v>
      </c>
      <c r="C84" s="7" t="s">
        <v>345</v>
      </c>
      <c r="D84" s="8">
        <f t="shared" si="1"/>
        <v>43637</v>
      </c>
      <c r="E84" s="8">
        <f t="shared" si="0"/>
        <v>43637</v>
      </c>
    </row>
    <row r="85" spans="2:5" x14ac:dyDescent="0.25">
      <c r="B85" s="5" t="s">
        <v>910</v>
      </c>
      <c r="C85" s="7" t="s">
        <v>670</v>
      </c>
      <c r="D85" s="8">
        <f t="shared" si="1"/>
        <v>43638</v>
      </c>
      <c r="E85" s="8">
        <f t="shared" si="0"/>
        <v>43638</v>
      </c>
    </row>
    <row r="86" spans="2:5" x14ac:dyDescent="0.25">
      <c r="B86" s="5" t="s">
        <v>911</v>
      </c>
      <c r="C86" s="7" t="s">
        <v>679</v>
      </c>
      <c r="D86" s="8">
        <f t="shared" si="1"/>
        <v>43639</v>
      </c>
      <c r="E86" s="8">
        <f t="shared" si="0"/>
        <v>43639</v>
      </c>
    </row>
    <row r="87" spans="2:5" x14ac:dyDescent="0.25">
      <c r="B87" s="5" t="s">
        <v>888</v>
      </c>
      <c r="C87" s="7" t="s">
        <v>487</v>
      </c>
      <c r="D87" s="8">
        <f t="shared" si="1"/>
        <v>43640</v>
      </c>
      <c r="E87" s="8">
        <f t="shared" si="0"/>
        <v>43640</v>
      </c>
    </row>
    <row r="88" spans="2:5" x14ac:dyDescent="0.25">
      <c r="B88" s="5" t="s">
        <v>912</v>
      </c>
      <c r="C88" s="7" t="s">
        <v>689</v>
      </c>
      <c r="D88" s="8">
        <f t="shared" si="1"/>
        <v>43641</v>
      </c>
      <c r="E88" s="8">
        <f t="shared" si="0"/>
        <v>43641</v>
      </c>
    </row>
    <row r="89" spans="2:5" x14ac:dyDescent="0.25">
      <c r="B89" s="5" t="s">
        <v>901</v>
      </c>
      <c r="C89" s="7" t="s">
        <v>698</v>
      </c>
      <c r="D89" s="8">
        <f t="shared" si="1"/>
        <v>43642</v>
      </c>
      <c r="E89" s="8">
        <f t="shared" si="0"/>
        <v>43642</v>
      </c>
    </row>
    <row r="90" spans="2:5" x14ac:dyDescent="0.25">
      <c r="B90" s="5" t="s">
        <v>889</v>
      </c>
      <c r="C90" s="7" t="s">
        <v>700</v>
      </c>
      <c r="D90" s="8">
        <f t="shared" si="1"/>
        <v>43643</v>
      </c>
      <c r="E90" s="8">
        <f>D90+13</f>
        <v>43656</v>
      </c>
    </row>
    <row r="91" spans="2:5" x14ac:dyDescent="0.25">
      <c r="B91" s="5" t="s">
        <v>889</v>
      </c>
      <c r="C91" s="7" t="s">
        <v>703</v>
      </c>
      <c r="D91" s="8">
        <f>E90+1</f>
        <v>43657</v>
      </c>
      <c r="E91" s="8">
        <f>D91+I91</f>
        <v>43657</v>
      </c>
    </row>
    <row r="92" spans="2:5" x14ac:dyDescent="0.25">
      <c r="B92" s="5" t="s">
        <v>888</v>
      </c>
      <c r="C92" s="7" t="s">
        <v>509</v>
      </c>
      <c r="D92" s="8">
        <f>E91+1</f>
        <v>43658</v>
      </c>
      <c r="E92" s="8">
        <f>D92+I92</f>
        <v>43658</v>
      </c>
    </row>
    <row r="93" spans="2:5" x14ac:dyDescent="0.25">
      <c r="B93" s="5" t="s">
        <v>902</v>
      </c>
      <c r="C93" s="7" t="s">
        <v>707</v>
      </c>
      <c r="D93" s="8">
        <f t="shared" ref="D93" si="2">E92+1</f>
        <v>43659</v>
      </c>
      <c r="E93" s="8">
        <f>D93+I93</f>
        <v>43659</v>
      </c>
    </row>
    <row r="94" spans="2:5" x14ac:dyDescent="0.25">
      <c r="B94" s="5" t="s">
        <v>888</v>
      </c>
      <c r="C94" s="7" t="s">
        <v>529</v>
      </c>
      <c r="D94" s="8">
        <v>43880</v>
      </c>
      <c r="E94" s="8">
        <f>D94+I94</f>
        <v>43880</v>
      </c>
    </row>
    <row r="95" spans="2:5" x14ac:dyDescent="0.25">
      <c r="B95" s="5" t="s">
        <v>896</v>
      </c>
      <c r="C95" s="7" t="s">
        <v>712</v>
      </c>
      <c r="D95" s="8">
        <v>43948</v>
      </c>
      <c r="E95" s="8">
        <f>D95+I95</f>
        <v>43948</v>
      </c>
    </row>
    <row r="96" spans="2:5" x14ac:dyDescent="0.25">
      <c r="B96" s="7"/>
      <c r="C96" s="33" t="s">
        <v>738</v>
      </c>
      <c r="D96" s="8">
        <v>44221</v>
      </c>
      <c r="E96" s="8">
        <v>44438</v>
      </c>
    </row>
    <row r="97" spans="2:5" x14ac:dyDescent="0.25">
      <c r="B97" s="5" t="s">
        <v>889</v>
      </c>
      <c r="C97" s="7" t="s">
        <v>747</v>
      </c>
      <c r="D97" s="8">
        <v>44235</v>
      </c>
      <c r="E97" s="8">
        <v>44237</v>
      </c>
    </row>
    <row r="98" spans="2:5" x14ac:dyDescent="0.25">
      <c r="B98" s="5" t="s">
        <v>896</v>
      </c>
      <c r="C98" s="7" t="s">
        <v>751</v>
      </c>
      <c r="D98" s="8">
        <v>44238</v>
      </c>
      <c r="E98" s="8">
        <v>44244</v>
      </c>
    </row>
    <row r="99" spans="2:5" x14ac:dyDescent="0.25">
      <c r="B99" s="5" t="s">
        <v>888</v>
      </c>
      <c r="C99" s="7" t="s">
        <v>753</v>
      </c>
      <c r="D99" s="8">
        <v>44245</v>
      </c>
      <c r="E99" s="8">
        <v>44251</v>
      </c>
    </row>
    <row r="100" spans="2:5" x14ac:dyDescent="0.25">
      <c r="B100" s="5" t="s">
        <v>899</v>
      </c>
      <c r="C100" s="7" t="s">
        <v>923</v>
      </c>
      <c r="D100" s="8">
        <v>44252</v>
      </c>
      <c r="E100" s="8">
        <v>44274</v>
      </c>
    </row>
    <row r="101" spans="2:5" x14ac:dyDescent="0.25">
      <c r="B101" s="5" t="s">
        <v>899</v>
      </c>
      <c r="C101" s="7" t="s">
        <v>922</v>
      </c>
      <c r="D101" s="8">
        <v>44277</v>
      </c>
      <c r="E101" s="8">
        <v>44301</v>
      </c>
    </row>
    <row r="102" spans="2:5" x14ac:dyDescent="0.25">
      <c r="B102" s="5" t="s">
        <v>899</v>
      </c>
      <c r="C102" s="7" t="s">
        <v>769</v>
      </c>
      <c r="D102" s="8">
        <v>44302</v>
      </c>
      <c r="E102" s="8">
        <v>44313</v>
      </c>
    </row>
    <row r="103" spans="2:5" x14ac:dyDescent="0.25">
      <c r="B103" s="5" t="s">
        <v>909</v>
      </c>
      <c r="C103" s="7" t="s">
        <v>775</v>
      </c>
      <c r="D103" s="8">
        <v>44258</v>
      </c>
      <c r="E103" s="8">
        <v>44355</v>
      </c>
    </row>
    <row r="104" spans="2:5" x14ac:dyDescent="0.25">
      <c r="B104" s="5" t="s">
        <v>910</v>
      </c>
      <c r="C104" s="7" t="s">
        <v>782</v>
      </c>
      <c r="D104" s="8">
        <v>44356</v>
      </c>
      <c r="E104" s="8">
        <v>44396</v>
      </c>
    </row>
    <row r="105" spans="2:5" x14ac:dyDescent="0.25">
      <c r="B105" s="5" t="s">
        <v>911</v>
      </c>
      <c r="C105" s="7" t="s">
        <v>787</v>
      </c>
      <c r="D105" s="8">
        <v>44397</v>
      </c>
      <c r="E105" s="8">
        <v>44438</v>
      </c>
    </row>
    <row r="106" spans="2:5" x14ac:dyDescent="0.25">
      <c r="B106" s="7"/>
      <c r="C106" s="34" t="s">
        <v>792</v>
      </c>
      <c r="D106" s="8">
        <v>44235</v>
      </c>
      <c r="E106" s="8">
        <v>44718</v>
      </c>
    </row>
    <row r="107" spans="2:5" x14ac:dyDescent="0.25">
      <c r="B107" s="5" t="s">
        <v>889</v>
      </c>
      <c r="C107" s="7" t="s">
        <v>747</v>
      </c>
      <c r="D107" s="8">
        <v>44249</v>
      </c>
      <c r="E107" s="8">
        <v>44251</v>
      </c>
    </row>
    <row r="108" spans="2:5" x14ac:dyDescent="0.25">
      <c r="B108" s="5" t="s">
        <v>896</v>
      </c>
      <c r="C108" s="7" t="s">
        <v>751</v>
      </c>
      <c r="D108" s="8">
        <v>44252</v>
      </c>
      <c r="E108" s="8">
        <v>44265</v>
      </c>
    </row>
    <row r="109" spans="2:5" x14ac:dyDescent="0.25">
      <c r="B109" s="5" t="s">
        <v>888</v>
      </c>
      <c r="C109" s="7" t="s">
        <v>753</v>
      </c>
      <c r="D109" s="8">
        <v>44266</v>
      </c>
      <c r="E109" s="8">
        <v>44272</v>
      </c>
    </row>
    <row r="110" spans="2:5" x14ac:dyDescent="0.25">
      <c r="B110" s="5" t="s">
        <v>899</v>
      </c>
      <c r="C110" s="7" t="s">
        <v>804</v>
      </c>
      <c r="D110" s="8">
        <v>44273</v>
      </c>
      <c r="E110" s="8">
        <v>44295</v>
      </c>
    </row>
    <row r="111" spans="2:5" x14ac:dyDescent="0.25">
      <c r="B111" s="5" t="s">
        <v>909</v>
      </c>
      <c r="C111" s="7" t="s">
        <v>812</v>
      </c>
      <c r="D111" s="8">
        <v>44296</v>
      </c>
      <c r="E111" s="8">
        <v>44340</v>
      </c>
    </row>
    <row r="112" spans="2:5" x14ac:dyDescent="0.25">
      <c r="B112" s="5" t="s">
        <v>910</v>
      </c>
      <c r="C112" s="7" t="s">
        <v>819</v>
      </c>
      <c r="D112" s="8">
        <v>44341</v>
      </c>
      <c r="E112" s="8">
        <v>44383</v>
      </c>
    </row>
    <row r="113" spans="2:5" x14ac:dyDescent="0.25">
      <c r="B113" s="5" t="s">
        <v>911</v>
      </c>
      <c r="C113" s="7" t="s">
        <v>824</v>
      </c>
      <c r="D113" s="8">
        <v>44384</v>
      </c>
      <c r="E113" s="8">
        <v>44424</v>
      </c>
    </row>
    <row r="114" spans="2:5" x14ac:dyDescent="0.25">
      <c r="B114" s="5" t="s">
        <v>912</v>
      </c>
      <c r="C114" s="7" t="s">
        <v>829</v>
      </c>
      <c r="D114" s="8">
        <v>44425</v>
      </c>
      <c r="E114" s="8">
        <v>44466</v>
      </c>
    </row>
    <row r="115" spans="2:5" x14ac:dyDescent="0.25">
      <c r="B115" s="5" t="s">
        <v>915</v>
      </c>
      <c r="C115" s="7" t="s">
        <v>834</v>
      </c>
      <c r="D115" s="8">
        <v>44467</v>
      </c>
      <c r="E115" s="8">
        <v>44508</v>
      </c>
    </row>
    <row r="116" spans="2:5" x14ac:dyDescent="0.25">
      <c r="B116" s="5" t="s">
        <v>916</v>
      </c>
      <c r="C116" s="7" t="s">
        <v>843</v>
      </c>
      <c r="D116" s="8">
        <v>44509</v>
      </c>
      <c r="E116" s="8">
        <v>44550</v>
      </c>
    </row>
    <row r="117" spans="2:5" x14ac:dyDescent="0.25">
      <c r="B117" s="5" t="s">
        <v>917</v>
      </c>
      <c r="C117" s="7" t="s">
        <v>852</v>
      </c>
      <c r="D117" s="8">
        <v>44551</v>
      </c>
      <c r="E117" s="8">
        <v>44592</v>
      </c>
    </row>
    <row r="118" spans="2:5" x14ac:dyDescent="0.25">
      <c r="B118" s="5" t="s">
        <v>918</v>
      </c>
      <c r="C118" s="7" t="s">
        <v>861</v>
      </c>
      <c r="D118" s="8">
        <v>44593</v>
      </c>
      <c r="E118" s="8">
        <v>44634</v>
      </c>
    </row>
    <row r="119" spans="2:5" x14ac:dyDescent="0.25">
      <c r="B119" s="5" t="s">
        <v>919</v>
      </c>
      <c r="C119" s="7" t="s">
        <v>870</v>
      </c>
      <c r="D119" s="8">
        <v>44635</v>
      </c>
      <c r="E119" s="8">
        <v>44676</v>
      </c>
    </row>
    <row r="120" spans="2:5" x14ac:dyDescent="0.25">
      <c r="B120" s="5" t="s">
        <v>920</v>
      </c>
      <c r="C120" s="7" t="s">
        <v>879</v>
      </c>
      <c r="D120" s="8">
        <v>44677</v>
      </c>
      <c r="E120" s="8">
        <v>44718</v>
      </c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DEEF-056A-4DE9-AFA2-4E020F9F5E79}">
  <dimension ref="A1:J591"/>
  <sheetViews>
    <sheetView topLeftCell="A289" workbookViewId="0">
      <selection activeCell="A289" sqref="A1:XFD1048576"/>
    </sheetView>
  </sheetViews>
  <sheetFormatPr defaultRowHeight="13.2" x14ac:dyDescent="0.25"/>
  <cols>
    <col min="1" max="10" width="39.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C2">
        <v>1873</v>
      </c>
      <c r="D2" t="s">
        <v>11</v>
      </c>
      <c r="E2" s="1">
        <v>44929</v>
      </c>
      <c r="F2" s="2">
        <v>3538031.78</v>
      </c>
      <c r="G2" s="2">
        <v>2881745</v>
      </c>
      <c r="H2">
        <v>1039</v>
      </c>
    </row>
    <row r="3" spans="1:10" x14ac:dyDescent="0.25">
      <c r="A3" t="s">
        <v>12</v>
      </c>
      <c r="C3">
        <v>745</v>
      </c>
      <c r="D3" t="s">
        <v>13</v>
      </c>
      <c r="E3" s="1">
        <v>44188</v>
      </c>
      <c r="F3" s="2">
        <v>627.48</v>
      </c>
      <c r="G3" s="2">
        <v>406.4</v>
      </c>
      <c r="H3">
        <v>0</v>
      </c>
    </row>
    <row r="4" spans="1:10" x14ac:dyDescent="0.25">
      <c r="A4" t="s">
        <v>14</v>
      </c>
      <c r="B4" t="s">
        <v>15</v>
      </c>
      <c r="C4">
        <v>248</v>
      </c>
      <c r="D4" t="s">
        <v>13</v>
      </c>
      <c r="E4" t="s">
        <v>16</v>
      </c>
      <c r="F4" s="2">
        <v>207.48</v>
      </c>
      <c r="G4" s="2">
        <v>0</v>
      </c>
      <c r="I4" t="s">
        <v>17</v>
      </c>
      <c r="J4" t="s">
        <v>18</v>
      </c>
    </row>
    <row r="5" spans="1:10" x14ac:dyDescent="0.25">
      <c r="A5" t="s">
        <v>19</v>
      </c>
      <c r="B5" t="s">
        <v>20</v>
      </c>
      <c r="C5">
        <v>248</v>
      </c>
      <c r="D5" t="s">
        <v>21</v>
      </c>
      <c r="E5" s="1">
        <v>43822</v>
      </c>
      <c r="F5" s="2">
        <v>210</v>
      </c>
      <c r="G5" s="2">
        <v>196.4</v>
      </c>
      <c r="I5" t="s">
        <v>17</v>
      </c>
      <c r="J5" t="s">
        <v>18</v>
      </c>
    </row>
    <row r="6" spans="1:10" x14ac:dyDescent="0.25">
      <c r="A6" t="s">
        <v>22</v>
      </c>
      <c r="B6" t="s">
        <v>23</v>
      </c>
      <c r="C6">
        <v>249</v>
      </c>
      <c r="D6" t="s">
        <v>24</v>
      </c>
      <c r="E6" s="1">
        <v>44188</v>
      </c>
      <c r="F6" s="2">
        <v>210</v>
      </c>
      <c r="G6" s="2">
        <v>210</v>
      </c>
      <c r="I6" t="s">
        <v>17</v>
      </c>
      <c r="J6" t="s">
        <v>18</v>
      </c>
    </row>
    <row r="7" spans="1:10" x14ac:dyDescent="0.25">
      <c r="A7" t="s">
        <v>25</v>
      </c>
      <c r="C7">
        <v>0</v>
      </c>
      <c r="D7" t="s">
        <v>11</v>
      </c>
      <c r="E7" t="s">
        <v>11</v>
      </c>
      <c r="F7" s="2">
        <v>0</v>
      </c>
      <c r="G7" s="2">
        <v>0</v>
      </c>
      <c r="H7">
        <v>0</v>
      </c>
    </row>
    <row r="8" spans="1:10" x14ac:dyDescent="0.25">
      <c r="A8" t="s">
        <v>26</v>
      </c>
      <c r="B8" t="s">
        <v>27</v>
      </c>
      <c r="C8">
        <v>0</v>
      </c>
      <c r="D8" t="s">
        <v>11</v>
      </c>
      <c r="F8" s="2">
        <v>0</v>
      </c>
      <c r="G8" s="2">
        <v>0</v>
      </c>
      <c r="I8" t="s">
        <v>17</v>
      </c>
      <c r="J8" t="s">
        <v>18</v>
      </c>
    </row>
    <row r="9" spans="1:10" x14ac:dyDescent="0.25">
      <c r="A9" t="s">
        <v>28</v>
      </c>
      <c r="C9">
        <v>216</v>
      </c>
      <c r="D9" s="1">
        <v>43511</v>
      </c>
      <c r="E9" s="1">
        <v>43819</v>
      </c>
      <c r="F9" s="2">
        <v>15776</v>
      </c>
      <c r="G9" s="2">
        <v>15776</v>
      </c>
      <c r="H9">
        <v>0</v>
      </c>
    </row>
    <row r="10" spans="1:10" x14ac:dyDescent="0.25">
      <c r="A10" t="s">
        <v>29</v>
      </c>
      <c r="B10" t="s">
        <v>30</v>
      </c>
      <c r="C10">
        <v>62</v>
      </c>
      <c r="D10" t="s">
        <v>31</v>
      </c>
      <c r="E10" s="1">
        <v>43598</v>
      </c>
      <c r="F10" s="2">
        <v>13920</v>
      </c>
      <c r="G10" s="2">
        <v>13920</v>
      </c>
      <c r="I10" t="s">
        <v>32</v>
      </c>
      <c r="J10" t="s">
        <v>18</v>
      </c>
    </row>
    <row r="11" spans="1:10" x14ac:dyDescent="0.25">
      <c r="A11" t="s">
        <v>33</v>
      </c>
      <c r="B11" t="s">
        <v>34</v>
      </c>
      <c r="C11">
        <v>206</v>
      </c>
      <c r="D11" t="s">
        <v>35</v>
      </c>
      <c r="E11" s="1">
        <v>43819</v>
      </c>
      <c r="F11" s="2">
        <v>1856</v>
      </c>
      <c r="G11" s="2">
        <v>1856</v>
      </c>
      <c r="I11" t="s">
        <v>32</v>
      </c>
      <c r="J11" t="s">
        <v>18</v>
      </c>
    </row>
    <row r="12" spans="1:10" x14ac:dyDescent="0.25">
      <c r="A12" t="s">
        <v>36</v>
      </c>
      <c r="C12">
        <v>1756</v>
      </c>
      <c r="D12" t="s">
        <v>37</v>
      </c>
      <c r="E12" s="1">
        <v>44929</v>
      </c>
      <c r="F12" s="2">
        <v>0</v>
      </c>
      <c r="G12" s="2">
        <v>0</v>
      </c>
      <c r="H12">
        <v>0</v>
      </c>
    </row>
    <row r="13" spans="1:10" x14ac:dyDescent="0.25">
      <c r="A13" t="s">
        <v>38</v>
      </c>
      <c r="B13" t="s">
        <v>39</v>
      </c>
      <c r="C13">
        <v>0</v>
      </c>
      <c r="D13" t="s">
        <v>37</v>
      </c>
      <c r="F13" s="2">
        <v>0</v>
      </c>
      <c r="G13" s="2">
        <v>0</v>
      </c>
      <c r="I13" t="s">
        <v>40</v>
      </c>
      <c r="J13" t="s">
        <v>18</v>
      </c>
    </row>
    <row r="14" spans="1:10" x14ac:dyDescent="0.25">
      <c r="A14" t="s">
        <v>41</v>
      </c>
      <c r="B14" t="s">
        <v>42</v>
      </c>
      <c r="C14">
        <v>0</v>
      </c>
      <c r="D14" t="s">
        <v>43</v>
      </c>
      <c r="F14" s="2">
        <v>0</v>
      </c>
      <c r="G14" s="2">
        <v>0</v>
      </c>
      <c r="I14" t="s">
        <v>40</v>
      </c>
      <c r="J14" t="s">
        <v>18</v>
      </c>
    </row>
    <row r="15" spans="1:10" x14ac:dyDescent="0.25">
      <c r="A15" t="s">
        <v>44</v>
      </c>
      <c r="B15" t="s">
        <v>45</v>
      </c>
      <c r="C15">
        <v>0</v>
      </c>
      <c r="D15" t="s">
        <v>46</v>
      </c>
      <c r="F15" s="2">
        <v>0</v>
      </c>
      <c r="G15" s="2">
        <v>0</v>
      </c>
      <c r="I15" t="s">
        <v>40</v>
      </c>
      <c r="J15" t="s">
        <v>18</v>
      </c>
    </row>
    <row r="16" spans="1:10" x14ac:dyDescent="0.25">
      <c r="A16" t="s">
        <v>47</v>
      </c>
      <c r="B16" t="s">
        <v>48</v>
      </c>
      <c r="C16">
        <v>0</v>
      </c>
      <c r="D16" t="s">
        <v>49</v>
      </c>
      <c r="F16" s="2">
        <v>0</v>
      </c>
      <c r="G16" s="2">
        <v>0</v>
      </c>
      <c r="I16" t="s">
        <v>50</v>
      </c>
      <c r="J16" t="s">
        <v>18</v>
      </c>
    </row>
    <row r="17" spans="1:10" x14ac:dyDescent="0.25">
      <c r="A17" t="s">
        <v>51</v>
      </c>
      <c r="B17" t="s">
        <v>52</v>
      </c>
      <c r="C17">
        <v>0</v>
      </c>
      <c r="D17" t="s">
        <v>53</v>
      </c>
      <c r="F17" s="2">
        <v>0</v>
      </c>
      <c r="G17" s="2">
        <v>0</v>
      </c>
      <c r="I17" t="s">
        <v>50</v>
      </c>
      <c r="J17" t="s">
        <v>18</v>
      </c>
    </row>
    <row r="18" spans="1:10" x14ac:dyDescent="0.25">
      <c r="A18" t="s">
        <v>54</v>
      </c>
      <c r="B18" t="s">
        <v>55</v>
      </c>
      <c r="C18">
        <v>0</v>
      </c>
      <c r="D18" t="s">
        <v>56</v>
      </c>
      <c r="F18" s="2">
        <v>0</v>
      </c>
      <c r="G18" s="2">
        <v>0</v>
      </c>
      <c r="I18" t="s">
        <v>50</v>
      </c>
      <c r="J18" t="s">
        <v>18</v>
      </c>
    </row>
    <row r="19" spans="1:10" x14ac:dyDescent="0.25">
      <c r="A19" t="s">
        <v>57</v>
      </c>
      <c r="B19" t="s">
        <v>58</v>
      </c>
      <c r="C19">
        <v>0</v>
      </c>
      <c r="D19" t="s">
        <v>59</v>
      </c>
      <c r="F19" s="2">
        <v>0</v>
      </c>
      <c r="G19" s="2">
        <v>0</v>
      </c>
      <c r="I19" t="s">
        <v>50</v>
      </c>
      <c r="J19" t="s">
        <v>18</v>
      </c>
    </row>
    <row r="20" spans="1:10" x14ac:dyDescent="0.25">
      <c r="A20" t="s">
        <v>60</v>
      </c>
      <c r="B20" t="s">
        <v>61</v>
      </c>
      <c r="C20">
        <v>0</v>
      </c>
      <c r="D20" t="s">
        <v>62</v>
      </c>
      <c r="F20" s="2">
        <v>0</v>
      </c>
      <c r="G20" s="2">
        <v>0</v>
      </c>
      <c r="I20" t="s">
        <v>50</v>
      </c>
      <c r="J20" t="s">
        <v>18</v>
      </c>
    </row>
    <row r="21" spans="1:10" x14ac:dyDescent="0.25">
      <c r="A21" t="s">
        <v>63</v>
      </c>
      <c r="B21" t="s">
        <v>64</v>
      </c>
      <c r="C21">
        <v>0</v>
      </c>
      <c r="D21" t="s">
        <v>65</v>
      </c>
      <c r="F21" s="2">
        <v>0</v>
      </c>
      <c r="G21" s="2">
        <v>0</v>
      </c>
      <c r="I21" t="s">
        <v>50</v>
      </c>
      <c r="J21" t="s">
        <v>18</v>
      </c>
    </row>
    <row r="22" spans="1:10" x14ac:dyDescent="0.25">
      <c r="A22" t="s">
        <v>66</v>
      </c>
      <c r="B22" t="s">
        <v>67</v>
      </c>
      <c r="C22">
        <v>0</v>
      </c>
      <c r="D22" t="s">
        <v>68</v>
      </c>
      <c r="F22" s="2">
        <v>0</v>
      </c>
      <c r="G22" s="2">
        <v>0</v>
      </c>
      <c r="I22" t="s">
        <v>50</v>
      </c>
      <c r="J22" t="s">
        <v>18</v>
      </c>
    </row>
    <row r="23" spans="1:10" x14ac:dyDescent="0.25">
      <c r="A23" t="s">
        <v>69</v>
      </c>
      <c r="B23" t="s">
        <v>70</v>
      </c>
      <c r="C23">
        <v>0</v>
      </c>
      <c r="D23" t="s">
        <v>68</v>
      </c>
      <c r="F23" s="2">
        <v>0</v>
      </c>
      <c r="G23" s="2">
        <v>0</v>
      </c>
      <c r="I23" t="s">
        <v>50</v>
      </c>
      <c r="J23" t="s">
        <v>18</v>
      </c>
    </row>
    <row r="24" spans="1:10" x14ac:dyDescent="0.25">
      <c r="A24" t="s">
        <v>71</v>
      </c>
      <c r="B24" t="s">
        <v>72</v>
      </c>
      <c r="C24">
        <v>0</v>
      </c>
      <c r="D24" t="s">
        <v>73</v>
      </c>
      <c r="F24" s="2">
        <v>0</v>
      </c>
      <c r="G24" s="2">
        <v>0</v>
      </c>
      <c r="I24" t="s">
        <v>50</v>
      </c>
      <c r="J24" t="s">
        <v>18</v>
      </c>
    </row>
    <row r="25" spans="1:10" x14ac:dyDescent="0.25">
      <c r="A25" t="s">
        <v>74</v>
      </c>
      <c r="B25" t="s">
        <v>75</v>
      </c>
      <c r="C25">
        <v>0</v>
      </c>
      <c r="D25" t="s">
        <v>76</v>
      </c>
      <c r="F25" s="2">
        <v>0</v>
      </c>
      <c r="G25" s="2">
        <v>0</v>
      </c>
      <c r="I25" t="s">
        <v>50</v>
      </c>
      <c r="J25" t="s">
        <v>18</v>
      </c>
    </row>
    <row r="26" spans="1:10" x14ac:dyDescent="0.25">
      <c r="A26" t="s">
        <v>77</v>
      </c>
      <c r="B26" t="s">
        <v>78</v>
      </c>
      <c r="C26">
        <v>0</v>
      </c>
      <c r="E26" s="1">
        <v>44929</v>
      </c>
      <c r="F26" s="2">
        <v>0</v>
      </c>
      <c r="G26" s="2">
        <v>0</v>
      </c>
      <c r="I26" t="s">
        <v>50</v>
      </c>
      <c r="J26" t="s">
        <v>18</v>
      </c>
    </row>
    <row r="27" spans="1:10" x14ac:dyDescent="0.25">
      <c r="A27" t="s">
        <v>79</v>
      </c>
      <c r="B27" t="s">
        <v>80</v>
      </c>
      <c r="C27">
        <v>0</v>
      </c>
      <c r="D27" t="s">
        <v>81</v>
      </c>
      <c r="F27" s="2">
        <v>0</v>
      </c>
      <c r="G27" s="2">
        <v>0</v>
      </c>
      <c r="I27" t="s">
        <v>50</v>
      </c>
      <c r="J27" t="s">
        <v>18</v>
      </c>
    </row>
    <row r="28" spans="1:10" x14ac:dyDescent="0.25">
      <c r="A28" t="s">
        <v>82</v>
      </c>
      <c r="C28">
        <v>1341</v>
      </c>
      <c r="D28" t="s">
        <v>83</v>
      </c>
      <c r="E28" s="1">
        <v>44460</v>
      </c>
      <c r="F28" s="2">
        <v>0</v>
      </c>
      <c r="G28" s="2">
        <v>0</v>
      </c>
      <c r="H28">
        <v>0</v>
      </c>
    </row>
    <row r="29" spans="1:10" x14ac:dyDescent="0.25">
      <c r="A29" t="s">
        <v>84</v>
      </c>
      <c r="B29" t="s">
        <v>85</v>
      </c>
      <c r="C29">
        <v>0</v>
      </c>
      <c r="D29" t="s">
        <v>83</v>
      </c>
      <c r="F29" s="2">
        <v>0</v>
      </c>
      <c r="G29" s="2">
        <v>0</v>
      </c>
      <c r="I29" t="s">
        <v>86</v>
      </c>
      <c r="J29" t="s">
        <v>18</v>
      </c>
    </row>
    <row r="30" spans="1:10" x14ac:dyDescent="0.25">
      <c r="A30" t="s">
        <v>87</v>
      </c>
      <c r="B30" t="s">
        <v>88</v>
      </c>
      <c r="C30">
        <v>0</v>
      </c>
      <c r="D30" t="s">
        <v>89</v>
      </c>
      <c r="F30" s="2">
        <v>0</v>
      </c>
      <c r="G30" s="2">
        <v>0</v>
      </c>
      <c r="I30" t="s">
        <v>86</v>
      </c>
      <c r="J30" t="s">
        <v>18</v>
      </c>
    </row>
    <row r="31" spans="1:10" x14ac:dyDescent="0.25">
      <c r="A31" t="s">
        <v>90</v>
      </c>
      <c r="B31" t="s">
        <v>91</v>
      </c>
      <c r="C31">
        <v>0</v>
      </c>
      <c r="D31" t="s">
        <v>92</v>
      </c>
      <c r="F31" s="2">
        <v>0</v>
      </c>
      <c r="G31" s="2">
        <v>0</v>
      </c>
      <c r="I31" t="s">
        <v>86</v>
      </c>
      <c r="J31" t="s">
        <v>18</v>
      </c>
    </row>
    <row r="32" spans="1:10" x14ac:dyDescent="0.25">
      <c r="A32" t="s">
        <v>93</v>
      </c>
      <c r="B32" t="s">
        <v>94</v>
      </c>
      <c r="C32">
        <v>0</v>
      </c>
      <c r="D32" t="s">
        <v>95</v>
      </c>
      <c r="F32" s="2">
        <v>0</v>
      </c>
      <c r="G32" s="2">
        <v>0</v>
      </c>
      <c r="I32" t="s">
        <v>86</v>
      </c>
      <c r="J32" t="s">
        <v>18</v>
      </c>
    </row>
    <row r="33" spans="1:10" x14ac:dyDescent="0.25">
      <c r="A33" t="s">
        <v>96</v>
      </c>
      <c r="B33" t="s">
        <v>97</v>
      </c>
      <c r="C33">
        <v>0</v>
      </c>
      <c r="D33" t="s">
        <v>98</v>
      </c>
      <c r="F33" s="2">
        <v>0</v>
      </c>
      <c r="G33" s="2">
        <v>0</v>
      </c>
      <c r="I33" t="s">
        <v>86</v>
      </c>
      <c r="J33" t="s">
        <v>18</v>
      </c>
    </row>
    <row r="34" spans="1:10" x14ac:dyDescent="0.25">
      <c r="A34" t="s">
        <v>99</v>
      </c>
      <c r="B34" t="s">
        <v>100</v>
      </c>
      <c r="C34">
        <v>0</v>
      </c>
      <c r="D34" t="s">
        <v>101</v>
      </c>
      <c r="F34" s="2">
        <v>0</v>
      </c>
      <c r="G34" s="2">
        <v>0</v>
      </c>
      <c r="I34" t="s">
        <v>86</v>
      </c>
      <c r="J34" t="s">
        <v>18</v>
      </c>
    </row>
    <row r="35" spans="1:10" x14ac:dyDescent="0.25">
      <c r="A35" t="s">
        <v>102</v>
      </c>
      <c r="B35" t="s">
        <v>103</v>
      </c>
      <c r="C35">
        <v>0</v>
      </c>
      <c r="D35" t="s">
        <v>104</v>
      </c>
      <c r="F35" s="2">
        <v>0</v>
      </c>
      <c r="G35" s="2">
        <v>0</v>
      </c>
      <c r="I35" t="s">
        <v>86</v>
      </c>
      <c r="J35" t="s">
        <v>18</v>
      </c>
    </row>
    <row r="36" spans="1:10" x14ac:dyDescent="0.25">
      <c r="A36" t="s">
        <v>105</v>
      </c>
      <c r="B36" t="s">
        <v>106</v>
      </c>
      <c r="C36">
        <v>0</v>
      </c>
      <c r="D36" t="s">
        <v>107</v>
      </c>
      <c r="F36" s="2">
        <v>0</v>
      </c>
      <c r="G36" s="2">
        <v>0</v>
      </c>
      <c r="I36" t="s">
        <v>86</v>
      </c>
      <c r="J36" t="s">
        <v>18</v>
      </c>
    </row>
    <row r="37" spans="1:10" x14ac:dyDescent="0.25">
      <c r="A37" t="s">
        <v>108</v>
      </c>
      <c r="B37" t="s">
        <v>109</v>
      </c>
      <c r="C37">
        <v>0</v>
      </c>
      <c r="D37" t="s">
        <v>110</v>
      </c>
      <c r="F37" s="2">
        <v>0</v>
      </c>
      <c r="G37" s="2">
        <v>0</v>
      </c>
      <c r="I37" t="s">
        <v>111</v>
      </c>
      <c r="J37" t="s">
        <v>18</v>
      </c>
    </row>
    <row r="38" spans="1:10" x14ac:dyDescent="0.25">
      <c r="A38" t="s">
        <v>112</v>
      </c>
      <c r="B38" t="s">
        <v>113</v>
      </c>
      <c r="C38">
        <v>0</v>
      </c>
      <c r="D38" t="s">
        <v>114</v>
      </c>
      <c r="F38" s="2">
        <v>0</v>
      </c>
      <c r="G38" s="2">
        <v>0</v>
      </c>
      <c r="I38" t="s">
        <v>111</v>
      </c>
      <c r="J38" t="s">
        <v>18</v>
      </c>
    </row>
    <row r="39" spans="1:10" x14ac:dyDescent="0.25">
      <c r="A39" t="s">
        <v>115</v>
      </c>
      <c r="B39" t="s">
        <v>116</v>
      </c>
      <c r="C39">
        <v>0</v>
      </c>
      <c r="D39" t="s">
        <v>117</v>
      </c>
      <c r="F39" s="2">
        <v>0</v>
      </c>
      <c r="G39" s="2">
        <v>0</v>
      </c>
      <c r="I39" t="s">
        <v>111</v>
      </c>
      <c r="J39" t="s">
        <v>18</v>
      </c>
    </row>
    <row r="40" spans="1:10" x14ac:dyDescent="0.25">
      <c r="A40" t="s">
        <v>118</v>
      </c>
      <c r="B40" t="s">
        <v>119</v>
      </c>
      <c r="C40">
        <v>0</v>
      </c>
      <c r="D40" t="s">
        <v>120</v>
      </c>
      <c r="F40" s="2">
        <v>0</v>
      </c>
      <c r="G40" s="2">
        <v>0</v>
      </c>
      <c r="I40" t="s">
        <v>111</v>
      </c>
      <c r="J40" t="s">
        <v>18</v>
      </c>
    </row>
    <row r="41" spans="1:10" x14ac:dyDescent="0.25">
      <c r="A41" t="s">
        <v>121</v>
      </c>
      <c r="B41" t="s">
        <v>122</v>
      </c>
      <c r="C41">
        <v>0</v>
      </c>
      <c r="D41" t="s">
        <v>123</v>
      </c>
      <c r="F41" s="2">
        <v>0</v>
      </c>
      <c r="G41" s="2">
        <v>0</v>
      </c>
      <c r="I41" t="s">
        <v>111</v>
      </c>
      <c r="J41" t="s">
        <v>18</v>
      </c>
    </row>
    <row r="42" spans="1:10" x14ac:dyDescent="0.25">
      <c r="A42" t="s">
        <v>124</v>
      </c>
      <c r="B42" t="s">
        <v>125</v>
      </c>
      <c r="C42">
        <v>0</v>
      </c>
      <c r="D42" t="s">
        <v>126</v>
      </c>
      <c r="F42" s="2">
        <v>0</v>
      </c>
      <c r="G42" s="2">
        <v>0</v>
      </c>
      <c r="I42" t="s">
        <v>111</v>
      </c>
      <c r="J42" t="s">
        <v>18</v>
      </c>
    </row>
    <row r="43" spans="1:10" x14ac:dyDescent="0.25">
      <c r="A43" t="s">
        <v>127</v>
      </c>
      <c r="B43" t="s">
        <v>128</v>
      </c>
      <c r="C43">
        <v>0</v>
      </c>
      <c r="D43" t="s">
        <v>129</v>
      </c>
      <c r="F43" s="2">
        <v>0</v>
      </c>
      <c r="G43" s="2">
        <v>0</v>
      </c>
      <c r="I43" t="s">
        <v>111</v>
      </c>
      <c r="J43" t="s">
        <v>18</v>
      </c>
    </row>
    <row r="44" spans="1:10" x14ac:dyDescent="0.25">
      <c r="A44" t="s">
        <v>130</v>
      </c>
      <c r="B44" t="s">
        <v>131</v>
      </c>
      <c r="C44">
        <v>0</v>
      </c>
      <c r="D44" t="s">
        <v>132</v>
      </c>
      <c r="F44" s="2">
        <v>0</v>
      </c>
      <c r="G44" s="2">
        <v>0</v>
      </c>
      <c r="I44" t="s">
        <v>111</v>
      </c>
      <c r="J44" t="s">
        <v>18</v>
      </c>
    </row>
    <row r="45" spans="1:10" x14ac:dyDescent="0.25">
      <c r="A45" t="s">
        <v>133</v>
      </c>
      <c r="B45" t="s">
        <v>134</v>
      </c>
      <c r="C45">
        <v>0</v>
      </c>
      <c r="D45" t="s">
        <v>135</v>
      </c>
      <c r="F45" s="2">
        <v>0</v>
      </c>
      <c r="G45" s="2">
        <v>0</v>
      </c>
      <c r="I45" t="s">
        <v>111</v>
      </c>
      <c r="J45" t="s">
        <v>18</v>
      </c>
    </row>
    <row r="46" spans="1:10" x14ac:dyDescent="0.25">
      <c r="A46" t="s">
        <v>136</v>
      </c>
      <c r="B46" t="s">
        <v>137</v>
      </c>
      <c r="C46">
        <v>0</v>
      </c>
      <c r="D46" t="s">
        <v>138</v>
      </c>
      <c r="F46" s="2">
        <v>0</v>
      </c>
      <c r="G46" s="2">
        <v>0</v>
      </c>
      <c r="I46" t="s">
        <v>111</v>
      </c>
      <c r="J46" t="s">
        <v>18</v>
      </c>
    </row>
    <row r="47" spans="1:10" x14ac:dyDescent="0.25">
      <c r="A47" t="s">
        <v>139</v>
      </c>
      <c r="B47" t="s">
        <v>140</v>
      </c>
      <c r="C47">
        <v>0</v>
      </c>
      <c r="D47" t="s">
        <v>141</v>
      </c>
      <c r="F47" s="2">
        <v>0</v>
      </c>
      <c r="G47" s="2">
        <v>0</v>
      </c>
      <c r="I47" t="s">
        <v>111</v>
      </c>
      <c r="J47" t="s">
        <v>18</v>
      </c>
    </row>
    <row r="48" spans="1:10" x14ac:dyDescent="0.25">
      <c r="A48" t="s">
        <v>142</v>
      </c>
      <c r="C48">
        <v>362</v>
      </c>
      <c r="D48" t="s">
        <v>143</v>
      </c>
      <c r="E48" t="s">
        <v>144</v>
      </c>
      <c r="F48" s="2">
        <v>195818.15</v>
      </c>
      <c r="G48" s="2">
        <v>0</v>
      </c>
      <c r="H48">
        <v>16</v>
      </c>
    </row>
    <row r="49" spans="1:10" x14ac:dyDescent="0.25">
      <c r="A49" t="s">
        <v>145</v>
      </c>
      <c r="C49">
        <v>362</v>
      </c>
      <c r="D49" t="s">
        <v>143</v>
      </c>
      <c r="E49" t="s">
        <v>144</v>
      </c>
      <c r="F49" s="2">
        <v>195818.15</v>
      </c>
      <c r="G49" s="2">
        <v>0</v>
      </c>
      <c r="H49">
        <v>16</v>
      </c>
    </row>
    <row r="50" spans="1:10" x14ac:dyDescent="0.25">
      <c r="A50" t="s">
        <v>146</v>
      </c>
      <c r="C50">
        <v>42</v>
      </c>
      <c r="D50" t="s">
        <v>143</v>
      </c>
      <c r="E50" t="s">
        <v>147</v>
      </c>
      <c r="F50" s="2">
        <v>53220.15</v>
      </c>
      <c r="G50" s="2">
        <v>0</v>
      </c>
      <c r="H50">
        <v>0</v>
      </c>
    </row>
    <row r="51" spans="1:10" x14ac:dyDescent="0.25">
      <c r="A51" t="s">
        <v>148</v>
      </c>
      <c r="B51" t="s">
        <v>149</v>
      </c>
      <c r="C51">
        <v>3</v>
      </c>
      <c r="D51" t="s">
        <v>143</v>
      </c>
      <c r="E51" t="s">
        <v>150</v>
      </c>
      <c r="F51" s="2">
        <v>19681.59</v>
      </c>
      <c r="G51" s="2">
        <v>0</v>
      </c>
      <c r="I51" t="s">
        <v>151</v>
      </c>
      <c r="J51" t="s">
        <v>152</v>
      </c>
    </row>
    <row r="52" spans="1:10" x14ac:dyDescent="0.25">
      <c r="A52" t="s">
        <v>153</v>
      </c>
      <c r="B52" t="s">
        <v>154</v>
      </c>
      <c r="C52">
        <v>30</v>
      </c>
      <c r="D52" t="s">
        <v>155</v>
      </c>
      <c r="E52" t="s">
        <v>147</v>
      </c>
      <c r="F52" s="2">
        <v>33538.559999999998</v>
      </c>
      <c r="G52" s="2">
        <v>0</v>
      </c>
      <c r="I52" t="s">
        <v>151</v>
      </c>
      <c r="J52" t="s">
        <v>18</v>
      </c>
    </row>
    <row r="53" spans="1:10" x14ac:dyDescent="0.25">
      <c r="A53" t="s">
        <v>156</v>
      </c>
      <c r="C53">
        <v>165</v>
      </c>
      <c r="D53" t="s">
        <v>157</v>
      </c>
      <c r="E53" t="s">
        <v>158</v>
      </c>
      <c r="F53" s="2">
        <v>120000</v>
      </c>
      <c r="G53" s="2">
        <v>0</v>
      </c>
      <c r="H53">
        <v>0</v>
      </c>
    </row>
    <row r="54" spans="1:10" x14ac:dyDescent="0.25">
      <c r="A54" t="s">
        <v>159</v>
      </c>
      <c r="B54" t="s">
        <v>160</v>
      </c>
      <c r="C54">
        <v>165</v>
      </c>
      <c r="D54" t="s">
        <v>157</v>
      </c>
      <c r="E54" t="s">
        <v>158</v>
      </c>
      <c r="F54" s="2">
        <v>120000</v>
      </c>
      <c r="G54" s="2">
        <v>0</v>
      </c>
      <c r="I54" t="s">
        <v>161</v>
      </c>
      <c r="J54" t="s">
        <v>18</v>
      </c>
    </row>
    <row r="55" spans="1:10" x14ac:dyDescent="0.25">
      <c r="A55" t="s">
        <v>162</v>
      </c>
      <c r="C55">
        <v>82</v>
      </c>
      <c r="D55" t="s">
        <v>163</v>
      </c>
      <c r="E55" t="s">
        <v>144</v>
      </c>
      <c r="F55" s="2">
        <v>22598</v>
      </c>
      <c r="G55" s="2">
        <v>0</v>
      </c>
      <c r="H55">
        <v>16</v>
      </c>
    </row>
    <row r="56" spans="1:10" x14ac:dyDescent="0.25">
      <c r="A56" t="s">
        <v>164</v>
      </c>
      <c r="B56" t="s">
        <v>165</v>
      </c>
      <c r="C56">
        <v>4</v>
      </c>
      <c r="D56" t="s">
        <v>163</v>
      </c>
      <c r="E56" t="s">
        <v>166</v>
      </c>
      <c r="F56" s="2">
        <v>7827.2</v>
      </c>
      <c r="G56" s="2">
        <v>0</v>
      </c>
      <c r="I56" t="s">
        <v>161</v>
      </c>
      <c r="J56" t="s">
        <v>18</v>
      </c>
    </row>
    <row r="57" spans="1:10" x14ac:dyDescent="0.25">
      <c r="A57" t="s">
        <v>167</v>
      </c>
      <c r="B57" t="s">
        <v>168</v>
      </c>
      <c r="C57">
        <v>2</v>
      </c>
      <c r="D57" t="s">
        <v>169</v>
      </c>
      <c r="E57" t="s">
        <v>170</v>
      </c>
      <c r="F57" s="2">
        <v>3126</v>
      </c>
      <c r="G57" s="2">
        <v>0</v>
      </c>
      <c r="H57">
        <v>16</v>
      </c>
      <c r="I57" t="s">
        <v>161</v>
      </c>
      <c r="J57" t="s">
        <v>18</v>
      </c>
    </row>
    <row r="58" spans="1:10" x14ac:dyDescent="0.25">
      <c r="A58" t="s">
        <v>171</v>
      </c>
      <c r="B58" t="s">
        <v>172</v>
      </c>
      <c r="C58">
        <v>5</v>
      </c>
      <c r="D58" t="s">
        <v>170</v>
      </c>
      <c r="E58" t="s">
        <v>144</v>
      </c>
      <c r="F58" s="2">
        <v>1490</v>
      </c>
      <c r="G58" s="2">
        <v>0</v>
      </c>
      <c r="I58" t="s">
        <v>161</v>
      </c>
      <c r="J58" t="s">
        <v>18</v>
      </c>
    </row>
    <row r="59" spans="1:10" x14ac:dyDescent="0.25">
      <c r="A59" t="s">
        <v>173</v>
      </c>
      <c r="B59" t="s">
        <v>149</v>
      </c>
      <c r="C59">
        <v>4</v>
      </c>
      <c r="D59" t="s">
        <v>56</v>
      </c>
      <c r="E59" t="s">
        <v>174</v>
      </c>
      <c r="F59" s="2">
        <v>7840</v>
      </c>
      <c r="G59" s="2">
        <v>0</v>
      </c>
      <c r="I59" t="s">
        <v>161</v>
      </c>
      <c r="J59" t="s">
        <v>18</v>
      </c>
    </row>
    <row r="60" spans="1:10" x14ac:dyDescent="0.25">
      <c r="A60" t="s">
        <v>175</v>
      </c>
      <c r="B60" t="s">
        <v>176</v>
      </c>
      <c r="C60">
        <v>1</v>
      </c>
      <c r="D60" t="s">
        <v>144</v>
      </c>
      <c r="E60" t="s">
        <v>144</v>
      </c>
      <c r="F60" s="2">
        <v>2314.8000000000002</v>
      </c>
      <c r="G60" s="2">
        <v>0</v>
      </c>
      <c r="I60" t="s">
        <v>161</v>
      </c>
      <c r="J60" t="s">
        <v>18</v>
      </c>
    </row>
    <row r="61" spans="1:10" x14ac:dyDescent="0.25">
      <c r="A61" t="s">
        <v>177</v>
      </c>
      <c r="C61">
        <v>892</v>
      </c>
      <c r="D61" t="s">
        <v>178</v>
      </c>
      <c r="E61" s="1">
        <v>44061</v>
      </c>
      <c r="F61" s="2">
        <v>2386352.98</v>
      </c>
      <c r="G61" s="2">
        <v>1926105.43</v>
      </c>
      <c r="H61">
        <v>980</v>
      </c>
    </row>
    <row r="62" spans="1:10" x14ac:dyDescent="0.25">
      <c r="A62" t="s">
        <v>179</v>
      </c>
      <c r="C62">
        <v>892</v>
      </c>
      <c r="D62" t="s">
        <v>178</v>
      </c>
      <c r="E62" s="1">
        <v>44061</v>
      </c>
      <c r="F62" s="2">
        <v>748449.22</v>
      </c>
      <c r="G62" s="2">
        <v>288201.67</v>
      </c>
      <c r="H62">
        <v>183</v>
      </c>
    </row>
    <row r="63" spans="1:10" x14ac:dyDescent="0.25">
      <c r="A63" t="s">
        <v>180</v>
      </c>
      <c r="C63">
        <v>872</v>
      </c>
      <c r="D63" t="s">
        <v>181</v>
      </c>
      <c r="E63" s="1">
        <v>44061</v>
      </c>
      <c r="F63" s="2">
        <v>0</v>
      </c>
      <c r="G63" s="2">
        <v>0</v>
      </c>
      <c r="H63">
        <v>0</v>
      </c>
    </row>
    <row r="64" spans="1:10" x14ac:dyDescent="0.25">
      <c r="A64" t="s">
        <v>182</v>
      </c>
      <c r="B64" t="s">
        <v>183</v>
      </c>
      <c r="C64">
        <v>0</v>
      </c>
      <c r="D64" t="s">
        <v>181</v>
      </c>
      <c r="F64" s="2">
        <v>0</v>
      </c>
      <c r="G64" s="2">
        <v>0</v>
      </c>
      <c r="I64" t="s">
        <v>184</v>
      </c>
      <c r="J64" t="s">
        <v>18</v>
      </c>
    </row>
    <row r="65" spans="1:10" x14ac:dyDescent="0.25">
      <c r="A65" t="s">
        <v>185</v>
      </c>
      <c r="B65" t="s">
        <v>186</v>
      </c>
      <c r="C65">
        <v>280</v>
      </c>
      <c r="D65" t="s">
        <v>181</v>
      </c>
      <c r="E65" s="1">
        <v>44061</v>
      </c>
      <c r="F65" s="2">
        <v>0</v>
      </c>
      <c r="G65" s="2">
        <v>0</v>
      </c>
      <c r="I65" t="s">
        <v>184</v>
      </c>
      <c r="J65" t="s">
        <v>18</v>
      </c>
    </row>
    <row r="66" spans="1:10" x14ac:dyDescent="0.25">
      <c r="A66" t="s">
        <v>187</v>
      </c>
      <c r="B66" t="s">
        <v>188</v>
      </c>
      <c r="C66">
        <v>0</v>
      </c>
      <c r="E66" s="1">
        <v>43892</v>
      </c>
      <c r="F66" s="2">
        <v>0</v>
      </c>
      <c r="G66" s="2">
        <v>0</v>
      </c>
      <c r="I66" t="s">
        <v>184</v>
      </c>
      <c r="J66" t="s">
        <v>18</v>
      </c>
    </row>
    <row r="67" spans="1:10" x14ac:dyDescent="0.25">
      <c r="A67" t="s">
        <v>189</v>
      </c>
      <c r="B67" t="s">
        <v>190</v>
      </c>
      <c r="C67">
        <v>0</v>
      </c>
      <c r="E67" s="1">
        <v>44061</v>
      </c>
      <c r="F67" s="2">
        <v>0</v>
      </c>
      <c r="G67" s="2">
        <v>0</v>
      </c>
      <c r="I67" t="s">
        <v>184</v>
      </c>
      <c r="J67" t="s">
        <v>18</v>
      </c>
    </row>
    <row r="68" spans="1:10" x14ac:dyDescent="0.25">
      <c r="A68" t="s">
        <v>191</v>
      </c>
      <c r="C68">
        <v>40</v>
      </c>
      <c r="D68" t="s">
        <v>178</v>
      </c>
      <c r="E68" t="s">
        <v>192</v>
      </c>
      <c r="F68" s="2">
        <v>58226</v>
      </c>
      <c r="G68" s="2">
        <v>0</v>
      </c>
      <c r="H68">
        <v>0</v>
      </c>
    </row>
    <row r="69" spans="1:10" x14ac:dyDescent="0.25">
      <c r="A69" t="s">
        <v>193</v>
      </c>
      <c r="B69" t="s">
        <v>194</v>
      </c>
      <c r="C69">
        <v>25</v>
      </c>
      <c r="D69" t="s">
        <v>178</v>
      </c>
      <c r="E69" t="s">
        <v>195</v>
      </c>
      <c r="F69" s="2">
        <v>32150</v>
      </c>
      <c r="G69" s="2">
        <v>0</v>
      </c>
      <c r="I69" t="s">
        <v>161</v>
      </c>
      <c r="J69" t="s">
        <v>18</v>
      </c>
    </row>
    <row r="70" spans="1:10" x14ac:dyDescent="0.25">
      <c r="A70" t="s">
        <v>196</v>
      </c>
      <c r="B70" t="s">
        <v>197</v>
      </c>
      <c r="C70">
        <v>20</v>
      </c>
      <c r="D70" t="s">
        <v>181</v>
      </c>
      <c r="E70" t="s">
        <v>192</v>
      </c>
      <c r="F70" s="2">
        <v>26076</v>
      </c>
      <c r="G70" s="2">
        <v>0</v>
      </c>
      <c r="I70" t="s">
        <v>161</v>
      </c>
      <c r="J70" t="s">
        <v>18</v>
      </c>
    </row>
    <row r="71" spans="1:10" x14ac:dyDescent="0.25">
      <c r="A71" t="s">
        <v>198</v>
      </c>
      <c r="C71">
        <v>26</v>
      </c>
      <c r="D71" t="s">
        <v>199</v>
      </c>
      <c r="E71" t="s">
        <v>200</v>
      </c>
      <c r="F71" s="2">
        <v>36880</v>
      </c>
      <c r="G71" s="2">
        <v>0</v>
      </c>
      <c r="H71">
        <v>0</v>
      </c>
    </row>
    <row r="72" spans="1:10" x14ac:dyDescent="0.25">
      <c r="A72" t="s">
        <v>201</v>
      </c>
      <c r="B72" t="s">
        <v>194</v>
      </c>
      <c r="C72">
        <v>20</v>
      </c>
      <c r="D72" t="s">
        <v>199</v>
      </c>
      <c r="E72" t="s">
        <v>202</v>
      </c>
      <c r="F72" s="2">
        <v>22040</v>
      </c>
      <c r="G72" s="2">
        <v>0</v>
      </c>
      <c r="I72" t="s">
        <v>203</v>
      </c>
      <c r="J72" t="s">
        <v>18</v>
      </c>
    </row>
    <row r="73" spans="1:10" x14ac:dyDescent="0.25">
      <c r="A73" t="s">
        <v>204</v>
      </c>
      <c r="B73" t="s">
        <v>149</v>
      </c>
      <c r="C73">
        <v>8</v>
      </c>
      <c r="D73" t="s">
        <v>205</v>
      </c>
      <c r="E73" t="s">
        <v>200</v>
      </c>
      <c r="F73" s="2">
        <v>14840</v>
      </c>
      <c r="G73" s="2">
        <v>0</v>
      </c>
      <c r="I73" t="s">
        <v>203</v>
      </c>
      <c r="J73" t="s">
        <v>18</v>
      </c>
    </row>
    <row r="74" spans="1:10" x14ac:dyDescent="0.25">
      <c r="A74" t="s">
        <v>206</v>
      </c>
      <c r="C74">
        <v>2</v>
      </c>
      <c r="D74" t="s">
        <v>207</v>
      </c>
      <c r="E74" t="s">
        <v>208</v>
      </c>
      <c r="F74" s="2">
        <v>4151.4399999999996</v>
      </c>
      <c r="G74" s="2">
        <v>0</v>
      </c>
      <c r="H74">
        <v>0</v>
      </c>
    </row>
    <row r="75" spans="1:10" x14ac:dyDescent="0.25">
      <c r="A75" t="s">
        <v>209</v>
      </c>
      <c r="B75" t="s">
        <v>165</v>
      </c>
      <c r="C75">
        <v>1</v>
      </c>
      <c r="D75" t="s">
        <v>207</v>
      </c>
      <c r="E75" t="s">
        <v>207</v>
      </c>
      <c r="F75" s="2">
        <v>2359.44</v>
      </c>
      <c r="G75" s="2">
        <v>0</v>
      </c>
      <c r="I75" t="s">
        <v>86</v>
      </c>
      <c r="J75" t="s">
        <v>18</v>
      </c>
    </row>
    <row r="76" spans="1:10" x14ac:dyDescent="0.25">
      <c r="A76" t="s">
        <v>210</v>
      </c>
      <c r="B76" t="s">
        <v>211</v>
      </c>
      <c r="C76">
        <v>1</v>
      </c>
      <c r="D76" t="s">
        <v>208</v>
      </c>
      <c r="E76" t="s">
        <v>208</v>
      </c>
      <c r="F76" s="2">
        <v>1792</v>
      </c>
      <c r="G76" s="2">
        <v>0</v>
      </c>
      <c r="I76" t="s">
        <v>86</v>
      </c>
      <c r="J76" t="s">
        <v>18</v>
      </c>
    </row>
    <row r="77" spans="1:10" x14ac:dyDescent="0.25">
      <c r="A77" t="s">
        <v>212</v>
      </c>
      <c r="C77">
        <v>5</v>
      </c>
      <c r="D77" t="s">
        <v>213</v>
      </c>
      <c r="E77" t="s">
        <v>214</v>
      </c>
      <c r="F77" s="2">
        <v>6660</v>
      </c>
      <c r="G77" s="2">
        <v>0</v>
      </c>
      <c r="H77">
        <v>0</v>
      </c>
    </row>
    <row r="78" spans="1:10" x14ac:dyDescent="0.25">
      <c r="A78" t="s">
        <v>215</v>
      </c>
      <c r="B78" t="s">
        <v>216</v>
      </c>
      <c r="C78">
        <v>5</v>
      </c>
      <c r="D78" t="s">
        <v>213</v>
      </c>
      <c r="E78" t="s">
        <v>214</v>
      </c>
      <c r="F78" s="2">
        <v>6660</v>
      </c>
      <c r="G78" s="2">
        <v>0</v>
      </c>
      <c r="I78" t="s">
        <v>86</v>
      </c>
      <c r="J78" t="s">
        <v>18</v>
      </c>
    </row>
    <row r="79" spans="1:10" x14ac:dyDescent="0.25">
      <c r="A79" t="s">
        <v>217</v>
      </c>
      <c r="C79">
        <v>1</v>
      </c>
      <c r="D79" t="s">
        <v>218</v>
      </c>
      <c r="E79" t="s">
        <v>218</v>
      </c>
      <c r="F79" s="2">
        <v>460</v>
      </c>
      <c r="G79" s="2">
        <v>0</v>
      </c>
      <c r="H79">
        <v>0</v>
      </c>
    </row>
    <row r="80" spans="1:10" x14ac:dyDescent="0.25">
      <c r="A80" t="s">
        <v>219</v>
      </c>
      <c r="B80" t="s">
        <v>149</v>
      </c>
      <c r="C80">
        <v>1</v>
      </c>
      <c r="D80" t="s">
        <v>218</v>
      </c>
      <c r="E80" t="s">
        <v>218</v>
      </c>
      <c r="F80" s="2">
        <v>460</v>
      </c>
      <c r="G80" s="2">
        <v>0</v>
      </c>
      <c r="I80" t="s">
        <v>161</v>
      </c>
      <c r="J80" t="s">
        <v>18</v>
      </c>
    </row>
    <row r="81" spans="1:10" x14ac:dyDescent="0.25">
      <c r="A81" t="s">
        <v>220</v>
      </c>
      <c r="C81">
        <v>3</v>
      </c>
      <c r="D81" t="s">
        <v>221</v>
      </c>
      <c r="E81" t="s">
        <v>157</v>
      </c>
      <c r="F81" s="2">
        <v>4462.32</v>
      </c>
      <c r="G81" s="2">
        <v>0</v>
      </c>
      <c r="H81">
        <v>0</v>
      </c>
    </row>
    <row r="82" spans="1:10" x14ac:dyDescent="0.25">
      <c r="A82" t="s">
        <v>222</v>
      </c>
      <c r="B82" t="s">
        <v>165</v>
      </c>
      <c r="C82">
        <v>3</v>
      </c>
      <c r="D82" t="s">
        <v>221</v>
      </c>
      <c r="E82" t="s">
        <v>157</v>
      </c>
      <c r="F82" s="2">
        <v>4462.32</v>
      </c>
      <c r="G82" s="2">
        <v>0</v>
      </c>
      <c r="I82" t="s">
        <v>161</v>
      </c>
      <c r="J82" t="s">
        <v>18</v>
      </c>
    </row>
    <row r="83" spans="1:10" x14ac:dyDescent="0.25">
      <c r="A83" t="s">
        <v>223</v>
      </c>
      <c r="C83">
        <v>30</v>
      </c>
      <c r="D83" t="s">
        <v>205</v>
      </c>
      <c r="E83" t="s">
        <v>224</v>
      </c>
      <c r="F83" s="2">
        <v>25696.720000000001</v>
      </c>
      <c r="G83" s="2">
        <v>0</v>
      </c>
      <c r="H83">
        <v>0</v>
      </c>
    </row>
    <row r="84" spans="1:10" x14ac:dyDescent="0.25">
      <c r="A84" t="s">
        <v>225</v>
      </c>
      <c r="B84" t="s">
        <v>194</v>
      </c>
      <c r="C84">
        <v>10</v>
      </c>
      <c r="D84" t="s">
        <v>205</v>
      </c>
      <c r="E84" t="s">
        <v>224</v>
      </c>
      <c r="F84" s="2">
        <v>20935</v>
      </c>
      <c r="G84" s="2">
        <v>0</v>
      </c>
      <c r="I84" t="s">
        <v>161</v>
      </c>
      <c r="J84" t="s">
        <v>18</v>
      </c>
    </row>
    <row r="85" spans="1:10" x14ac:dyDescent="0.25">
      <c r="A85" t="s">
        <v>226</v>
      </c>
      <c r="B85" t="s">
        <v>165</v>
      </c>
      <c r="C85">
        <v>1</v>
      </c>
      <c r="D85" t="s">
        <v>224</v>
      </c>
      <c r="E85" t="s">
        <v>224</v>
      </c>
      <c r="F85" s="2">
        <v>973.72</v>
      </c>
      <c r="G85" s="2">
        <v>0</v>
      </c>
      <c r="I85" t="s">
        <v>161</v>
      </c>
      <c r="J85" t="s">
        <v>18</v>
      </c>
    </row>
    <row r="86" spans="1:10" x14ac:dyDescent="0.25">
      <c r="A86" t="s">
        <v>227</v>
      </c>
      <c r="B86" t="s">
        <v>149</v>
      </c>
      <c r="C86">
        <v>1</v>
      </c>
      <c r="D86" t="s">
        <v>224</v>
      </c>
      <c r="E86" t="s">
        <v>224</v>
      </c>
      <c r="F86" s="2">
        <v>3788</v>
      </c>
      <c r="G86" s="2">
        <v>0</v>
      </c>
      <c r="I86" t="s">
        <v>161</v>
      </c>
      <c r="J86" t="s">
        <v>18</v>
      </c>
    </row>
    <row r="87" spans="1:10" x14ac:dyDescent="0.25">
      <c r="A87" t="s">
        <v>228</v>
      </c>
      <c r="C87">
        <v>10</v>
      </c>
      <c r="D87" t="s">
        <v>229</v>
      </c>
      <c r="E87" t="s">
        <v>230</v>
      </c>
      <c r="F87" s="2">
        <v>20935</v>
      </c>
      <c r="G87" s="2">
        <v>0</v>
      </c>
      <c r="H87">
        <v>0</v>
      </c>
    </row>
    <row r="88" spans="1:10" x14ac:dyDescent="0.25">
      <c r="A88" t="s">
        <v>231</v>
      </c>
      <c r="B88" t="s">
        <v>194</v>
      </c>
      <c r="C88">
        <v>10</v>
      </c>
      <c r="D88" t="s">
        <v>229</v>
      </c>
      <c r="E88" t="s">
        <v>230</v>
      </c>
      <c r="F88" s="2">
        <v>20935</v>
      </c>
      <c r="G88" s="2">
        <v>0</v>
      </c>
      <c r="I88" t="s">
        <v>161</v>
      </c>
      <c r="J88" t="s">
        <v>18</v>
      </c>
    </row>
    <row r="89" spans="1:10" x14ac:dyDescent="0.25">
      <c r="A89" t="s">
        <v>232</v>
      </c>
      <c r="C89">
        <v>38</v>
      </c>
      <c r="D89" t="s">
        <v>169</v>
      </c>
      <c r="E89" t="s">
        <v>233</v>
      </c>
      <c r="F89" s="2">
        <v>40890</v>
      </c>
      <c r="G89" s="2">
        <v>0</v>
      </c>
      <c r="H89">
        <v>0</v>
      </c>
    </row>
    <row r="90" spans="1:10" x14ac:dyDescent="0.25">
      <c r="A90" t="s">
        <v>234</v>
      </c>
      <c r="B90" t="s">
        <v>149</v>
      </c>
      <c r="C90">
        <v>38</v>
      </c>
      <c r="D90" t="s">
        <v>169</v>
      </c>
      <c r="E90" t="s">
        <v>233</v>
      </c>
      <c r="F90" s="2">
        <v>40890</v>
      </c>
      <c r="G90" s="2">
        <v>0</v>
      </c>
      <c r="I90" t="s">
        <v>161</v>
      </c>
      <c r="J90" t="s">
        <v>18</v>
      </c>
    </row>
    <row r="91" spans="1:10" x14ac:dyDescent="0.25">
      <c r="A91" t="s">
        <v>235</v>
      </c>
      <c r="C91">
        <v>5</v>
      </c>
      <c r="D91" t="s">
        <v>236</v>
      </c>
      <c r="E91" t="s">
        <v>237</v>
      </c>
      <c r="F91" s="2">
        <v>2300</v>
      </c>
      <c r="G91" s="2">
        <v>0</v>
      </c>
      <c r="H91">
        <v>0</v>
      </c>
    </row>
    <row r="92" spans="1:10" x14ac:dyDescent="0.25">
      <c r="A92" t="s">
        <v>238</v>
      </c>
      <c r="B92" t="s">
        <v>239</v>
      </c>
      <c r="C92">
        <v>5</v>
      </c>
      <c r="D92" t="s">
        <v>236</v>
      </c>
      <c r="E92" t="s">
        <v>237</v>
      </c>
      <c r="F92" s="2">
        <v>2300</v>
      </c>
      <c r="G92" s="2">
        <v>0</v>
      </c>
      <c r="I92" t="s">
        <v>111</v>
      </c>
      <c r="J92" t="s">
        <v>18</v>
      </c>
    </row>
    <row r="93" spans="1:10" x14ac:dyDescent="0.25">
      <c r="A93" t="s">
        <v>240</v>
      </c>
      <c r="C93">
        <v>1</v>
      </c>
      <c r="D93" t="s">
        <v>241</v>
      </c>
      <c r="E93" t="s">
        <v>241</v>
      </c>
      <c r="F93" s="2">
        <v>1673.75</v>
      </c>
      <c r="G93" s="2">
        <v>0</v>
      </c>
      <c r="H93">
        <v>0</v>
      </c>
    </row>
    <row r="94" spans="1:10" x14ac:dyDescent="0.25">
      <c r="A94" t="s">
        <v>242</v>
      </c>
      <c r="B94" t="s">
        <v>149</v>
      </c>
      <c r="C94">
        <v>1</v>
      </c>
      <c r="D94" t="s">
        <v>241</v>
      </c>
      <c r="E94" t="s">
        <v>241</v>
      </c>
      <c r="F94" s="2">
        <v>1673.75</v>
      </c>
      <c r="G94" s="2">
        <v>0</v>
      </c>
      <c r="I94" t="s">
        <v>161</v>
      </c>
      <c r="J94" t="s">
        <v>18</v>
      </c>
    </row>
    <row r="95" spans="1:10" x14ac:dyDescent="0.25">
      <c r="A95" t="s">
        <v>243</v>
      </c>
      <c r="C95">
        <v>1</v>
      </c>
      <c r="D95" t="s">
        <v>174</v>
      </c>
      <c r="E95" t="s">
        <v>174</v>
      </c>
      <c r="F95" s="2">
        <v>920</v>
      </c>
      <c r="G95" s="2">
        <v>0</v>
      </c>
      <c r="H95">
        <v>0</v>
      </c>
    </row>
    <row r="96" spans="1:10" x14ac:dyDescent="0.25">
      <c r="A96" t="s">
        <v>244</v>
      </c>
      <c r="B96" t="s">
        <v>149</v>
      </c>
      <c r="C96">
        <v>1</v>
      </c>
      <c r="D96" t="s">
        <v>174</v>
      </c>
      <c r="E96" t="s">
        <v>174</v>
      </c>
      <c r="F96" s="2">
        <v>920</v>
      </c>
      <c r="G96" s="2">
        <v>0</v>
      </c>
      <c r="I96" t="s">
        <v>111</v>
      </c>
      <c r="J96" t="s">
        <v>18</v>
      </c>
    </row>
    <row r="97" spans="1:10" x14ac:dyDescent="0.25">
      <c r="A97" t="s">
        <v>245</v>
      </c>
      <c r="C97">
        <v>239</v>
      </c>
      <c r="D97" t="s">
        <v>229</v>
      </c>
      <c r="E97" t="s">
        <v>246</v>
      </c>
      <c r="F97" s="2">
        <v>157441.60999999999</v>
      </c>
      <c r="G97" s="2">
        <v>0</v>
      </c>
      <c r="H97">
        <v>151</v>
      </c>
    </row>
    <row r="98" spans="1:10" x14ac:dyDescent="0.25">
      <c r="A98" t="s">
        <v>247</v>
      </c>
      <c r="B98" t="s">
        <v>248</v>
      </c>
      <c r="C98">
        <v>60</v>
      </c>
      <c r="D98" t="s">
        <v>229</v>
      </c>
      <c r="E98" t="s">
        <v>249</v>
      </c>
      <c r="F98" s="2">
        <v>8586.67</v>
      </c>
      <c r="G98" s="2">
        <v>0</v>
      </c>
      <c r="I98" t="s">
        <v>250</v>
      </c>
      <c r="J98" t="s">
        <v>18</v>
      </c>
    </row>
    <row r="99" spans="1:10" x14ac:dyDescent="0.25">
      <c r="A99" t="s">
        <v>251</v>
      </c>
      <c r="B99" t="s">
        <v>252</v>
      </c>
      <c r="C99">
        <v>3</v>
      </c>
      <c r="D99" t="s">
        <v>253</v>
      </c>
      <c r="E99" t="s">
        <v>249</v>
      </c>
      <c r="F99" s="2">
        <v>5305</v>
      </c>
      <c r="G99" s="2">
        <v>0</v>
      </c>
      <c r="I99" t="s">
        <v>250</v>
      </c>
      <c r="J99" t="s">
        <v>18</v>
      </c>
    </row>
    <row r="100" spans="1:10" x14ac:dyDescent="0.25">
      <c r="A100" t="s">
        <v>254</v>
      </c>
      <c r="B100" t="s">
        <v>255</v>
      </c>
      <c r="C100">
        <v>15</v>
      </c>
      <c r="D100" t="s">
        <v>174</v>
      </c>
      <c r="E100" t="s">
        <v>256</v>
      </c>
      <c r="F100" s="2">
        <v>45000</v>
      </c>
      <c r="G100" s="2">
        <v>0</v>
      </c>
      <c r="H100">
        <v>151</v>
      </c>
      <c r="I100" t="s">
        <v>250</v>
      </c>
      <c r="J100" t="s">
        <v>18</v>
      </c>
    </row>
    <row r="101" spans="1:10" x14ac:dyDescent="0.25">
      <c r="A101" t="s">
        <v>257</v>
      </c>
      <c r="B101" t="s">
        <v>258</v>
      </c>
      <c r="C101">
        <v>4</v>
      </c>
      <c r="D101" t="s">
        <v>259</v>
      </c>
      <c r="E101" t="s">
        <v>260</v>
      </c>
      <c r="F101" s="2">
        <v>11776.43</v>
      </c>
      <c r="G101" s="2">
        <v>0</v>
      </c>
      <c r="I101" t="s">
        <v>261</v>
      </c>
      <c r="J101" t="s">
        <v>18</v>
      </c>
    </row>
    <row r="102" spans="1:10" x14ac:dyDescent="0.25">
      <c r="A102" t="s">
        <v>262</v>
      </c>
      <c r="B102" t="s">
        <v>263</v>
      </c>
      <c r="C102">
        <v>2</v>
      </c>
      <c r="D102" t="s">
        <v>264</v>
      </c>
      <c r="E102" t="s">
        <v>256</v>
      </c>
      <c r="F102" s="2">
        <v>2203.33</v>
      </c>
      <c r="G102" s="2">
        <v>0</v>
      </c>
      <c r="I102" t="s">
        <v>265</v>
      </c>
      <c r="J102" t="s">
        <v>18</v>
      </c>
    </row>
    <row r="103" spans="1:10" x14ac:dyDescent="0.25">
      <c r="A103" t="s">
        <v>266</v>
      </c>
      <c r="B103" t="s">
        <v>267</v>
      </c>
      <c r="C103">
        <v>8</v>
      </c>
      <c r="D103" t="s">
        <v>256</v>
      </c>
      <c r="E103" t="s">
        <v>268</v>
      </c>
      <c r="F103" s="2">
        <v>23728.18</v>
      </c>
      <c r="G103" s="2">
        <v>0</v>
      </c>
      <c r="I103" t="s">
        <v>265</v>
      </c>
      <c r="J103" t="s">
        <v>18</v>
      </c>
    </row>
    <row r="104" spans="1:10" x14ac:dyDescent="0.25">
      <c r="A104" t="s">
        <v>269</v>
      </c>
      <c r="B104" t="s">
        <v>149</v>
      </c>
      <c r="C104">
        <v>7</v>
      </c>
      <c r="D104" t="s">
        <v>270</v>
      </c>
      <c r="E104" t="s">
        <v>271</v>
      </c>
      <c r="F104" s="2">
        <v>30842</v>
      </c>
      <c r="G104" s="2">
        <v>0</v>
      </c>
      <c r="I104" t="s">
        <v>265</v>
      </c>
      <c r="J104" t="s">
        <v>18</v>
      </c>
    </row>
    <row r="105" spans="1:10" x14ac:dyDescent="0.25">
      <c r="A105" t="s">
        <v>272</v>
      </c>
      <c r="B105" t="s">
        <v>176</v>
      </c>
      <c r="C105">
        <v>2</v>
      </c>
      <c r="D105" t="s">
        <v>268</v>
      </c>
      <c r="E105" t="s">
        <v>273</v>
      </c>
      <c r="F105" s="2">
        <v>11740</v>
      </c>
      <c r="G105" s="2">
        <v>0</v>
      </c>
      <c r="I105" t="s">
        <v>261</v>
      </c>
      <c r="J105" t="s">
        <v>18</v>
      </c>
    </row>
    <row r="106" spans="1:10" x14ac:dyDescent="0.25">
      <c r="A106" t="s">
        <v>274</v>
      </c>
      <c r="B106" t="s">
        <v>275</v>
      </c>
      <c r="C106">
        <v>5</v>
      </c>
      <c r="D106" t="s">
        <v>273</v>
      </c>
      <c r="E106" t="s">
        <v>276</v>
      </c>
      <c r="F106" s="2">
        <v>5060</v>
      </c>
      <c r="G106" s="2">
        <v>0</v>
      </c>
      <c r="I106" t="s">
        <v>265</v>
      </c>
      <c r="J106" t="s">
        <v>18</v>
      </c>
    </row>
    <row r="107" spans="1:10" x14ac:dyDescent="0.25">
      <c r="A107" t="s">
        <v>277</v>
      </c>
      <c r="B107" t="s">
        <v>278</v>
      </c>
      <c r="C107">
        <v>60</v>
      </c>
      <c r="D107" t="s">
        <v>279</v>
      </c>
      <c r="E107" t="s">
        <v>246</v>
      </c>
      <c r="F107" s="2">
        <v>13200</v>
      </c>
      <c r="G107" s="2">
        <v>0</v>
      </c>
      <c r="I107" t="s">
        <v>280</v>
      </c>
      <c r="J107" t="s">
        <v>18</v>
      </c>
    </row>
    <row r="108" spans="1:10" x14ac:dyDescent="0.25">
      <c r="A108" t="s">
        <v>281</v>
      </c>
      <c r="C108">
        <v>38</v>
      </c>
      <c r="D108" t="s">
        <v>282</v>
      </c>
      <c r="E108" t="s">
        <v>283</v>
      </c>
      <c r="F108" s="2">
        <v>40579.800000000003</v>
      </c>
      <c r="G108" s="2">
        <v>0</v>
      </c>
      <c r="H108">
        <v>0</v>
      </c>
    </row>
    <row r="109" spans="1:10" x14ac:dyDescent="0.25">
      <c r="A109" t="s">
        <v>284</v>
      </c>
      <c r="B109" t="s">
        <v>285</v>
      </c>
      <c r="C109">
        <v>7</v>
      </c>
      <c r="D109" t="s">
        <v>282</v>
      </c>
      <c r="E109" t="s">
        <v>286</v>
      </c>
      <c r="F109" s="2">
        <v>33390</v>
      </c>
      <c r="G109" s="2">
        <v>0</v>
      </c>
      <c r="I109" t="s">
        <v>287</v>
      </c>
      <c r="J109" t="s">
        <v>152</v>
      </c>
    </row>
    <row r="110" spans="1:10" x14ac:dyDescent="0.25">
      <c r="A110" t="s">
        <v>288</v>
      </c>
      <c r="B110" t="s">
        <v>154</v>
      </c>
      <c r="C110">
        <v>20</v>
      </c>
      <c r="D110" t="s">
        <v>289</v>
      </c>
      <c r="E110" t="s">
        <v>283</v>
      </c>
      <c r="F110" s="2">
        <v>7189.8</v>
      </c>
      <c r="G110" s="2">
        <v>0</v>
      </c>
      <c r="I110" t="s">
        <v>287</v>
      </c>
      <c r="J110" t="s">
        <v>18</v>
      </c>
    </row>
    <row r="111" spans="1:10" x14ac:dyDescent="0.25">
      <c r="A111" t="s">
        <v>290</v>
      </c>
      <c r="C111">
        <v>5</v>
      </c>
      <c r="D111" t="s">
        <v>289</v>
      </c>
      <c r="E111" t="s">
        <v>291</v>
      </c>
      <c r="F111" s="2">
        <v>2300</v>
      </c>
      <c r="G111" s="2">
        <v>0</v>
      </c>
      <c r="H111">
        <v>0</v>
      </c>
    </row>
    <row r="112" spans="1:10" x14ac:dyDescent="0.25">
      <c r="A112" t="s">
        <v>292</v>
      </c>
      <c r="B112" t="s">
        <v>293</v>
      </c>
      <c r="C112">
        <v>5</v>
      </c>
      <c r="D112" t="s">
        <v>289</v>
      </c>
      <c r="E112" t="s">
        <v>291</v>
      </c>
      <c r="F112" s="2">
        <v>2300</v>
      </c>
      <c r="G112" s="2">
        <v>0</v>
      </c>
      <c r="I112" t="s">
        <v>111</v>
      </c>
      <c r="J112" t="s">
        <v>18</v>
      </c>
    </row>
    <row r="113" spans="1:10" x14ac:dyDescent="0.25">
      <c r="A113" t="s">
        <v>294</v>
      </c>
      <c r="C113">
        <v>16</v>
      </c>
      <c r="D113" t="s">
        <v>286</v>
      </c>
      <c r="E113" t="s">
        <v>295</v>
      </c>
      <c r="F113" s="2">
        <v>2425.5</v>
      </c>
      <c r="G113" s="2">
        <v>0</v>
      </c>
      <c r="H113">
        <v>0</v>
      </c>
    </row>
    <row r="114" spans="1:10" x14ac:dyDescent="0.25">
      <c r="A114" t="s">
        <v>296</v>
      </c>
      <c r="B114" t="s">
        <v>194</v>
      </c>
      <c r="C114">
        <v>10</v>
      </c>
      <c r="D114" t="s">
        <v>286</v>
      </c>
      <c r="E114" t="s">
        <v>291</v>
      </c>
      <c r="F114" s="2">
        <v>1150</v>
      </c>
      <c r="G114" s="2">
        <v>0</v>
      </c>
      <c r="I114" t="s">
        <v>161</v>
      </c>
      <c r="J114" t="s">
        <v>18</v>
      </c>
    </row>
    <row r="115" spans="1:10" x14ac:dyDescent="0.25">
      <c r="A115" t="s">
        <v>297</v>
      </c>
      <c r="B115" t="s">
        <v>149</v>
      </c>
      <c r="C115">
        <v>2</v>
      </c>
      <c r="D115" t="s">
        <v>298</v>
      </c>
      <c r="E115" t="s">
        <v>295</v>
      </c>
      <c r="F115" s="2">
        <v>1275.5</v>
      </c>
      <c r="G115" s="2">
        <v>0</v>
      </c>
      <c r="I115" t="s">
        <v>161</v>
      </c>
      <c r="J115" t="s">
        <v>18</v>
      </c>
    </row>
    <row r="116" spans="1:10" x14ac:dyDescent="0.25">
      <c r="A116" t="s">
        <v>299</v>
      </c>
      <c r="C116">
        <v>6</v>
      </c>
      <c r="D116" t="s">
        <v>289</v>
      </c>
      <c r="E116" t="s">
        <v>300</v>
      </c>
      <c r="F116" s="2">
        <v>2406.25</v>
      </c>
      <c r="G116" s="2">
        <v>0</v>
      </c>
      <c r="H116">
        <v>0</v>
      </c>
    </row>
    <row r="117" spans="1:10" x14ac:dyDescent="0.25">
      <c r="A117" t="s">
        <v>301</v>
      </c>
      <c r="B117" t="s">
        <v>194</v>
      </c>
      <c r="C117">
        <v>5</v>
      </c>
      <c r="D117" t="s">
        <v>289</v>
      </c>
      <c r="E117" t="s">
        <v>302</v>
      </c>
      <c r="F117" s="2">
        <v>920</v>
      </c>
      <c r="G117" s="2">
        <v>0</v>
      </c>
      <c r="I117" t="s">
        <v>203</v>
      </c>
      <c r="J117" t="s">
        <v>18</v>
      </c>
    </row>
    <row r="118" spans="1:10" x14ac:dyDescent="0.25">
      <c r="A118" t="s">
        <v>303</v>
      </c>
      <c r="B118" t="s">
        <v>149</v>
      </c>
      <c r="C118">
        <v>1</v>
      </c>
      <c r="D118" t="s">
        <v>300</v>
      </c>
      <c r="E118" t="s">
        <v>300</v>
      </c>
      <c r="F118" s="2">
        <v>1486.25</v>
      </c>
      <c r="G118" s="2">
        <v>0</v>
      </c>
      <c r="I118" t="s">
        <v>304</v>
      </c>
      <c r="J118" t="s">
        <v>18</v>
      </c>
    </row>
    <row r="119" spans="1:10" x14ac:dyDescent="0.25">
      <c r="A119" t="s">
        <v>305</v>
      </c>
      <c r="C119">
        <v>28</v>
      </c>
      <c r="D119" t="s">
        <v>306</v>
      </c>
      <c r="E119" s="1">
        <v>43504</v>
      </c>
      <c r="F119" s="2">
        <v>19494</v>
      </c>
      <c r="G119" s="2">
        <v>9090</v>
      </c>
      <c r="H119">
        <v>0</v>
      </c>
    </row>
    <row r="120" spans="1:10" x14ac:dyDescent="0.25">
      <c r="A120" t="s">
        <v>307</v>
      </c>
      <c r="B120" t="s">
        <v>194</v>
      </c>
      <c r="C120">
        <v>10</v>
      </c>
      <c r="D120" t="s">
        <v>306</v>
      </c>
      <c r="E120" t="s">
        <v>308</v>
      </c>
      <c r="F120" s="2">
        <v>1314</v>
      </c>
      <c r="G120" s="2">
        <v>0</v>
      </c>
      <c r="I120" t="s">
        <v>161</v>
      </c>
      <c r="J120" t="s">
        <v>18</v>
      </c>
    </row>
    <row r="121" spans="1:10" x14ac:dyDescent="0.25">
      <c r="A121" t="s">
        <v>309</v>
      </c>
      <c r="B121" t="s">
        <v>310</v>
      </c>
      <c r="C121">
        <v>20</v>
      </c>
      <c r="D121" t="s">
        <v>311</v>
      </c>
      <c r="E121" s="1">
        <v>43504</v>
      </c>
      <c r="F121" s="2">
        <v>18180</v>
      </c>
      <c r="G121" s="2">
        <v>9090</v>
      </c>
      <c r="I121" t="s">
        <v>161</v>
      </c>
      <c r="J121" t="s">
        <v>18</v>
      </c>
    </row>
    <row r="122" spans="1:10" x14ac:dyDescent="0.25">
      <c r="A122" t="s">
        <v>312</v>
      </c>
      <c r="C122">
        <v>5</v>
      </c>
      <c r="D122" s="1">
        <v>43531</v>
      </c>
      <c r="E122" s="1">
        <v>43537</v>
      </c>
      <c r="F122" s="2">
        <v>2442.5</v>
      </c>
      <c r="G122" s="2">
        <v>2442.5</v>
      </c>
      <c r="H122">
        <v>0</v>
      </c>
    </row>
    <row r="123" spans="1:10" x14ac:dyDescent="0.25">
      <c r="A123" t="s">
        <v>313</v>
      </c>
      <c r="B123" t="s">
        <v>314</v>
      </c>
      <c r="C123">
        <v>5</v>
      </c>
      <c r="D123" s="1">
        <v>43531</v>
      </c>
      <c r="E123" s="1">
        <v>43537</v>
      </c>
      <c r="F123" s="2">
        <v>2442.5</v>
      </c>
      <c r="G123" s="2">
        <v>2442.5</v>
      </c>
      <c r="I123" t="s">
        <v>111</v>
      </c>
      <c r="J123" t="s">
        <v>18</v>
      </c>
    </row>
    <row r="124" spans="1:10" x14ac:dyDescent="0.25">
      <c r="A124" t="s">
        <v>315</v>
      </c>
      <c r="C124">
        <v>8</v>
      </c>
      <c r="D124" s="1">
        <v>43531</v>
      </c>
      <c r="E124" s="1">
        <v>43542</v>
      </c>
      <c r="F124" s="2">
        <v>5459</v>
      </c>
      <c r="G124" s="2">
        <v>5459</v>
      </c>
      <c r="H124">
        <v>0</v>
      </c>
    </row>
    <row r="125" spans="1:10" x14ac:dyDescent="0.25">
      <c r="A125" t="s">
        <v>316</v>
      </c>
      <c r="B125" t="s">
        <v>194</v>
      </c>
      <c r="C125">
        <v>5</v>
      </c>
      <c r="D125" s="1">
        <v>43531</v>
      </c>
      <c r="E125" s="1">
        <v>43537</v>
      </c>
      <c r="F125" s="2">
        <v>1635</v>
      </c>
      <c r="G125" s="2">
        <v>1635</v>
      </c>
      <c r="I125" t="s">
        <v>161</v>
      </c>
      <c r="J125" t="s">
        <v>18</v>
      </c>
    </row>
    <row r="126" spans="1:10" x14ac:dyDescent="0.25">
      <c r="A126" t="s">
        <v>317</v>
      </c>
      <c r="B126" t="s">
        <v>149</v>
      </c>
      <c r="C126">
        <v>3</v>
      </c>
      <c r="D126" s="1">
        <v>43538</v>
      </c>
      <c r="E126" s="1">
        <v>43542</v>
      </c>
      <c r="F126" s="2">
        <v>3824</v>
      </c>
      <c r="G126" s="2">
        <v>3824</v>
      </c>
      <c r="I126" t="s">
        <v>161</v>
      </c>
      <c r="J126" t="s">
        <v>18</v>
      </c>
    </row>
    <row r="127" spans="1:10" x14ac:dyDescent="0.25">
      <c r="A127" t="s">
        <v>318</v>
      </c>
      <c r="C127">
        <v>20</v>
      </c>
      <c r="D127" s="1">
        <v>43543</v>
      </c>
      <c r="E127" s="1">
        <v>43570</v>
      </c>
      <c r="F127" s="2">
        <v>10550</v>
      </c>
      <c r="G127" s="2">
        <v>10550</v>
      </c>
      <c r="H127">
        <v>0</v>
      </c>
    </row>
    <row r="128" spans="1:10" x14ac:dyDescent="0.25">
      <c r="A128" t="s">
        <v>319</v>
      </c>
      <c r="B128" t="s">
        <v>320</v>
      </c>
      <c r="C128">
        <v>3</v>
      </c>
      <c r="D128" s="1">
        <v>43543</v>
      </c>
      <c r="E128" s="1">
        <v>43545</v>
      </c>
      <c r="F128" s="2">
        <v>910.5</v>
      </c>
      <c r="G128" s="2">
        <v>910.5</v>
      </c>
      <c r="I128" t="s">
        <v>321</v>
      </c>
      <c r="J128" t="s">
        <v>18</v>
      </c>
    </row>
    <row r="129" spans="1:10" x14ac:dyDescent="0.25">
      <c r="A129" t="s">
        <v>322</v>
      </c>
      <c r="B129" t="s">
        <v>323</v>
      </c>
      <c r="C129">
        <v>2</v>
      </c>
      <c r="D129" s="1">
        <v>43546</v>
      </c>
      <c r="E129" s="1">
        <v>43549</v>
      </c>
      <c r="F129" s="2">
        <v>1887</v>
      </c>
      <c r="G129" s="2">
        <v>1887</v>
      </c>
      <c r="I129" t="s">
        <v>321</v>
      </c>
      <c r="J129" t="s">
        <v>18</v>
      </c>
    </row>
    <row r="130" spans="1:10" x14ac:dyDescent="0.25">
      <c r="A130" t="s">
        <v>324</v>
      </c>
      <c r="B130" t="s">
        <v>325</v>
      </c>
      <c r="C130">
        <v>10</v>
      </c>
      <c r="D130" s="1">
        <v>43550</v>
      </c>
      <c r="E130" s="1">
        <v>43563</v>
      </c>
      <c r="F130" s="2">
        <v>3035</v>
      </c>
      <c r="G130" s="2">
        <v>3035</v>
      </c>
      <c r="I130" t="s">
        <v>321</v>
      </c>
      <c r="J130" t="s">
        <v>18</v>
      </c>
    </row>
    <row r="131" spans="1:10" x14ac:dyDescent="0.25">
      <c r="A131" t="s">
        <v>326</v>
      </c>
      <c r="B131" t="s">
        <v>327</v>
      </c>
      <c r="C131">
        <v>5</v>
      </c>
      <c r="D131" s="1">
        <v>43564</v>
      </c>
      <c r="E131" s="1">
        <v>43570</v>
      </c>
      <c r="F131" s="2">
        <v>4717.5</v>
      </c>
      <c r="G131" s="2">
        <v>4717.5</v>
      </c>
      <c r="I131" t="s">
        <v>321</v>
      </c>
      <c r="J131" t="s">
        <v>18</v>
      </c>
    </row>
    <row r="132" spans="1:10" x14ac:dyDescent="0.25">
      <c r="A132" t="s">
        <v>328</v>
      </c>
      <c r="C132">
        <v>27</v>
      </c>
      <c r="D132" s="1">
        <v>43564</v>
      </c>
      <c r="E132" s="1">
        <v>43600</v>
      </c>
      <c r="F132" s="2">
        <v>46167</v>
      </c>
      <c r="G132" s="2">
        <v>46167</v>
      </c>
      <c r="H132">
        <v>0</v>
      </c>
    </row>
    <row r="133" spans="1:10" x14ac:dyDescent="0.25">
      <c r="A133" t="s">
        <v>329</v>
      </c>
      <c r="B133" t="s">
        <v>194</v>
      </c>
      <c r="C133">
        <v>5</v>
      </c>
      <c r="D133" s="1">
        <v>43564</v>
      </c>
      <c r="E133" s="1">
        <v>43570</v>
      </c>
      <c r="F133" s="2">
        <v>3270</v>
      </c>
      <c r="G133" s="2">
        <v>3270</v>
      </c>
      <c r="I133" t="s">
        <v>203</v>
      </c>
      <c r="J133" t="s">
        <v>18</v>
      </c>
    </row>
    <row r="134" spans="1:10" x14ac:dyDescent="0.25">
      <c r="A134" t="s">
        <v>330</v>
      </c>
      <c r="B134" t="s">
        <v>165</v>
      </c>
      <c r="C134">
        <v>1</v>
      </c>
      <c r="D134" s="1">
        <v>43571</v>
      </c>
      <c r="E134" s="1">
        <v>43571</v>
      </c>
      <c r="F134" s="2">
        <v>1730</v>
      </c>
      <c r="G134" s="2">
        <v>1730</v>
      </c>
      <c r="I134" t="s">
        <v>203</v>
      </c>
      <c r="J134" t="s">
        <v>18</v>
      </c>
    </row>
    <row r="135" spans="1:10" x14ac:dyDescent="0.25">
      <c r="A135" t="s">
        <v>331</v>
      </c>
      <c r="B135" t="s">
        <v>149</v>
      </c>
      <c r="C135">
        <v>20</v>
      </c>
      <c r="D135" s="1">
        <v>43572</v>
      </c>
      <c r="E135" s="1">
        <v>43599</v>
      </c>
      <c r="F135" s="2">
        <v>40200</v>
      </c>
      <c r="G135" s="2">
        <v>40200</v>
      </c>
      <c r="I135" t="s">
        <v>203</v>
      </c>
      <c r="J135" t="s">
        <v>18</v>
      </c>
    </row>
    <row r="136" spans="1:10" x14ac:dyDescent="0.25">
      <c r="A136" t="s">
        <v>332</v>
      </c>
      <c r="B136" t="s">
        <v>176</v>
      </c>
      <c r="C136">
        <v>1</v>
      </c>
      <c r="D136" s="1">
        <v>43600</v>
      </c>
      <c r="E136" s="1">
        <v>43600</v>
      </c>
      <c r="F136" s="2">
        <v>967</v>
      </c>
      <c r="G136" s="2">
        <v>967</v>
      </c>
      <c r="I136" t="s">
        <v>203</v>
      </c>
      <c r="J136" t="s">
        <v>18</v>
      </c>
    </row>
    <row r="137" spans="1:10" x14ac:dyDescent="0.25">
      <c r="A137" t="s">
        <v>333</v>
      </c>
      <c r="C137">
        <v>15</v>
      </c>
      <c r="D137" s="1">
        <v>43587</v>
      </c>
      <c r="E137" s="1">
        <v>43607</v>
      </c>
      <c r="F137" s="2">
        <v>6750</v>
      </c>
      <c r="G137" s="2">
        <v>6750</v>
      </c>
      <c r="H137">
        <v>0</v>
      </c>
    </row>
    <row r="138" spans="1:10" x14ac:dyDescent="0.25">
      <c r="A138" t="s">
        <v>334</v>
      </c>
      <c r="B138" t="s">
        <v>194</v>
      </c>
      <c r="C138">
        <v>10</v>
      </c>
      <c r="D138" s="1">
        <v>43587</v>
      </c>
      <c r="E138" s="1">
        <v>43600</v>
      </c>
      <c r="F138" s="2">
        <v>2180</v>
      </c>
      <c r="G138" s="2">
        <v>2180</v>
      </c>
      <c r="I138" t="s">
        <v>203</v>
      </c>
      <c r="J138" t="s">
        <v>18</v>
      </c>
    </row>
    <row r="139" spans="1:10" x14ac:dyDescent="0.25">
      <c r="A139" t="s">
        <v>335</v>
      </c>
      <c r="B139" t="s">
        <v>149</v>
      </c>
      <c r="C139">
        <v>5</v>
      </c>
      <c r="D139" s="1">
        <v>43601</v>
      </c>
      <c r="E139" s="1">
        <v>43607</v>
      </c>
      <c r="F139" s="2">
        <v>4570</v>
      </c>
      <c r="G139" s="2">
        <v>4570</v>
      </c>
      <c r="I139" t="s">
        <v>203</v>
      </c>
      <c r="J139" t="s">
        <v>18</v>
      </c>
    </row>
    <row r="140" spans="1:10" x14ac:dyDescent="0.25">
      <c r="A140" t="s">
        <v>336</v>
      </c>
      <c r="C140">
        <v>19</v>
      </c>
      <c r="D140" s="1">
        <v>43608</v>
      </c>
      <c r="E140" s="1">
        <v>43635</v>
      </c>
      <c r="F140" s="2">
        <v>22656</v>
      </c>
      <c r="G140" s="2">
        <v>22656</v>
      </c>
      <c r="H140">
        <v>16</v>
      </c>
    </row>
    <row r="141" spans="1:10" x14ac:dyDescent="0.25">
      <c r="A141" t="s">
        <v>337</v>
      </c>
      <c r="B141" t="s">
        <v>165</v>
      </c>
      <c r="C141">
        <v>1</v>
      </c>
      <c r="D141" s="1">
        <v>43608</v>
      </c>
      <c r="E141" s="1">
        <v>43608</v>
      </c>
      <c r="F141" s="2">
        <v>1076</v>
      </c>
      <c r="G141" s="2">
        <v>1076</v>
      </c>
      <c r="I141" t="s">
        <v>161</v>
      </c>
      <c r="J141" t="s">
        <v>18</v>
      </c>
    </row>
    <row r="142" spans="1:10" x14ac:dyDescent="0.25">
      <c r="A142" t="s">
        <v>338</v>
      </c>
      <c r="B142" t="s">
        <v>168</v>
      </c>
      <c r="C142">
        <v>2</v>
      </c>
      <c r="D142" s="1">
        <v>43609</v>
      </c>
      <c r="E142" s="1">
        <v>43613</v>
      </c>
      <c r="F142" s="2">
        <v>3618</v>
      </c>
      <c r="G142" s="2">
        <v>3618</v>
      </c>
      <c r="H142">
        <v>16</v>
      </c>
      <c r="I142" t="s">
        <v>161</v>
      </c>
      <c r="J142" t="s">
        <v>18</v>
      </c>
    </row>
    <row r="143" spans="1:10" x14ac:dyDescent="0.25">
      <c r="A143" t="s">
        <v>339</v>
      </c>
      <c r="B143" t="s">
        <v>149</v>
      </c>
      <c r="C143">
        <v>15</v>
      </c>
      <c r="D143" s="1">
        <v>43614</v>
      </c>
      <c r="E143" s="1">
        <v>43634</v>
      </c>
      <c r="F143" s="2">
        <v>16995</v>
      </c>
      <c r="G143" s="2">
        <v>16995</v>
      </c>
      <c r="I143" t="s">
        <v>161</v>
      </c>
      <c r="J143" t="s">
        <v>18</v>
      </c>
    </row>
    <row r="144" spans="1:10" x14ac:dyDescent="0.25">
      <c r="A144" t="s">
        <v>340</v>
      </c>
      <c r="B144" t="s">
        <v>176</v>
      </c>
      <c r="C144">
        <v>1</v>
      </c>
      <c r="D144" s="1">
        <v>43635</v>
      </c>
      <c r="E144" s="1">
        <v>43635</v>
      </c>
      <c r="F144" s="2">
        <v>967</v>
      </c>
      <c r="G144" s="2">
        <v>967</v>
      </c>
      <c r="I144" t="s">
        <v>161</v>
      </c>
      <c r="J144" t="s">
        <v>18</v>
      </c>
    </row>
    <row r="145" spans="1:10" x14ac:dyDescent="0.25">
      <c r="A145" t="s">
        <v>341</v>
      </c>
      <c r="C145">
        <v>25</v>
      </c>
      <c r="D145" s="1">
        <v>43622</v>
      </c>
      <c r="E145" s="1">
        <v>43657</v>
      </c>
      <c r="F145" s="2">
        <v>5082.5</v>
      </c>
      <c r="G145" s="2">
        <v>5082.5</v>
      </c>
      <c r="H145">
        <v>0</v>
      </c>
    </row>
    <row r="146" spans="1:10" x14ac:dyDescent="0.25">
      <c r="A146" t="s">
        <v>342</v>
      </c>
      <c r="B146" t="s">
        <v>194</v>
      </c>
      <c r="C146">
        <v>10</v>
      </c>
      <c r="D146" s="1">
        <v>43622</v>
      </c>
      <c r="E146" s="1">
        <v>43635</v>
      </c>
      <c r="F146" s="2">
        <v>1090</v>
      </c>
      <c r="G146" s="2">
        <v>1090</v>
      </c>
      <c r="I146" t="s">
        <v>161</v>
      </c>
      <c r="J146" t="s">
        <v>18</v>
      </c>
    </row>
    <row r="147" spans="1:10" x14ac:dyDescent="0.25">
      <c r="A147" t="s">
        <v>343</v>
      </c>
      <c r="B147" t="s">
        <v>344</v>
      </c>
      <c r="C147">
        <v>15</v>
      </c>
      <c r="D147" s="1">
        <v>43636</v>
      </c>
      <c r="E147" s="1">
        <v>43657</v>
      </c>
      <c r="F147" s="2">
        <v>3992.5</v>
      </c>
      <c r="G147" s="2">
        <v>3992.5</v>
      </c>
      <c r="I147" t="s">
        <v>161</v>
      </c>
      <c r="J147" t="s">
        <v>18</v>
      </c>
    </row>
    <row r="148" spans="1:10" x14ac:dyDescent="0.25">
      <c r="A148" t="s">
        <v>345</v>
      </c>
      <c r="C148">
        <v>2</v>
      </c>
      <c r="D148" s="1">
        <v>43623</v>
      </c>
      <c r="E148" s="1">
        <v>43626</v>
      </c>
      <c r="F148" s="2">
        <v>1744</v>
      </c>
      <c r="G148" s="2">
        <v>1744</v>
      </c>
      <c r="H148">
        <v>0</v>
      </c>
    </row>
    <row r="149" spans="1:10" x14ac:dyDescent="0.25">
      <c r="A149" t="s">
        <v>346</v>
      </c>
      <c r="B149" t="s">
        <v>347</v>
      </c>
      <c r="C149">
        <v>2</v>
      </c>
      <c r="D149" s="1">
        <v>43623</v>
      </c>
      <c r="E149" s="1">
        <v>43626</v>
      </c>
      <c r="F149" s="2">
        <v>1744</v>
      </c>
      <c r="G149" s="2">
        <v>1744</v>
      </c>
      <c r="I149" t="s">
        <v>111</v>
      </c>
      <c r="J149" t="s">
        <v>18</v>
      </c>
    </row>
    <row r="150" spans="1:10" x14ac:dyDescent="0.25">
      <c r="A150" t="s">
        <v>348</v>
      </c>
      <c r="C150">
        <v>10</v>
      </c>
      <c r="D150" s="1">
        <v>43658</v>
      </c>
      <c r="E150" s="1">
        <v>43671</v>
      </c>
      <c r="F150" s="2">
        <v>10640</v>
      </c>
      <c r="G150" s="2">
        <v>10640</v>
      </c>
      <c r="H150">
        <v>0</v>
      </c>
    </row>
    <row r="151" spans="1:10" x14ac:dyDescent="0.25">
      <c r="A151" t="s">
        <v>349</v>
      </c>
      <c r="B151" t="s">
        <v>149</v>
      </c>
      <c r="C151">
        <v>10</v>
      </c>
      <c r="D151" s="1">
        <v>43658</v>
      </c>
      <c r="E151" s="1">
        <v>43671</v>
      </c>
      <c r="F151" s="2">
        <v>10640</v>
      </c>
      <c r="G151" s="2">
        <v>10640</v>
      </c>
      <c r="I151" t="s">
        <v>161</v>
      </c>
      <c r="J151" t="s">
        <v>18</v>
      </c>
    </row>
    <row r="152" spans="1:10" x14ac:dyDescent="0.25">
      <c r="A152" t="s">
        <v>350</v>
      </c>
      <c r="C152">
        <v>568</v>
      </c>
      <c r="D152" t="s">
        <v>351</v>
      </c>
      <c r="E152" s="1">
        <v>43693</v>
      </c>
      <c r="F152" s="2">
        <v>72025.83</v>
      </c>
      <c r="G152" s="2">
        <v>30590.67</v>
      </c>
      <c r="H152">
        <v>16</v>
      </c>
    </row>
    <row r="153" spans="1:10" x14ac:dyDescent="0.25">
      <c r="A153" t="s">
        <v>352</v>
      </c>
      <c r="B153" t="s">
        <v>194</v>
      </c>
      <c r="C153">
        <v>10</v>
      </c>
      <c r="D153" t="s">
        <v>351</v>
      </c>
      <c r="E153" t="s">
        <v>353</v>
      </c>
      <c r="F153" s="2">
        <v>1150</v>
      </c>
      <c r="G153" s="2">
        <v>0</v>
      </c>
      <c r="I153" t="s">
        <v>161</v>
      </c>
      <c r="J153" t="s">
        <v>18</v>
      </c>
    </row>
    <row r="154" spans="1:10" x14ac:dyDescent="0.25">
      <c r="A154" t="s">
        <v>354</v>
      </c>
      <c r="B154" t="s">
        <v>165</v>
      </c>
      <c r="C154">
        <v>1</v>
      </c>
      <c r="D154" t="s">
        <v>230</v>
      </c>
      <c r="E154" t="s">
        <v>230</v>
      </c>
      <c r="F154" s="2">
        <v>973.72</v>
      </c>
      <c r="G154" s="2">
        <v>0</v>
      </c>
      <c r="I154" t="s">
        <v>161</v>
      </c>
      <c r="J154" t="s">
        <v>18</v>
      </c>
    </row>
    <row r="155" spans="1:10" x14ac:dyDescent="0.25">
      <c r="A155" t="s">
        <v>355</v>
      </c>
      <c r="B155" t="s">
        <v>149</v>
      </c>
      <c r="C155">
        <v>1</v>
      </c>
      <c r="D155" t="s">
        <v>53</v>
      </c>
      <c r="E155" t="s">
        <v>53</v>
      </c>
      <c r="F155" s="2">
        <v>2044</v>
      </c>
      <c r="G155" s="2">
        <v>0</v>
      </c>
      <c r="I155" t="s">
        <v>161</v>
      </c>
      <c r="J155" t="s">
        <v>18</v>
      </c>
    </row>
    <row r="156" spans="1:10" x14ac:dyDescent="0.25">
      <c r="A156" t="s">
        <v>356</v>
      </c>
      <c r="B156" t="s">
        <v>165</v>
      </c>
      <c r="C156">
        <v>1</v>
      </c>
      <c r="D156" t="s">
        <v>353</v>
      </c>
      <c r="E156" t="s">
        <v>353</v>
      </c>
      <c r="F156" s="2">
        <v>2407.44</v>
      </c>
      <c r="G156" s="2">
        <v>0</v>
      </c>
      <c r="I156" t="s">
        <v>161</v>
      </c>
      <c r="J156" t="s">
        <v>18</v>
      </c>
    </row>
    <row r="157" spans="1:10" x14ac:dyDescent="0.25">
      <c r="A157" t="s">
        <v>357</v>
      </c>
      <c r="B157" t="s">
        <v>358</v>
      </c>
      <c r="C157">
        <v>28</v>
      </c>
      <c r="D157" t="s">
        <v>359</v>
      </c>
      <c r="E157" t="s">
        <v>360</v>
      </c>
      <c r="F157" s="2">
        <v>34860</v>
      </c>
      <c r="G157" s="2">
        <v>0</v>
      </c>
      <c r="I157" t="s">
        <v>161</v>
      </c>
      <c r="J157" t="s">
        <v>18</v>
      </c>
    </row>
    <row r="158" spans="1:10" x14ac:dyDescent="0.25">
      <c r="A158" t="s">
        <v>361</v>
      </c>
      <c r="B158" t="s">
        <v>194</v>
      </c>
      <c r="C158">
        <v>15</v>
      </c>
      <c r="D158" s="1">
        <v>43651</v>
      </c>
      <c r="E158" s="1">
        <v>43671</v>
      </c>
      <c r="F158" s="2">
        <v>4905</v>
      </c>
      <c r="G158" s="2">
        <v>4905</v>
      </c>
      <c r="I158" t="s">
        <v>362</v>
      </c>
      <c r="J158" t="s">
        <v>18</v>
      </c>
    </row>
    <row r="159" spans="1:10" x14ac:dyDescent="0.25">
      <c r="A159" t="s">
        <v>363</v>
      </c>
      <c r="B159" t="s">
        <v>165</v>
      </c>
      <c r="C159">
        <v>4</v>
      </c>
      <c r="D159" s="1">
        <v>43672</v>
      </c>
      <c r="E159" s="1">
        <v>43677</v>
      </c>
      <c r="F159" s="2">
        <v>8636</v>
      </c>
      <c r="G159" s="2">
        <v>8636</v>
      </c>
      <c r="I159" t="s">
        <v>362</v>
      </c>
      <c r="J159" t="s">
        <v>18</v>
      </c>
    </row>
    <row r="160" spans="1:10" x14ac:dyDescent="0.25">
      <c r="A160" t="s">
        <v>364</v>
      </c>
      <c r="B160" t="s">
        <v>168</v>
      </c>
      <c r="C160">
        <v>3</v>
      </c>
      <c r="D160" s="1">
        <v>43678</v>
      </c>
      <c r="E160" s="1">
        <v>43682</v>
      </c>
      <c r="F160" s="2">
        <v>3078</v>
      </c>
      <c r="G160" s="2">
        <v>3078</v>
      </c>
      <c r="H160">
        <v>16</v>
      </c>
      <c r="I160" t="s">
        <v>161</v>
      </c>
      <c r="J160" t="s">
        <v>18</v>
      </c>
    </row>
    <row r="161" spans="1:10" x14ac:dyDescent="0.25">
      <c r="A161" t="s">
        <v>365</v>
      </c>
      <c r="B161" t="s">
        <v>149</v>
      </c>
      <c r="C161">
        <v>5</v>
      </c>
      <c r="D161" s="1">
        <v>43683</v>
      </c>
      <c r="E161" s="1">
        <v>43689</v>
      </c>
      <c r="F161" s="2">
        <v>10511.67</v>
      </c>
      <c r="G161" s="2">
        <v>10511.67</v>
      </c>
      <c r="I161" t="s">
        <v>362</v>
      </c>
      <c r="J161" t="s">
        <v>18</v>
      </c>
    </row>
    <row r="162" spans="1:10" x14ac:dyDescent="0.25">
      <c r="A162" t="s">
        <v>366</v>
      </c>
      <c r="B162" t="s">
        <v>176</v>
      </c>
      <c r="C162">
        <v>2</v>
      </c>
      <c r="D162" s="1">
        <v>43690</v>
      </c>
      <c r="E162" s="1">
        <v>43691</v>
      </c>
      <c r="F162" s="2">
        <v>1716</v>
      </c>
      <c r="G162" s="2">
        <v>1716</v>
      </c>
      <c r="I162" t="s">
        <v>161</v>
      </c>
      <c r="J162" t="s">
        <v>18</v>
      </c>
    </row>
    <row r="163" spans="1:10" x14ac:dyDescent="0.25">
      <c r="A163" t="s">
        <v>367</v>
      </c>
      <c r="B163" t="s">
        <v>368</v>
      </c>
      <c r="C163">
        <v>2</v>
      </c>
      <c r="D163" s="1">
        <v>43692</v>
      </c>
      <c r="E163" s="1">
        <v>43693</v>
      </c>
      <c r="F163" s="2">
        <v>1744</v>
      </c>
      <c r="G163" s="2">
        <v>1744</v>
      </c>
      <c r="I163" t="s">
        <v>362</v>
      </c>
      <c r="J163" t="s">
        <v>18</v>
      </c>
    </row>
    <row r="164" spans="1:10" x14ac:dyDescent="0.25">
      <c r="A164" t="s">
        <v>369</v>
      </c>
      <c r="C164">
        <v>3</v>
      </c>
      <c r="D164" s="1">
        <v>43692</v>
      </c>
      <c r="E164" s="1">
        <v>43696</v>
      </c>
      <c r="F164" s="2">
        <v>2616</v>
      </c>
      <c r="G164" s="2">
        <v>2616</v>
      </c>
      <c r="H164">
        <v>0</v>
      </c>
    </row>
    <row r="165" spans="1:10" x14ac:dyDescent="0.25">
      <c r="A165" t="s">
        <v>370</v>
      </c>
      <c r="B165" t="s">
        <v>149</v>
      </c>
      <c r="C165">
        <v>3</v>
      </c>
      <c r="D165" s="1">
        <v>43692</v>
      </c>
      <c r="E165" s="1">
        <v>43696</v>
      </c>
      <c r="F165" s="2">
        <v>2616</v>
      </c>
      <c r="G165" s="2">
        <v>2616</v>
      </c>
      <c r="I165" t="s">
        <v>203</v>
      </c>
      <c r="J165" t="s">
        <v>18</v>
      </c>
    </row>
    <row r="166" spans="1:10" x14ac:dyDescent="0.25">
      <c r="A166" t="s">
        <v>371</v>
      </c>
      <c r="C166">
        <v>27</v>
      </c>
      <c r="D166" s="1">
        <v>43690</v>
      </c>
      <c r="E166" s="1">
        <v>43727</v>
      </c>
      <c r="F166" s="2">
        <v>46167</v>
      </c>
      <c r="G166" s="2">
        <v>46167</v>
      </c>
      <c r="H166">
        <v>0</v>
      </c>
    </row>
    <row r="167" spans="1:10" x14ac:dyDescent="0.25">
      <c r="A167" t="s">
        <v>372</v>
      </c>
      <c r="B167" t="s">
        <v>194</v>
      </c>
      <c r="C167">
        <v>5</v>
      </c>
      <c r="D167" s="1">
        <v>43690</v>
      </c>
      <c r="E167" s="1">
        <v>43696</v>
      </c>
      <c r="F167" s="2">
        <v>3270</v>
      </c>
      <c r="G167" s="2">
        <v>3270</v>
      </c>
      <c r="I167" t="s">
        <v>203</v>
      </c>
      <c r="J167" t="s">
        <v>18</v>
      </c>
    </row>
    <row r="168" spans="1:10" x14ac:dyDescent="0.25">
      <c r="A168" t="s">
        <v>373</v>
      </c>
      <c r="B168" t="s">
        <v>165</v>
      </c>
      <c r="C168">
        <v>1</v>
      </c>
      <c r="D168" s="1">
        <v>43697</v>
      </c>
      <c r="E168" s="1">
        <v>43697</v>
      </c>
      <c r="F168" s="2">
        <v>1730</v>
      </c>
      <c r="G168" s="2">
        <v>1730</v>
      </c>
      <c r="I168" t="s">
        <v>203</v>
      </c>
      <c r="J168" t="s">
        <v>18</v>
      </c>
    </row>
    <row r="169" spans="1:10" x14ac:dyDescent="0.25">
      <c r="A169" t="s">
        <v>374</v>
      </c>
      <c r="B169" t="s">
        <v>149</v>
      </c>
      <c r="C169">
        <v>20</v>
      </c>
      <c r="D169" s="1">
        <v>43698</v>
      </c>
      <c r="E169" s="1">
        <v>43726</v>
      </c>
      <c r="F169" s="2">
        <v>40200</v>
      </c>
      <c r="G169" s="2">
        <v>40200</v>
      </c>
      <c r="I169" t="s">
        <v>203</v>
      </c>
      <c r="J169" t="s">
        <v>18</v>
      </c>
    </row>
    <row r="170" spans="1:10" x14ac:dyDescent="0.25">
      <c r="A170" t="s">
        <v>375</v>
      </c>
      <c r="B170" t="s">
        <v>176</v>
      </c>
      <c r="C170">
        <v>1</v>
      </c>
      <c r="D170" s="1">
        <v>43727</v>
      </c>
      <c r="E170" s="1">
        <v>43727</v>
      </c>
      <c r="F170" s="2">
        <v>967</v>
      </c>
      <c r="G170" s="2">
        <v>967</v>
      </c>
      <c r="I170" t="s">
        <v>203</v>
      </c>
      <c r="J170" t="s">
        <v>18</v>
      </c>
    </row>
    <row r="171" spans="1:10" x14ac:dyDescent="0.25">
      <c r="A171" t="s">
        <v>376</v>
      </c>
      <c r="C171">
        <v>10</v>
      </c>
      <c r="D171" s="1">
        <v>43728</v>
      </c>
      <c r="E171" s="1">
        <v>43741</v>
      </c>
      <c r="F171" s="2">
        <v>4885</v>
      </c>
      <c r="G171" s="2">
        <v>4885</v>
      </c>
      <c r="H171">
        <v>0</v>
      </c>
    </row>
    <row r="172" spans="1:10" x14ac:dyDescent="0.25">
      <c r="A172" t="s">
        <v>377</v>
      </c>
      <c r="B172" t="s">
        <v>378</v>
      </c>
      <c r="C172">
        <v>10</v>
      </c>
      <c r="D172" s="1">
        <v>43728</v>
      </c>
      <c r="E172" s="1">
        <v>43741</v>
      </c>
      <c r="F172" s="2">
        <v>4885</v>
      </c>
      <c r="G172" s="2">
        <v>4885</v>
      </c>
      <c r="I172" t="s">
        <v>111</v>
      </c>
      <c r="J172" t="s">
        <v>18</v>
      </c>
    </row>
    <row r="173" spans="1:10" x14ac:dyDescent="0.25">
      <c r="A173" t="s">
        <v>379</v>
      </c>
      <c r="C173">
        <v>20</v>
      </c>
      <c r="D173" s="1">
        <v>43728</v>
      </c>
      <c r="E173" s="1">
        <v>43755</v>
      </c>
      <c r="F173" s="2">
        <v>9565</v>
      </c>
      <c r="G173" s="2">
        <v>9565</v>
      </c>
      <c r="H173">
        <v>0</v>
      </c>
    </row>
    <row r="174" spans="1:10" x14ac:dyDescent="0.25">
      <c r="A174" t="s">
        <v>380</v>
      </c>
      <c r="B174" t="s">
        <v>194</v>
      </c>
      <c r="C174">
        <v>10</v>
      </c>
      <c r="D174" s="1">
        <v>43728</v>
      </c>
      <c r="E174" s="1">
        <v>43741</v>
      </c>
      <c r="F174" s="2">
        <v>3270</v>
      </c>
      <c r="G174" s="2">
        <v>3270</v>
      </c>
      <c r="I174" t="s">
        <v>161</v>
      </c>
      <c r="J174" t="s">
        <v>18</v>
      </c>
    </row>
    <row r="175" spans="1:10" x14ac:dyDescent="0.25">
      <c r="A175" t="s">
        <v>381</v>
      </c>
      <c r="B175" t="s">
        <v>149</v>
      </c>
      <c r="C175">
        <v>10</v>
      </c>
      <c r="D175" t="s">
        <v>382</v>
      </c>
      <c r="E175" s="1">
        <v>43755</v>
      </c>
      <c r="F175" s="2">
        <v>6295</v>
      </c>
      <c r="G175" s="2">
        <v>6295</v>
      </c>
      <c r="I175" t="s">
        <v>161</v>
      </c>
      <c r="J175" t="s">
        <v>18</v>
      </c>
    </row>
    <row r="176" spans="1:10" x14ac:dyDescent="0.25">
      <c r="A176" t="s">
        <v>383</v>
      </c>
      <c r="C176">
        <v>10</v>
      </c>
      <c r="D176" s="1">
        <v>43805</v>
      </c>
      <c r="E176" s="1">
        <v>43818</v>
      </c>
      <c r="F176" s="2">
        <v>4885</v>
      </c>
      <c r="G176" s="2">
        <v>4885</v>
      </c>
      <c r="H176">
        <v>0</v>
      </c>
    </row>
    <row r="177" spans="1:10" x14ac:dyDescent="0.25">
      <c r="A177" t="s">
        <v>384</v>
      </c>
      <c r="B177" t="s">
        <v>385</v>
      </c>
      <c r="C177">
        <v>10</v>
      </c>
      <c r="D177" s="1">
        <v>43805</v>
      </c>
      <c r="E177" s="1">
        <v>43818</v>
      </c>
      <c r="F177" s="2">
        <v>4885</v>
      </c>
      <c r="G177" s="2">
        <v>4885</v>
      </c>
      <c r="I177" t="s">
        <v>111</v>
      </c>
      <c r="J177" t="s">
        <v>18</v>
      </c>
    </row>
    <row r="178" spans="1:10" x14ac:dyDescent="0.25">
      <c r="A178" t="s">
        <v>386</v>
      </c>
      <c r="C178">
        <v>15</v>
      </c>
      <c r="D178" s="1">
        <v>43832</v>
      </c>
      <c r="E178" s="1">
        <v>43853</v>
      </c>
      <c r="F178" s="2">
        <v>15960</v>
      </c>
      <c r="G178" s="2">
        <v>15960</v>
      </c>
      <c r="H178">
        <v>0</v>
      </c>
    </row>
    <row r="179" spans="1:10" x14ac:dyDescent="0.25">
      <c r="A179" t="s">
        <v>387</v>
      </c>
      <c r="B179" t="s">
        <v>149</v>
      </c>
      <c r="C179">
        <v>15</v>
      </c>
      <c r="D179" t="s">
        <v>24</v>
      </c>
      <c r="E179" s="1">
        <v>43853</v>
      </c>
      <c r="F179" s="2">
        <v>15960</v>
      </c>
      <c r="G179" s="2">
        <v>15960</v>
      </c>
      <c r="I179" t="s">
        <v>161</v>
      </c>
      <c r="J179" t="s">
        <v>18</v>
      </c>
    </row>
    <row r="180" spans="1:10" x14ac:dyDescent="0.25">
      <c r="A180" t="s">
        <v>388</v>
      </c>
      <c r="C180">
        <v>77</v>
      </c>
      <c r="D180" s="1">
        <v>43770</v>
      </c>
      <c r="E180" s="1">
        <v>43892</v>
      </c>
      <c r="F180" s="2">
        <v>23196</v>
      </c>
      <c r="G180" s="2">
        <v>23196</v>
      </c>
      <c r="H180">
        <v>0</v>
      </c>
    </row>
    <row r="181" spans="1:10" x14ac:dyDescent="0.25">
      <c r="A181" t="s">
        <v>389</v>
      </c>
      <c r="B181" t="s">
        <v>194</v>
      </c>
      <c r="C181">
        <v>50</v>
      </c>
      <c r="D181" s="1">
        <v>43770</v>
      </c>
      <c r="E181" s="1">
        <v>43853</v>
      </c>
      <c r="F181" s="2">
        <v>4600</v>
      </c>
      <c r="G181" s="2">
        <v>4600</v>
      </c>
      <c r="I181" t="s">
        <v>390</v>
      </c>
      <c r="J181" t="s">
        <v>18</v>
      </c>
    </row>
    <row r="182" spans="1:10" x14ac:dyDescent="0.25">
      <c r="A182" t="s">
        <v>391</v>
      </c>
      <c r="B182" t="s">
        <v>165</v>
      </c>
      <c r="C182">
        <v>2</v>
      </c>
      <c r="D182" s="1">
        <v>43854</v>
      </c>
      <c r="E182" s="1">
        <v>43857</v>
      </c>
      <c r="F182" s="2">
        <v>2152</v>
      </c>
      <c r="G182" s="2">
        <v>2152</v>
      </c>
      <c r="I182" t="s">
        <v>161</v>
      </c>
      <c r="J182" t="s">
        <v>18</v>
      </c>
    </row>
    <row r="183" spans="1:10" x14ac:dyDescent="0.25">
      <c r="A183" t="s">
        <v>392</v>
      </c>
      <c r="B183" t="s">
        <v>149</v>
      </c>
      <c r="C183">
        <v>5</v>
      </c>
      <c r="D183" s="1">
        <v>43858</v>
      </c>
      <c r="E183" s="1">
        <v>43864</v>
      </c>
      <c r="F183" s="2">
        <v>12810</v>
      </c>
      <c r="G183" s="2">
        <v>12810</v>
      </c>
      <c r="I183" t="s">
        <v>390</v>
      </c>
      <c r="J183" t="s">
        <v>18</v>
      </c>
    </row>
    <row r="184" spans="1:10" x14ac:dyDescent="0.25">
      <c r="A184" t="s">
        <v>393</v>
      </c>
      <c r="B184" t="s">
        <v>176</v>
      </c>
      <c r="C184">
        <v>1</v>
      </c>
      <c r="D184" s="1">
        <v>43865</v>
      </c>
      <c r="E184" s="1">
        <v>43865</v>
      </c>
      <c r="F184" s="2">
        <v>1076</v>
      </c>
      <c r="G184" s="2">
        <v>1076</v>
      </c>
      <c r="I184" t="s">
        <v>161</v>
      </c>
      <c r="J184" t="s">
        <v>18</v>
      </c>
    </row>
    <row r="185" spans="1:10" x14ac:dyDescent="0.25">
      <c r="A185" t="s">
        <v>394</v>
      </c>
      <c r="B185" t="s">
        <v>154</v>
      </c>
      <c r="C185">
        <v>20</v>
      </c>
      <c r="D185" s="1">
        <v>43865</v>
      </c>
      <c r="E185" s="1">
        <v>43892</v>
      </c>
      <c r="F185" s="2">
        <v>2558</v>
      </c>
      <c r="G185" s="2">
        <v>2558</v>
      </c>
      <c r="I185" t="s">
        <v>390</v>
      </c>
      <c r="J185" t="s">
        <v>18</v>
      </c>
    </row>
    <row r="186" spans="1:10" x14ac:dyDescent="0.25">
      <c r="A186" t="s">
        <v>395</v>
      </c>
      <c r="C186">
        <v>10</v>
      </c>
      <c r="D186" s="1">
        <v>43881</v>
      </c>
      <c r="E186" s="1">
        <v>43894</v>
      </c>
      <c r="F186" s="2">
        <v>4885</v>
      </c>
      <c r="G186" s="2">
        <v>4885</v>
      </c>
      <c r="H186">
        <v>0</v>
      </c>
    </row>
    <row r="187" spans="1:10" x14ac:dyDescent="0.25">
      <c r="A187" t="s">
        <v>396</v>
      </c>
      <c r="B187" t="s">
        <v>397</v>
      </c>
      <c r="C187">
        <v>10</v>
      </c>
      <c r="D187" t="s">
        <v>398</v>
      </c>
      <c r="E187" s="1">
        <v>43894</v>
      </c>
      <c r="F187" s="2">
        <v>4885</v>
      </c>
      <c r="G187" s="2">
        <v>4885</v>
      </c>
      <c r="I187" t="s">
        <v>111</v>
      </c>
      <c r="J187" t="s">
        <v>18</v>
      </c>
    </row>
    <row r="188" spans="1:10" x14ac:dyDescent="0.25">
      <c r="A188" t="s">
        <v>399</v>
      </c>
      <c r="C188">
        <v>4</v>
      </c>
      <c r="D188" s="1">
        <v>43895</v>
      </c>
      <c r="E188" s="1">
        <v>43898</v>
      </c>
      <c r="F188" s="2">
        <v>5108</v>
      </c>
      <c r="G188" s="2">
        <v>5108</v>
      </c>
      <c r="H188">
        <v>0</v>
      </c>
    </row>
    <row r="189" spans="1:10" x14ac:dyDescent="0.25">
      <c r="A189" t="s">
        <v>400</v>
      </c>
      <c r="B189" t="s">
        <v>401</v>
      </c>
      <c r="C189">
        <v>4</v>
      </c>
      <c r="D189" s="1">
        <v>43895</v>
      </c>
      <c r="E189" s="1">
        <v>43898</v>
      </c>
      <c r="F189" s="2">
        <v>5108</v>
      </c>
      <c r="G189" s="2">
        <v>5108</v>
      </c>
      <c r="I189" t="s">
        <v>161</v>
      </c>
      <c r="J189" t="s">
        <v>18</v>
      </c>
    </row>
    <row r="190" spans="1:10" x14ac:dyDescent="0.25">
      <c r="A190" t="s">
        <v>402</v>
      </c>
      <c r="C190">
        <v>10</v>
      </c>
      <c r="D190" s="1">
        <v>43892</v>
      </c>
      <c r="E190" s="1">
        <v>43903</v>
      </c>
      <c r="F190" s="2">
        <v>4885</v>
      </c>
      <c r="G190" s="2">
        <v>4885</v>
      </c>
      <c r="H190">
        <v>0</v>
      </c>
    </row>
    <row r="191" spans="1:10" x14ac:dyDescent="0.25">
      <c r="A191" t="s">
        <v>403</v>
      </c>
      <c r="B191" t="s">
        <v>404</v>
      </c>
      <c r="C191">
        <v>10</v>
      </c>
      <c r="D191" s="1">
        <v>43892</v>
      </c>
      <c r="E191" s="1">
        <v>43903</v>
      </c>
      <c r="F191" s="2">
        <v>4885</v>
      </c>
      <c r="G191" s="2">
        <v>4885</v>
      </c>
      <c r="I191" t="s">
        <v>111</v>
      </c>
      <c r="J191" t="s">
        <v>18</v>
      </c>
    </row>
    <row r="192" spans="1:10" x14ac:dyDescent="0.25">
      <c r="A192" t="s">
        <v>405</v>
      </c>
      <c r="C192">
        <v>10</v>
      </c>
      <c r="D192" s="1">
        <v>43952</v>
      </c>
      <c r="E192" s="1">
        <v>43965</v>
      </c>
      <c r="F192" s="2">
        <v>4885</v>
      </c>
      <c r="G192" s="2">
        <v>4885</v>
      </c>
      <c r="H192">
        <v>0</v>
      </c>
    </row>
    <row r="193" spans="1:10" x14ac:dyDescent="0.25">
      <c r="A193" t="s">
        <v>406</v>
      </c>
      <c r="B193" t="s">
        <v>407</v>
      </c>
      <c r="C193">
        <v>10</v>
      </c>
      <c r="D193" s="1">
        <v>43952</v>
      </c>
      <c r="E193" s="1">
        <v>43965</v>
      </c>
      <c r="F193" s="2">
        <v>4885</v>
      </c>
      <c r="G193" s="2">
        <v>4885</v>
      </c>
      <c r="I193" t="s">
        <v>111</v>
      </c>
      <c r="J193" t="s">
        <v>18</v>
      </c>
    </row>
    <row r="194" spans="1:10" x14ac:dyDescent="0.25">
      <c r="A194" t="s">
        <v>408</v>
      </c>
      <c r="C194">
        <v>10</v>
      </c>
      <c r="D194" s="1">
        <v>44046</v>
      </c>
      <c r="E194" s="1">
        <v>44057</v>
      </c>
      <c r="F194" s="2">
        <v>4885</v>
      </c>
      <c r="G194" s="2">
        <v>4885</v>
      </c>
      <c r="H194">
        <v>0</v>
      </c>
    </row>
    <row r="195" spans="1:10" x14ac:dyDescent="0.25">
      <c r="A195" t="s">
        <v>409</v>
      </c>
      <c r="B195" t="s">
        <v>410</v>
      </c>
      <c r="C195">
        <v>10</v>
      </c>
      <c r="D195" s="1">
        <v>44046</v>
      </c>
      <c r="E195" s="1">
        <v>44057</v>
      </c>
      <c r="F195" s="2">
        <v>4885</v>
      </c>
      <c r="G195" s="2">
        <v>4885</v>
      </c>
      <c r="I195" t="s">
        <v>111</v>
      </c>
      <c r="J195" t="s">
        <v>18</v>
      </c>
    </row>
    <row r="196" spans="1:10" x14ac:dyDescent="0.25">
      <c r="A196" t="s">
        <v>411</v>
      </c>
      <c r="C196">
        <v>4</v>
      </c>
      <c r="D196" s="1">
        <v>44058</v>
      </c>
      <c r="E196" s="1">
        <v>44061</v>
      </c>
      <c r="F196" s="2">
        <v>5108</v>
      </c>
      <c r="G196" s="2">
        <v>5108</v>
      </c>
      <c r="H196">
        <v>0</v>
      </c>
    </row>
    <row r="197" spans="1:10" x14ac:dyDescent="0.25">
      <c r="A197" t="s">
        <v>412</v>
      </c>
      <c r="B197" t="s">
        <v>401</v>
      </c>
      <c r="C197">
        <v>4</v>
      </c>
      <c r="D197" s="1">
        <v>44058</v>
      </c>
      <c r="E197" s="1">
        <v>44061</v>
      </c>
      <c r="F197" s="2">
        <v>5108</v>
      </c>
      <c r="G197" s="2">
        <v>5108</v>
      </c>
      <c r="I197" t="s">
        <v>161</v>
      </c>
      <c r="J197" t="s">
        <v>18</v>
      </c>
    </row>
    <row r="198" spans="1:10" x14ac:dyDescent="0.25">
      <c r="A198" t="s">
        <v>413</v>
      </c>
      <c r="C198">
        <v>297</v>
      </c>
      <c r="D198" s="1">
        <v>43592</v>
      </c>
      <c r="E198" s="1">
        <v>44027</v>
      </c>
      <c r="F198" s="2">
        <v>823045.63</v>
      </c>
      <c r="G198" s="2">
        <v>823045.63</v>
      </c>
      <c r="H198">
        <v>442</v>
      </c>
    </row>
    <row r="199" spans="1:10" x14ac:dyDescent="0.25">
      <c r="A199" t="s">
        <v>180</v>
      </c>
      <c r="C199">
        <v>294</v>
      </c>
      <c r="D199" s="1">
        <v>43595</v>
      </c>
      <c r="E199" s="1">
        <v>44027</v>
      </c>
      <c r="F199" s="2">
        <v>0</v>
      </c>
      <c r="G199" s="2">
        <v>0</v>
      </c>
      <c r="H199">
        <v>0</v>
      </c>
    </row>
    <row r="200" spans="1:10" x14ac:dyDescent="0.25">
      <c r="A200" t="s">
        <v>414</v>
      </c>
      <c r="B200" t="s">
        <v>415</v>
      </c>
      <c r="C200">
        <v>0</v>
      </c>
      <c r="D200" s="1">
        <v>43595</v>
      </c>
      <c r="F200" s="2">
        <v>0</v>
      </c>
      <c r="G200" s="2">
        <v>0</v>
      </c>
      <c r="I200" t="s">
        <v>184</v>
      </c>
      <c r="J200" t="s">
        <v>18</v>
      </c>
    </row>
    <row r="201" spans="1:10" x14ac:dyDescent="0.25">
      <c r="A201" t="s">
        <v>416</v>
      </c>
      <c r="B201" t="s">
        <v>417</v>
      </c>
      <c r="C201">
        <v>276</v>
      </c>
      <c r="D201" s="1">
        <v>43595</v>
      </c>
      <c r="E201" s="1">
        <v>44000</v>
      </c>
      <c r="F201" s="2">
        <v>0</v>
      </c>
      <c r="G201" s="2">
        <v>0</v>
      </c>
      <c r="I201" t="s">
        <v>184</v>
      </c>
      <c r="J201" t="s">
        <v>18</v>
      </c>
    </row>
    <row r="202" spans="1:10" x14ac:dyDescent="0.25">
      <c r="A202" t="s">
        <v>418</v>
      </c>
      <c r="B202" t="s">
        <v>419</v>
      </c>
      <c r="C202">
        <v>0</v>
      </c>
      <c r="E202" s="1">
        <v>44000</v>
      </c>
      <c r="F202" s="2">
        <v>0</v>
      </c>
      <c r="G202" s="2">
        <v>0</v>
      </c>
      <c r="I202" t="s">
        <v>184</v>
      </c>
      <c r="J202" t="s">
        <v>18</v>
      </c>
    </row>
    <row r="203" spans="1:10" x14ac:dyDescent="0.25">
      <c r="A203" t="s">
        <v>420</v>
      </c>
      <c r="B203" t="s">
        <v>421</v>
      </c>
      <c r="C203">
        <v>0</v>
      </c>
      <c r="E203" s="1">
        <v>44027</v>
      </c>
      <c r="F203" s="2">
        <v>0</v>
      </c>
      <c r="G203" s="2">
        <v>0</v>
      </c>
      <c r="I203" t="s">
        <v>184</v>
      </c>
      <c r="J203" t="s">
        <v>18</v>
      </c>
    </row>
    <row r="204" spans="1:10" x14ac:dyDescent="0.25">
      <c r="A204" t="s">
        <v>422</v>
      </c>
      <c r="C204">
        <v>3</v>
      </c>
      <c r="D204" s="1">
        <v>43592</v>
      </c>
      <c r="E204" s="1">
        <v>43594</v>
      </c>
      <c r="F204" s="2">
        <v>1853</v>
      </c>
      <c r="G204" s="2">
        <v>1853</v>
      </c>
      <c r="H204">
        <v>0</v>
      </c>
    </row>
    <row r="205" spans="1:10" x14ac:dyDescent="0.25">
      <c r="A205" t="s">
        <v>423</v>
      </c>
      <c r="B205" t="s">
        <v>424</v>
      </c>
      <c r="C205">
        <v>2</v>
      </c>
      <c r="D205" t="s">
        <v>425</v>
      </c>
      <c r="E205" s="1">
        <v>43593</v>
      </c>
      <c r="F205" s="2">
        <v>1744</v>
      </c>
      <c r="G205" s="2">
        <v>1744</v>
      </c>
      <c r="I205" t="s">
        <v>203</v>
      </c>
      <c r="J205" t="s">
        <v>426</v>
      </c>
    </row>
    <row r="206" spans="1:10" x14ac:dyDescent="0.25">
      <c r="A206" t="s">
        <v>427</v>
      </c>
      <c r="B206" t="s">
        <v>428</v>
      </c>
      <c r="C206">
        <v>1</v>
      </c>
      <c r="D206" s="1">
        <v>43594</v>
      </c>
      <c r="E206" s="1">
        <v>43594</v>
      </c>
      <c r="F206" s="2">
        <v>109</v>
      </c>
      <c r="G206" s="2">
        <v>109</v>
      </c>
      <c r="I206" t="s">
        <v>429</v>
      </c>
      <c r="J206" t="s">
        <v>426</v>
      </c>
    </row>
    <row r="207" spans="1:10" x14ac:dyDescent="0.25">
      <c r="A207" t="s">
        <v>312</v>
      </c>
      <c r="C207">
        <v>10</v>
      </c>
      <c r="D207" s="1">
        <v>43595</v>
      </c>
      <c r="E207" s="1">
        <v>43608</v>
      </c>
      <c r="F207" s="2">
        <v>4885</v>
      </c>
      <c r="G207" s="2">
        <v>4885</v>
      </c>
      <c r="H207">
        <v>0</v>
      </c>
    </row>
    <row r="208" spans="1:10" x14ac:dyDescent="0.25">
      <c r="A208" t="s">
        <v>430</v>
      </c>
      <c r="B208" t="s">
        <v>314</v>
      </c>
      <c r="C208">
        <v>10</v>
      </c>
      <c r="D208" s="1">
        <v>43595</v>
      </c>
      <c r="E208" s="1">
        <v>43608</v>
      </c>
      <c r="F208" s="2">
        <v>4885</v>
      </c>
      <c r="G208" s="2">
        <v>4885</v>
      </c>
      <c r="I208" t="s">
        <v>111</v>
      </c>
      <c r="J208" t="s">
        <v>18</v>
      </c>
    </row>
    <row r="209" spans="1:10" x14ac:dyDescent="0.25">
      <c r="A209" t="s">
        <v>223</v>
      </c>
      <c r="C209">
        <v>13</v>
      </c>
      <c r="D209" s="1">
        <v>43595</v>
      </c>
      <c r="E209" s="1">
        <v>43614</v>
      </c>
      <c r="F209" s="2">
        <v>7094</v>
      </c>
      <c r="G209" s="2">
        <v>7094</v>
      </c>
      <c r="H209">
        <v>0</v>
      </c>
    </row>
    <row r="210" spans="1:10" x14ac:dyDescent="0.25">
      <c r="A210" t="s">
        <v>431</v>
      </c>
      <c r="B210" t="s">
        <v>194</v>
      </c>
      <c r="C210">
        <v>10</v>
      </c>
      <c r="D210" s="1">
        <v>43595</v>
      </c>
      <c r="E210" s="1">
        <v>43608</v>
      </c>
      <c r="F210" s="2">
        <v>3270</v>
      </c>
      <c r="G210" s="2">
        <v>3270</v>
      </c>
      <c r="I210" t="s">
        <v>161</v>
      </c>
      <c r="J210" t="s">
        <v>18</v>
      </c>
    </row>
    <row r="211" spans="1:10" x14ac:dyDescent="0.25">
      <c r="A211" t="s">
        <v>432</v>
      </c>
      <c r="B211" t="s">
        <v>149</v>
      </c>
      <c r="C211">
        <v>3</v>
      </c>
      <c r="D211" s="1">
        <v>43609</v>
      </c>
      <c r="E211" s="1">
        <v>43614</v>
      </c>
      <c r="F211" s="2">
        <v>3824</v>
      </c>
      <c r="G211" s="2">
        <v>3824</v>
      </c>
      <c r="I211" t="s">
        <v>161</v>
      </c>
      <c r="J211" t="s">
        <v>18</v>
      </c>
    </row>
    <row r="212" spans="1:10" x14ac:dyDescent="0.25">
      <c r="A212" t="s">
        <v>433</v>
      </c>
      <c r="C212">
        <v>25</v>
      </c>
      <c r="D212" s="1">
        <v>43600</v>
      </c>
      <c r="E212" s="1">
        <v>43635</v>
      </c>
      <c r="F212" s="2">
        <v>10532.5</v>
      </c>
      <c r="G212" s="2">
        <v>10532.5</v>
      </c>
      <c r="H212">
        <v>0</v>
      </c>
    </row>
    <row r="213" spans="1:10" x14ac:dyDescent="0.25">
      <c r="A213" t="s">
        <v>434</v>
      </c>
      <c r="B213" t="s">
        <v>194</v>
      </c>
      <c r="C213">
        <v>10</v>
      </c>
      <c r="D213" s="1">
        <v>43600</v>
      </c>
      <c r="E213" s="1">
        <v>43614</v>
      </c>
      <c r="F213" s="2">
        <v>1090</v>
      </c>
      <c r="G213" s="2">
        <v>1090</v>
      </c>
      <c r="I213" t="s">
        <v>161</v>
      </c>
      <c r="J213" t="s">
        <v>18</v>
      </c>
    </row>
    <row r="214" spans="1:10" x14ac:dyDescent="0.25">
      <c r="A214" t="s">
        <v>435</v>
      </c>
      <c r="B214" t="s">
        <v>149</v>
      </c>
      <c r="C214">
        <v>15</v>
      </c>
      <c r="D214" s="1">
        <v>43615</v>
      </c>
      <c r="E214" s="1">
        <v>43635</v>
      </c>
      <c r="F214" s="2">
        <v>9442.5</v>
      </c>
      <c r="G214" s="2">
        <v>9442.5</v>
      </c>
      <c r="I214" t="s">
        <v>161</v>
      </c>
      <c r="J214" t="s">
        <v>18</v>
      </c>
    </row>
    <row r="215" spans="1:10" x14ac:dyDescent="0.25">
      <c r="A215" t="s">
        <v>348</v>
      </c>
      <c r="C215">
        <v>10</v>
      </c>
      <c r="D215" s="1">
        <v>43636</v>
      </c>
      <c r="E215" s="1">
        <v>43649</v>
      </c>
      <c r="F215" s="2">
        <v>10640</v>
      </c>
      <c r="G215" s="2">
        <v>10640</v>
      </c>
      <c r="H215">
        <v>0</v>
      </c>
    </row>
    <row r="216" spans="1:10" x14ac:dyDescent="0.25">
      <c r="A216" t="s">
        <v>436</v>
      </c>
      <c r="B216" t="s">
        <v>149</v>
      </c>
      <c r="C216">
        <v>10</v>
      </c>
      <c r="D216" s="1">
        <v>43636</v>
      </c>
      <c r="E216" s="1">
        <v>43649</v>
      </c>
      <c r="F216" s="2">
        <v>10640</v>
      </c>
      <c r="G216" s="2">
        <v>10640</v>
      </c>
      <c r="I216" t="s">
        <v>161</v>
      </c>
      <c r="J216" t="s">
        <v>18</v>
      </c>
    </row>
    <row r="217" spans="1:10" x14ac:dyDescent="0.25">
      <c r="A217" t="s">
        <v>345</v>
      </c>
      <c r="C217">
        <v>2</v>
      </c>
      <c r="D217" s="1">
        <v>43623</v>
      </c>
      <c r="E217" s="1">
        <v>43626</v>
      </c>
      <c r="F217" s="2">
        <v>1744</v>
      </c>
      <c r="G217" s="2">
        <v>1744</v>
      </c>
      <c r="H217">
        <v>0</v>
      </c>
    </row>
    <row r="218" spans="1:10" x14ac:dyDescent="0.25">
      <c r="A218" t="s">
        <v>437</v>
      </c>
      <c r="B218" t="s">
        <v>347</v>
      </c>
      <c r="C218">
        <v>2</v>
      </c>
      <c r="D218" s="1">
        <v>43623</v>
      </c>
      <c r="E218" s="1">
        <v>43626</v>
      </c>
      <c r="F218" s="2">
        <v>1744</v>
      </c>
      <c r="G218" s="2">
        <v>1744</v>
      </c>
      <c r="I218" t="s">
        <v>111</v>
      </c>
      <c r="J218" t="s">
        <v>18</v>
      </c>
    </row>
    <row r="219" spans="1:10" x14ac:dyDescent="0.25">
      <c r="A219" t="s">
        <v>438</v>
      </c>
      <c r="C219">
        <v>53</v>
      </c>
      <c r="D219" s="1">
        <v>43616</v>
      </c>
      <c r="E219" s="1">
        <v>43691</v>
      </c>
      <c r="F219" s="2">
        <v>30834</v>
      </c>
      <c r="G219" s="2">
        <v>30834</v>
      </c>
      <c r="H219">
        <v>24</v>
      </c>
    </row>
    <row r="220" spans="1:10" x14ac:dyDescent="0.25">
      <c r="A220" t="s">
        <v>439</v>
      </c>
      <c r="B220" t="s">
        <v>194</v>
      </c>
      <c r="C220">
        <v>20</v>
      </c>
      <c r="D220" s="1">
        <v>43616</v>
      </c>
      <c r="E220" s="1">
        <v>43643</v>
      </c>
      <c r="F220" s="2">
        <v>4360</v>
      </c>
      <c r="G220" s="2">
        <v>4360</v>
      </c>
      <c r="I220" t="s">
        <v>161</v>
      </c>
      <c r="J220" t="s">
        <v>18</v>
      </c>
    </row>
    <row r="221" spans="1:10" x14ac:dyDescent="0.25">
      <c r="A221" t="s">
        <v>440</v>
      </c>
      <c r="B221" t="s">
        <v>252</v>
      </c>
      <c r="C221">
        <v>4</v>
      </c>
      <c r="D221" s="1">
        <v>43644</v>
      </c>
      <c r="E221" s="1">
        <v>43649</v>
      </c>
      <c r="F221" s="2">
        <v>3924</v>
      </c>
      <c r="G221" s="2">
        <v>3924</v>
      </c>
      <c r="I221" t="s">
        <v>161</v>
      </c>
      <c r="J221" t="s">
        <v>18</v>
      </c>
    </row>
    <row r="222" spans="1:10" x14ac:dyDescent="0.25">
      <c r="A222" t="s">
        <v>441</v>
      </c>
      <c r="B222" t="s">
        <v>165</v>
      </c>
      <c r="C222">
        <v>2</v>
      </c>
      <c r="D222" s="1">
        <v>43651</v>
      </c>
      <c r="E222" s="1">
        <v>43654</v>
      </c>
      <c r="F222" s="2">
        <v>2996</v>
      </c>
      <c r="G222" s="2">
        <v>2996</v>
      </c>
      <c r="I222" t="s">
        <v>161</v>
      </c>
      <c r="J222" t="s">
        <v>18</v>
      </c>
    </row>
    <row r="223" spans="1:10" x14ac:dyDescent="0.25">
      <c r="A223" t="s">
        <v>442</v>
      </c>
      <c r="B223" t="s">
        <v>168</v>
      </c>
      <c r="C223">
        <v>2</v>
      </c>
      <c r="D223" s="1">
        <v>43655</v>
      </c>
      <c r="E223" s="1">
        <v>43656</v>
      </c>
      <c r="F223" s="2">
        <v>4352</v>
      </c>
      <c r="G223" s="2">
        <v>4352</v>
      </c>
      <c r="H223">
        <v>24</v>
      </c>
      <c r="I223" t="s">
        <v>161</v>
      </c>
      <c r="J223" t="s">
        <v>18</v>
      </c>
    </row>
    <row r="224" spans="1:10" x14ac:dyDescent="0.25">
      <c r="A224" t="s">
        <v>443</v>
      </c>
      <c r="B224" t="s">
        <v>149</v>
      </c>
      <c r="C224">
        <v>4</v>
      </c>
      <c r="D224" s="1">
        <v>43657</v>
      </c>
      <c r="E224" s="1">
        <v>43662</v>
      </c>
      <c r="F224" s="2">
        <v>4984</v>
      </c>
      <c r="G224" s="2">
        <v>4984</v>
      </c>
      <c r="I224" t="s">
        <v>161</v>
      </c>
      <c r="J224" t="s">
        <v>18</v>
      </c>
    </row>
    <row r="225" spans="1:10" x14ac:dyDescent="0.25">
      <c r="A225" t="s">
        <v>444</v>
      </c>
      <c r="B225" t="s">
        <v>176</v>
      </c>
      <c r="C225">
        <v>1</v>
      </c>
      <c r="D225" s="1">
        <v>43663</v>
      </c>
      <c r="E225" s="1">
        <v>43663</v>
      </c>
      <c r="F225" s="2">
        <v>1498</v>
      </c>
      <c r="G225" s="2">
        <v>1498</v>
      </c>
      <c r="I225" t="s">
        <v>161</v>
      </c>
      <c r="J225" t="s">
        <v>18</v>
      </c>
    </row>
    <row r="226" spans="1:10" x14ac:dyDescent="0.25">
      <c r="A226" t="s">
        <v>445</v>
      </c>
      <c r="B226" t="s">
        <v>368</v>
      </c>
      <c r="C226">
        <v>5</v>
      </c>
      <c r="D226" s="1">
        <v>43664</v>
      </c>
      <c r="E226" s="1">
        <v>43670</v>
      </c>
      <c r="F226" s="2">
        <v>2180</v>
      </c>
      <c r="G226" s="2">
        <v>2180</v>
      </c>
      <c r="I226" t="s">
        <v>161</v>
      </c>
      <c r="J226" t="s">
        <v>18</v>
      </c>
    </row>
    <row r="227" spans="1:10" x14ac:dyDescent="0.25">
      <c r="A227" t="s">
        <v>446</v>
      </c>
      <c r="B227" t="s">
        <v>154</v>
      </c>
      <c r="C227">
        <v>15</v>
      </c>
      <c r="D227" s="1">
        <v>43671</v>
      </c>
      <c r="E227" s="1">
        <v>43691</v>
      </c>
      <c r="F227" s="2">
        <v>6540</v>
      </c>
      <c r="G227" s="2">
        <v>6540</v>
      </c>
      <c r="I227" t="s">
        <v>161</v>
      </c>
      <c r="J227" t="s">
        <v>18</v>
      </c>
    </row>
    <row r="228" spans="1:10" x14ac:dyDescent="0.25">
      <c r="A228" t="s">
        <v>447</v>
      </c>
      <c r="C228">
        <v>21</v>
      </c>
      <c r="D228" s="1">
        <v>43649</v>
      </c>
      <c r="E228" s="1">
        <v>43678</v>
      </c>
      <c r="F228" s="2">
        <v>12543</v>
      </c>
      <c r="G228" s="2">
        <v>12543</v>
      </c>
      <c r="H228">
        <v>0</v>
      </c>
    </row>
    <row r="229" spans="1:10" x14ac:dyDescent="0.25">
      <c r="A229" t="s">
        <v>448</v>
      </c>
      <c r="B229" t="s">
        <v>194</v>
      </c>
      <c r="C229">
        <v>10</v>
      </c>
      <c r="D229" s="1">
        <v>43649</v>
      </c>
      <c r="E229" s="1">
        <v>43663</v>
      </c>
      <c r="F229" s="2">
        <v>1160</v>
      </c>
      <c r="G229" s="2">
        <v>1160</v>
      </c>
      <c r="I229" t="s">
        <v>32</v>
      </c>
      <c r="J229" t="s">
        <v>18</v>
      </c>
    </row>
    <row r="230" spans="1:10" x14ac:dyDescent="0.25">
      <c r="A230" t="s">
        <v>449</v>
      </c>
      <c r="B230" t="s">
        <v>450</v>
      </c>
      <c r="C230">
        <v>5</v>
      </c>
      <c r="D230" s="1">
        <v>43664</v>
      </c>
      <c r="E230" s="1">
        <v>43670</v>
      </c>
      <c r="F230" s="2">
        <v>9830</v>
      </c>
      <c r="G230" s="2">
        <v>9830</v>
      </c>
      <c r="I230" t="s">
        <v>32</v>
      </c>
      <c r="J230" t="s">
        <v>18</v>
      </c>
    </row>
    <row r="231" spans="1:10" x14ac:dyDescent="0.25">
      <c r="A231" t="s">
        <v>451</v>
      </c>
      <c r="B231" t="s">
        <v>176</v>
      </c>
      <c r="C231">
        <v>1</v>
      </c>
      <c r="D231" s="1">
        <v>43671</v>
      </c>
      <c r="E231" s="1">
        <v>43671</v>
      </c>
      <c r="F231" s="2">
        <v>625</v>
      </c>
      <c r="G231" s="2">
        <v>625</v>
      </c>
      <c r="I231" t="s">
        <v>32</v>
      </c>
      <c r="J231" t="s">
        <v>18</v>
      </c>
    </row>
    <row r="232" spans="1:10" x14ac:dyDescent="0.25">
      <c r="A232" t="s">
        <v>452</v>
      </c>
      <c r="B232" t="s">
        <v>154</v>
      </c>
      <c r="C232">
        <v>6</v>
      </c>
      <c r="D232" s="1">
        <v>43671</v>
      </c>
      <c r="E232" s="1">
        <v>43678</v>
      </c>
      <c r="F232" s="2">
        <v>928</v>
      </c>
      <c r="G232" s="2">
        <v>928</v>
      </c>
      <c r="I232" t="s">
        <v>32</v>
      </c>
      <c r="J232" t="s">
        <v>18</v>
      </c>
    </row>
    <row r="233" spans="1:10" x14ac:dyDescent="0.25">
      <c r="A233" t="s">
        <v>453</v>
      </c>
      <c r="C233">
        <v>19</v>
      </c>
      <c r="D233" s="1">
        <v>43658</v>
      </c>
      <c r="E233" s="1">
        <v>43684</v>
      </c>
      <c r="F233" s="2">
        <v>7093</v>
      </c>
      <c r="G233" s="2">
        <v>7093</v>
      </c>
      <c r="H233">
        <v>0</v>
      </c>
    </row>
    <row r="234" spans="1:10" x14ac:dyDescent="0.25">
      <c r="A234" t="s">
        <v>454</v>
      </c>
      <c r="B234" t="s">
        <v>194</v>
      </c>
      <c r="C234">
        <v>10</v>
      </c>
      <c r="D234" s="1">
        <v>43658</v>
      </c>
      <c r="E234" s="1">
        <v>43671</v>
      </c>
      <c r="F234" s="2">
        <v>1160</v>
      </c>
      <c r="G234" s="2">
        <v>1160</v>
      </c>
      <c r="I234" t="s">
        <v>32</v>
      </c>
      <c r="J234" t="s">
        <v>18</v>
      </c>
    </row>
    <row r="235" spans="1:10" x14ac:dyDescent="0.25">
      <c r="A235" t="s">
        <v>455</v>
      </c>
      <c r="B235" t="s">
        <v>450</v>
      </c>
      <c r="C235">
        <v>3</v>
      </c>
      <c r="D235" s="1">
        <v>43672</v>
      </c>
      <c r="E235" s="1">
        <v>43676</v>
      </c>
      <c r="F235" s="2">
        <v>4380</v>
      </c>
      <c r="G235" s="2">
        <v>4380</v>
      </c>
      <c r="I235" t="s">
        <v>32</v>
      </c>
      <c r="J235" t="s">
        <v>18</v>
      </c>
    </row>
    <row r="236" spans="1:10" x14ac:dyDescent="0.25">
      <c r="A236" t="s">
        <v>456</v>
      </c>
      <c r="B236" t="s">
        <v>176</v>
      </c>
      <c r="C236">
        <v>1</v>
      </c>
      <c r="D236" s="1">
        <v>43677</v>
      </c>
      <c r="E236" s="1">
        <v>43677</v>
      </c>
      <c r="F236" s="2">
        <v>625</v>
      </c>
      <c r="G236" s="2">
        <v>625</v>
      </c>
      <c r="I236" t="s">
        <v>32</v>
      </c>
      <c r="J236" t="s">
        <v>18</v>
      </c>
    </row>
    <row r="237" spans="1:10" x14ac:dyDescent="0.25">
      <c r="A237" t="s">
        <v>457</v>
      </c>
      <c r="B237" t="s">
        <v>154</v>
      </c>
      <c r="C237">
        <v>6</v>
      </c>
      <c r="D237" s="1">
        <v>43677</v>
      </c>
      <c r="E237" s="1">
        <v>43684</v>
      </c>
      <c r="F237" s="2">
        <v>928</v>
      </c>
      <c r="G237" s="2">
        <v>928</v>
      </c>
      <c r="I237" t="s">
        <v>32</v>
      </c>
      <c r="J237" t="s">
        <v>18</v>
      </c>
    </row>
    <row r="238" spans="1:10" x14ac:dyDescent="0.25">
      <c r="A238" t="s">
        <v>458</v>
      </c>
      <c r="C238">
        <v>104</v>
      </c>
      <c r="D238" s="1">
        <v>43592</v>
      </c>
      <c r="E238" s="1">
        <v>43740</v>
      </c>
      <c r="F238" s="2">
        <v>75983.3</v>
      </c>
      <c r="G238" s="2">
        <v>75983.3</v>
      </c>
      <c r="H238">
        <v>112</v>
      </c>
    </row>
    <row r="239" spans="1:10" x14ac:dyDescent="0.25">
      <c r="A239" t="s">
        <v>459</v>
      </c>
      <c r="B239" t="s">
        <v>194</v>
      </c>
      <c r="C239">
        <v>60</v>
      </c>
      <c r="D239" s="1">
        <v>43592</v>
      </c>
      <c r="E239" s="1">
        <v>43677</v>
      </c>
      <c r="F239" s="2">
        <v>3375</v>
      </c>
      <c r="G239" s="2">
        <v>3375</v>
      </c>
      <c r="I239" t="s">
        <v>32</v>
      </c>
      <c r="J239" t="s">
        <v>18</v>
      </c>
    </row>
    <row r="240" spans="1:10" x14ac:dyDescent="0.25">
      <c r="A240" t="s">
        <v>460</v>
      </c>
      <c r="B240" t="s">
        <v>165</v>
      </c>
      <c r="C240">
        <v>3</v>
      </c>
      <c r="D240" s="1">
        <v>43678</v>
      </c>
      <c r="E240" s="1">
        <v>43682</v>
      </c>
      <c r="F240" s="2">
        <v>5358</v>
      </c>
      <c r="G240" s="2">
        <v>5358</v>
      </c>
      <c r="I240" t="s">
        <v>32</v>
      </c>
      <c r="J240" t="s">
        <v>18</v>
      </c>
    </row>
    <row r="241" spans="1:10" x14ac:dyDescent="0.25">
      <c r="A241" t="s">
        <v>461</v>
      </c>
      <c r="B241" t="s">
        <v>168</v>
      </c>
      <c r="C241">
        <v>6</v>
      </c>
      <c r="D241" s="1">
        <v>43683</v>
      </c>
      <c r="E241" s="1">
        <v>43690</v>
      </c>
      <c r="F241" s="2">
        <v>29060</v>
      </c>
      <c r="G241" s="2">
        <v>29060</v>
      </c>
      <c r="H241">
        <v>112</v>
      </c>
      <c r="I241" t="s">
        <v>32</v>
      </c>
      <c r="J241" t="s">
        <v>18</v>
      </c>
    </row>
    <row r="242" spans="1:10" x14ac:dyDescent="0.25">
      <c r="A242" t="s">
        <v>462</v>
      </c>
      <c r="B242" t="s">
        <v>463</v>
      </c>
      <c r="C242">
        <v>3</v>
      </c>
      <c r="D242" s="1">
        <v>43686</v>
      </c>
      <c r="E242" s="1">
        <v>43690</v>
      </c>
      <c r="F242" s="2">
        <v>2029</v>
      </c>
      <c r="G242" s="2">
        <v>2029</v>
      </c>
      <c r="I242" t="s">
        <v>464</v>
      </c>
      <c r="J242" t="s">
        <v>18</v>
      </c>
    </row>
    <row r="243" spans="1:10" x14ac:dyDescent="0.25">
      <c r="A243" t="s">
        <v>465</v>
      </c>
      <c r="B243" t="s">
        <v>149</v>
      </c>
      <c r="C243">
        <v>5</v>
      </c>
      <c r="D243" s="1">
        <v>43691</v>
      </c>
      <c r="E243" s="1">
        <v>43697</v>
      </c>
      <c r="F243" s="2">
        <v>21677.5</v>
      </c>
      <c r="G243" s="2">
        <v>21677.5</v>
      </c>
      <c r="I243" t="s">
        <v>32</v>
      </c>
      <c r="J243" t="s">
        <v>18</v>
      </c>
    </row>
    <row r="244" spans="1:10" x14ac:dyDescent="0.25">
      <c r="A244" t="s">
        <v>466</v>
      </c>
      <c r="B244" t="s">
        <v>176</v>
      </c>
      <c r="C244">
        <v>2</v>
      </c>
      <c r="D244" s="1">
        <v>43698</v>
      </c>
      <c r="E244" s="1">
        <v>43699</v>
      </c>
      <c r="F244" s="2">
        <v>2862</v>
      </c>
      <c r="G244" s="2">
        <v>2862</v>
      </c>
      <c r="I244" t="s">
        <v>32</v>
      </c>
      <c r="J244" t="s">
        <v>18</v>
      </c>
    </row>
    <row r="245" spans="1:10" x14ac:dyDescent="0.25">
      <c r="A245" t="s">
        <v>467</v>
      </c>
      <c r="B245" t="s">
        <v>468</v>
      </c>
      <c r="C245">
        <v>30</v>
      </c>
      <c r="D245" s="1">
        <v>43698</v>
      </c>
      <c r="E245" s="1">
        <v>43740</v>
      </c>
      <c r="F245" s="2">
        <v>11621.8</v>
      </c>
      <c r="G245" s="2">
        <v>11621.8</v>
      </c>
      <c r="I245" t="s">
        <v>32</v>
      </c>
      <c r="J245" t="s">
        <v>18</v>
      </c>
    </row>
    <row r="246" spans="1:10" x14ac:dyDescent="0.25">
      <c r="A246" t="s">
        <v>469</v>
      </c>
      <c r="C246">
        <v>134</v>
      </c>
      <c r="D246" s="1">
        <v>43609</v>
      </c>
      <c r="E246" s="1">
        <v>43803</v>
      </c>
      <c r="F246" s="2">
        <v>53518</v>
      </c>
      <c r="G246" s="2">
        <v>53518</v>
      </c>
      <c r="H246">
        <v>48</v>
      </c>
    </row>
    <row r="247" spans="1:10" x14ac:dyDescent="0.25">
      <c r="A247" t="s">
        <v>470</v>
      </c>
      <c r="B247" t="s">
        <v>248</v>
      </c>
      <c r="C247">
        <v>60</v>
      </c>
      <c r="D247" s="1">
        <v>43609</v>
      </c>
      <c r="E247" s="1">
        <v>43696</v>
      </c>
      <c r="F247" s="2">
        <v>4723.33</v>
      </c>
      <c r="G247" s="2">
        <v>4723.33</v>
      </c>
      <c r="I247" t="s">
        <v>280</v>
      </c>
      <c r="J247" t="s">
        <v>18</v>
      </c>
    </row>
    <row r="248" spans="1:10" x14ac:dyDescent="0.25">
      <c r="A248" t="s">
        <v>471</v>
      </c>
      <c r="B248" t="s">
        <v>252</v>
      </c>
      <c r="C248">
        <v>3</v>
      </c>
      <c r="D248" s="1">
        <v>43697</v>
      </c>
      <c r="E248" s="1">
        <v>43699</v>
      </c>
      <c r="F248" s="2">
        <v>3161</v>
      </c>
      <c r="G248" s="2">
        <v>3161</v>
      </c>
      <c r="I248" t="s">
        <v>280</v>
      </c>
      <c r="J248" t="s">
        <v>18</v>
      </c>
    </row>
    <row r="249" spans="1:10" x14ac:dyDescent="0.25">
      <c r="A249" t="s">
        <v>472</v>
      </c>
      <c r="B249" t="s">
        <v>258</v>
      </c>
      <c r="C249">
        <v>2</v>
      </c>
      <c r="D249" s="1">
        <v>43700</v>
      </c>
      <c r="E249" s="1">
        <v>43703</v>
      </c>
      <c r="F249" s="2">
        <v>3314.67</v>
      </c>
      <c r="G249" s="2">
        <v>3314.67</v>
      </c>
      <c r="I249" t="s">
        <v>261</v>
      </c>
      <c r="J249" t="s">
        <v>18</v>
      </c>
    </row>
    <row r="250" spans="1:10" x14ac:dyDescent="0.25">
      <c r="A250" t="s">
        <v>473</v>
      </c>
      <c r="B250" t="s">
        <v>255</v>
      </c>
      <c r="C250">
        <v>3</v>
      </c>
      <c r="D250" s="1">
        <v>43704</v>
      </c>
      <c r="E250" s="1">
        <v>43706</v>
      </c>
      <c r="F250" s="2">
        <v>9135</v>
      </c>
      <c r="G250" s="2">
        <v>9135</v>
      </c>
      <c r="H250">
        <v>48</v>
      </c>
      <c r="I250" t="s">
        <v>280</v>
      </c>
      <c r="J250" t="s">
        <v>18</v>
      </c>
    </row>
    <row r="251" spans="1:10" x14ac:dyDescent="0.25">
      <c r="A251" t="s">
        <v>474</v>
      </c>
      <c r="B251" t="s">
        <v>263</v>
      </c>
      <c r="C251">
        <v>2</v>
      </c>
      <c r="D251" s="1">
        <v>43705</v>
      </c>
      <c r="E251" s="1">
        <v>43706</v>
      </c>
      <c r="F251" s="2">
        <v>16216</v>
      </c>
      <c r="G251" s="2">
        <v>16216</v>
      </c>
      <c r="I251" t="s">
        <v>280</v>
      </c>
      <c r="J251" t="s">
        <v>18</v>
      </c>
    </row>
    <row r="252" spans="1:10" x14ac:dyDescent="0.25">
      <c r="A252" t="s">
        <v>475</v>
      </c>
      <c r="B252" t="s">
        <v>149</v>
      </c>
      <c r="C252">
        <v>2</v>
      </c>
      <c r="D252" s="1">
        <v>43707</v>
      </c>
      <c r="E252" s="1">
        <v>43711</v>
      </c>
      <c r="F252" s="2">
        <v>4120</v>
      </c>
      <c r="G252" s="2">
        <v>4120</v>
      </c>
      <c r="I252" t="s">
        <v>280</v>
      </c>
      <c r="J252" t="s">
        <v>18</v>
      </c>
    </row>
    <row r="253" spans="1:10" x14ac:dyDescent="0.25">
      <c r="A253" t="s">
        <v>476</v>
      </c>
      <c r="B253" t="s">
        <v>176</v>
      </c>
      <c r="C253">
        <v>1</v>
      </c>
      <c r="D253" s="1">
        <v>43712</v>
      </c>
      <c r="E253" s="1">
        <v>43712</v>
      </c>
      <c r="F253" s="2">
        <v>1948</v>
      </c>
      <c r="G253" s="2">
        <v>1948</v>
      </c>
      <c r="I253" t="s">
        <v>261</v>
      </c>
      <c r="J253" t="s">
        <v>18</v>
      </c>
    </row>
    <row r="254" spans="1:10" x14ac:dyDescent="0.25">
      <c r="A254" t="s">
        <v>477</v>
      </c>
      <c r="B254" t="s">
        <v>275</v>
      </c>
      <c r="C254">
        <v>3</v>
      </c>
      <c r="D254" s="1">
        <v>43712</v>
      </c>
      <c r="E254" s="1">
        <v>43714</v>
      </c>
      <c r="F254" s="2">
        <v>2180</v>
      </c>
      <c r="G254" s="2">
        <v>2180</v>
      </c>
      <c r="I254" t="s">
        <v>280</v>
      </c>
      <c r="J254" t="s">
        <v>18</v>
      </c>
    </row>
    <row r="255" spans="1:10" x14ac:dyDescent="0.25">
      <c r="A255" t="s">
        <v>478</v>
      </c>
      <c r="B255" t="s">
        <v>479</v>
      </c>
      <c r="C255">
        <v>61</v>
      </c>
      <c r="D255" s="1">
        <v>43717</v>
      </c>
      <c r="E255" s="1">
        <v>43803</v>
      </c>
      <c r="F255" s="2">
        <v>8720</v>
      </c>
      <c r="G255" s="2">
        <v>8720</v>
      </c>
      <c r="I255" t="s">
        <v>280</v>
      </c>
      <c r="J255" t="s">
        <v>18</v>
      </c>
    </row>
    <row r="256" spans="1:10" x14ac:dyDescent="0.25">
      <c r="A256" t="s">
        <v>480</v>
      </c>
      <c r="C256">
        <v>58</v>
      </c>
      <c r="D256" s="1">
        <v>43698</v>
      </c>
      <c r="E256" s="1">
        <v>43780</v>
      </c>
      <c r="F256" s="2">
        <v>65318</v>
      </c>
      <c r="G256" s="2">
        <v>65318</v>
      </c>
      <c r="H256">
        <v>32</v>
      </c>
    </row>
    <row r="257" spans="1:10" x14ac:dyDescent="0.25">
      <c r="A257" t="s">
        <v>481</v>
      </c>
      <c r="B257" t="s">
        <v>194</v>
      </c>
      <c r="C257">
        <v>10</v>
      </c>
      <c r="D257" s="1">
        <v>43698</v>
      </c>
      <c r="E257" s="1">
        <v>43712</v>
      </c>
      <c r="F257" s="2">
        <v>4360</v>
      </c>
      <c r="G257" s="2">
        <v>4360</v>
      </c>
      <c r="I257" t="s">
        <v>362</v>
      </c>
      <c r="J257" t="s">
        <v>18</v>
      </c>
    </row>
    <row r="258" spans="1:10" x14ac:dyDescent="0.25">
      <c r="A258" t="s">
        <v>482</v>
      </c>
      <c r="B258" t="s">
        <v>165</v>
      </c>
      <c r="C258">
        <v>5</v>
      </c>
      <c r="D258" s="1">
        <v>43713</v>
      </c>
      <c r="E258" s="1">
        <v>43719</v>
      </c>
      <c r="F258" s="2">
        <v>8650</v>
      </c>
      <c r="G258" s="2">
        <v>8650</v>
      </c>
      <c r="I258" t="s">
        <v>362</v>
      </c>
      <c r="J258" t="s">
        <v>18</v>
      </c>
    </row>
    <row r="259" spans="1:10" x14ac:dyDescent="0.25">
      <c r="A259" t="s">
        <v>483</v>
      </c>
      <c r="B259" t="s">
        <v>168</v>
      </c>
      <c r="C259">
        <v>3</v>
      </c>
      <c r="D259" s="1">
        <v>43720</v>
      </c>
      <c r="E259" s="1">
        <v>43724</v>
      </c>
      <c r="F259" s="2">
        <v>9477</v>
      </c>
      <c r="G259" s="2">
        <v>9477</v>
      </c>
      <c r="H259">
        <v>32</v>
      </c>
      <c r="I259" t="s">
        <v>362</v>
      </c>
      <c r="J259" t="s">
        <v>18</v>
      </c>
    </row>
    <row r="260" spans="1:10" x14ac:dyDescent="0.25">
      <c r="A260" t="s">
        <v>484</v>
      </c>
      <c r="B260" t="s">
        <v>149</v>
      </c>
      <c r="C260">
        <v>10</v>
      </c>
      <c r="D260" s="1">
        <v>43725</v>
      </c>
      <c r="E260" s="1">
        <v>43738</v>
      </c>
      <c r="F260" s="2">
        <v>25760</v>
      </c>
      <c r="G260" s="2">
        <v>25760</v>
      </c>
      <c r="I260" t="s">
        <v>362</v>
      </c>
      <c r="J260" t="s">
        <v>18</v>
      </c>
    </row>
    <row r="261" spans="1:10" x14ac:dyDescent="0.25">
      <c r="A261" t="s">
        <v>485</v>
      </c>
      <c r="B261" t="s">
        <v>176</v>
      </c>
      <c r="C261">
        <v>3</v>
      </c>
      <c r="D261" s="1">
        <v>43739</v>
      </c>
      <c r="E261" s="1">
        <v>43741</v>
      </c>
      <c r="F261" s="2">
        <v>4536</v>
      </c>
      <c r="G261" s="2">
        <v>4536</v>
      </c>
      <c r="I261" t="s">
        <v>261</v>
      </c>
      <c r="J261" t="s">
        <v>18</v>
      </c>
    </row>
    <row r="262" spans="1:10" x14ac:dyDescent="0.25">
      <c r="A262" t="s">
        <v>486</v>
      </c>
      <c r="B262" t="s">
        <v>154</v>
      </c>
      <c r="C262">
        <v>30</v>
      </c>
      <c r="D262" s="1">
        <v>43739</v>
      </c>
      <c r="E262" s="1">
        <v>43780</v>
      </c>
      <c r="F262" s="2">
        <v>12535</v>
      </c>
      <c r="G262" s="2">
        <v>12535</v>
      </c>
      <c r="I262" t="s">
        <v>362</v>
      </c>
      <c r="J262" t="s">
        <v>18</v>
      </c>
    </row>
    <row r="263" spans="1:10" x14ac:dyDescent="0.25">
      <c r="A263" t="s">
        <v>487</v>
      </c>
      <c r="C263">
        <v>2</v>
      </c>
      <c r="D263" s="1">
        <v>43714</v>
      </c>
      <c r="E263" s="1">
        <v>43717</v>
      </c>
      <c r="F263" s="2">
        <v>1744</v>
      </c>
      <c r="G263" s="2">
        <v>1744</v>
      </c>
      <c r="H263">
        <v>0</v>
      </c>
    </row>
    <row r="264" spans="1:10" x14ac:dyDescent="0.25">
      <c r="A264" t="s">
        <v>488</v>
      </c>
      <c r="B264" t="s">
        <v>378</v>
      </c>
      <c r="C264">
        <v>2</v>
      </c>
      <c r="D264" s="1">
        <v>43714</v>
      </c>
      <c r="E264" s="1">
        <v>43717</v>
      </c>
      <c r="F264" s="2">
        <v>1744</v>
      </c>
      <c r="G264" s="2">
        <v>1744</v>
      </c>
      <c r="I264" t="s">
        <v>111</v>
      </c>
      <c r="J264" t="s">
        <v>18</v>
      </c>
    </row>
    <row r="265" spans="1:10" x14ac:dyDescent="0.25">
      <c r="A265" t="s">
        <v>489</v>
      </c>
      <c r="C265">
        <v>16</v>
      </c>
      <c r="D265" s="1">
        <v>43742</v>
      </c>
      <c r="E265" s="1">
        <v>43763</v>
      </c>
      <c r="F265" s="2">
        <v>16062</v>
      </c>
      <c r="G265" s="2">
        <v>16062</v>
      </c>
      <c r="H265">
        <v>0</v>
      </c>
    </row>
    <row r="266" spans="1:10" x14ac:dyDescent="0.25">
      <c r="A266" t="s">
        <v>490</v>
      </c>
      <c r="B266" t="s">
        <v>285</v>
      </c>
      <c r="C266">
        <v>3</v>
      </c>
      <c r="D266" s="1">
        <v>43742</v>
      </c>
      <c r="E266" s="1">
        <v>43746</v>
      </c>
      <c r="F266" s="2">
        <v>13278</v>
      </c>
      <c r="G266" s="2">
        <v>13278</v>
      </c>
      <c r="I266" t="s">
        <v>32</v>
      </c>
      <c r="J266" t="s">
        <v>152</v>
      </c>
    </row>
    <row r="267" spans="1:10" x14ac:dyDescent="0.25">
      <c r="A267" t="s">
        <v>491</v>
      </c>
      <c r="B267" t="s">
        <v>154</v>
      </c>
      <c r="C267">
        <v>13</v>
      </c>
      <c r="D267" s="1">
        <v>43747</v>
      </c>
      <c r="E267" s="1">
        <v>43763</v>
      </c>
      <c r="F267" s="2">
        <v>2784</v>
      </c>
      <c r="G267" s="2">
        <v>2784</v>
      </c>
      <c r="I267" t="s">
        <v>32</v>
      </c>
      <c r="J267" t="s">
        <v>18</v>
      </c>
    </row>
    <row r="268" spans="1:10" x14ac:dyDescent="0.25">
      <c r="A268" t="s">
        <v>492</v>
      </c>
      <c r="C268">
        <v>137</v>
      </c>
      <c r="D268" s="1">
        <v>43662</v>
      </c>
      <c r="E268" s="1">
        <v>43867</v>
      </c>
      <c r="F268" s="2">
        <v>249421</v>
      </c>
      <c r="G268" s="2">
        <v>249421</v>
      </c>
      <c r="H268">
        <v>90</v>
      </c>
    </row>
    <row r="269" spans="1:10" x14ac:dyDescent="0.25">
      <c r="A269" t="s">
        <v>493</v>
      </c>
      <c r="B269" t="s">
        <v>194</v>
      </c>
      <c r="C269">
        <v>60</v>
      </c>
      <c r="D269" s="1">
        <v>43662</v>
      </c>
      <c r="E269" s="1">
        <v>43746</v>
      </c>
      <c r="F269" s="2">
        <v>10900</v>
      </c>
      <c r="G269" s="2">
        <v>10900</v>
      </c>
      <c r="I269" t="s">
        <v>362</v>
      </c>
      <c r="J269" t="s">
        <v>18</v>
      </c>
    </row>
    <row r="270" spans="1:10" x14ac:dyDescent="0.25">
      <c r="A270" t="s">
        <v>494</v>
      </c>
      <c r="B270" t="s">
        <v>165</v>
      </c>
      <c r="C270">
        <v>5</v>
      </c>
      <c r="D270" s="1">
        <v>43747</v>
      </c>
      <c r="E270" s="1">
        <v>43753</v>
      </c>
      <c r="F270" s="2">
        <v>6470</v>
      </c>
      <c r="G270" s="2">
        <v>6470</v>
      </c>
      <c r="I270" t="s">
        <v>261</v>
      </c>
      <c r="J270" t="s">
        <v>18</v>
      </c>
    </row>
    <row r="271" spans="1:10" x14ac:dyDescent="0.25">
      <c r="A271" t="s">
        <v>495</v>
      </c>
      <c r="B271" t="s">
        <v>168</v>
      </c>
      <c r="C271">
        <v>5</v>
      </c>
      <c r="D271" s="1">
        <v>43754</v>
      </c>
      <c r="E271" s="1">
        <v>43760</v>
      </c>
      <c r="F271" s="2">
        <v>16550</v>
      </c>
      <c r="G271" s="2">
        <v>16550</v>
      </c>
      <c r="H271">
        <v>90</v>
      </c>
      <c r="I271" t="s">
        <v>161</v>
      </c>
      <c r="J271" t="s">
        <v>18</v>
      </c>
    </row>
    <row r="272" spans="1:10" x14ac:dyDescent="0.25">
      <c r="A272" t="s">
        <v>496</v>
      </c>
      <c r="B272" t="s">
        <v>497</v>
      </c>
      <c r="C272">
        <v>1</v>
      </c>
      <c r="D272" s="1">
        <v>43761</v>
      </c>
      <c r="E272" s="1">
        <v>43761</v>
      </c>
      <c r="F272" s="2">
        <v>554.5</v>
      </c>
      <c r="G272" s="2">
        <v>554.5</v>
      </c>
      <c r="I272" t="s">
        <v>161</v>
      </c>
      <c r="J272" t="s">
        <v>18</v>
      </c>
    </row>
    <row r="273" spans="1:10" x14ac:dyDescent="0.25">
      <c r="A273" t="s">
        <v>498</v>
      </c>
      <c r="B273" t="s">
        <v>499</v>
      </c>
      <c r="C273">
        <v>2</v>
      </c>
      <c r="D273" s="1">
        <v>43762</v>
      </c>
      <c r="E273" s="1">
        <v>43763</v>
      </c>
      <c r="F273" s="2">
        <v>2116</v>
      </c>
      <c r="G273" s="2">
        <v>2116</v>
      </c>
      <c r="I273" t="s">
        <v>161</v>
      </c>
      <c r="J273" t="s">
        <v>500</v>
      </c>
    </row>
    <row r="274" spans="1:10" x14ac:dyDescent="0.25">
      <c r="A274" t="s">
        <v>501</v>
      </c>
      <c r="B274" t="s">
        <v>149</v>
      </c>
      <c r="C274">
        <v>30</v>
      </c>
      <c r="D274" s="1">
        <v>43766</v>
      </c>
      <c r="E274" s="1">
        <v>43809</v>
      </c>
      <c r="F274" s="2">
        <v>194460</v>
      </c>
      <c r="G274" s="2">
        <v>194460</v>
      </c>
      <c r="I274" t="s">
        <v>161</v>
      </c>
      <c r="J274" t="s">
        <v>502</v>
      </c>
    </row>
    <row r="275" spans="1:10" x14ac:dyDescent="0.25">
      <c r="A275" t="s">
        <v>503</v>
      </c>
      <c r="B275" t="s">
        <v>504</v>
      </c>
      <c r="C275">
        <v>1</v>
      </c>
      <c r="D275" s="1">
        <v>43810</v>
      </c>
      <c r="E275" s="1">
        <v>43810</v>
      </c>
      <c r="F275" s="2">
        <v>1058</v>
      </c>
      <c r="G275" s="2">
        <v>1058</v>
      </c>
      <c r="I275" t="s">
        <v>161</v>
      </c>
      <c r="J275" t="s">
        <v>502</v>
      </c>
    </row>
    <row r="276" spans="1:10" x14ac:dyDescent="0.25">
      <c r="A276" t="s">
        <v>505</v>
      </c>
      <c r="B276" t="s">
        <v>506</v>
      </c>
      <c r="C276">
        <v>1</v>
      </c>
      <c r="D276" s="1">
        <v>43811</v>
      </c>
      <c r="E276" s="1">
        <v>43811</v>
      </c>
      <c r="F276" s="2">
        <v>554.5</v>
      </c>
      <c r="G276" s="2">
        <v>554.5</v>
      </c>
      <c r="I276" t="s">
        <v>161</v>
      </c>
      <c r="J276" t="s">
        <v>500</v>
      </c>
    </row>
    <row r="277" spans="1:10" x14ac:dyDescent="0.25">
      <c r="A277" t="s">
        <v>507</v>
      </c>
      <c r="B277" t="s">
        <v>176</v>
      </c>
      <c r="C277">
        <v>2</v>
      </c>
      <c r="D277" s="1">
        <v>43812</v>
      </c>
      <c r="E277" s="1">
        <v>43815</v>
      </c>
      <c r="F277" s="2">
        <v>2588</v>
      </c>
      <c r="G277" s="2">
        <v>2588</v>
      </c>
      <c r="I277" t="s">
        <v>261</v>
      </c>
      <c r="J277" t="s">
        <v>18</v>
      </c>
    </row>
    <row r="278" spans="1:10" x14ac:dyDescent="0.25">
      <c r="A278" t="s">
        <v>508</v>
      </c>
      <c r="B278" t="s">
        <v>154</v>
      </c>
      <c r="C278">
        <v>30</v>
      </c>
      <c r="D278" s="1">
        <v>43816</v>
      </c>
      <c r="E278" s="1">
        <v>43867</v>
      </c>
      <c r="F278" s="2">
        <v>14170</v>
      </c>
      <c r="G278" s="2">
        <v>14170</v>
      </c>
      <c r="I278" t="s">
        <v>362</v>
      </c>
      <c r="J278" t="s">
        <v>18</v>
      </c>
    </row>
    <row r="279" spans="1:10" x14ac:dyDescent="0.25">
      <c r="A279" t="s">
        <v>509</v>
      </c>
      <c r="C279">
        <v>2</v>
      </c>
      <c r="D279" s="1">
        <v>43805</v>
      </c>
      <c r="E279" s="1">
        <v>43808</v>
      </c>
      <c r="F279" s="2">
        <v>1744</v>
      </c>
      <c r="G279" s="2">
        <v>1744</v>
      </c>
      <c r="H279">
        <v>0</v>
      </c>
    </row>
    <row r="280" spans="1:10" x14ac:dyDescent="0.25">
      <c r="A280" t="s">
        <v>510</v>
      </c>
      <c r="B280" t="s">
        <v>385</v>
      </c>
      <c r="C280">
        <v>2</v>
      </c>
      <c r="D280" s="1">
        <v>43805</v>
      </c>
      <c r="E280" s="1">
        <v>43808</v>
      </c>
      <c r="F280" s="2">
        <v>1744</v>
      </c>
      <c r="G280" s="2">
        <v>1744</v>
      </c>
      <c r="I280" t="s">
        <v>111</v>
      </c>
      <c r="J280" t="s">
        <v>18</v>
      </c>
    </row>
    <row r="281" spans="1:10" x14ac:dyDescent="0.25">
      <c r="A281" t="s">
        <v>386</v>
      </c>
      <c r="C281">
        <v>15</v>
      </c>
      <c r="D281" s="1">
        <v>43832</v>
      </c>
      <c r="E281" s="1">
        <v>43853</v>
      </c>
      <c r="F281" s="2">
        <v>15960</v>
      </c>
      <c r="G281" s="2">
        <v>15960</v>
      </c>
      <c r="H281">
        <v>0</v>
      </c>
    </row>
    <row r="282" spans="1:10" x14ac:dyDescent="0.25">
      <c r="A282" t="s">
        <v>511</v>
      </c>
      <c r="B282" t="s">
        <v>149</v>
      </c>
      <c r="C282">
        <v>15</v>
      </c>
      <c r="D282" t="s">
        <v>24</v>
      </c>
      <c r="E282" s="1">
        <v>43853</v>
      </c>
      <c r="F282" s="2">
        <v>15960</v>
      </c>
      <c r="G282" s="2">
        <v>15960</v>
      </c>
      <c r="I282" t="s">
        <v>161</v>
      </c>
      <c r="J282" t="s">
        <v>18</v>
      </c>
    </row>
    <row r="283" spans="1:10" x14ac:dyDescent="0.25">
      <c r="A283" t="s">
        <v>512</v>
      </c>
      <c r="C283">
        <v>134</v>
      </c>
      <c r="D283" s="1">
        <v>43753</v>
      </c>
      <c r="E283" s="1">
        <v>43952</v>
      </c>
      <c r="F283" s="2">
        <v>50902</v>
      </c>
      <c r="G283" s="2">
        <v>50902</v>
      </c>
      <c r="H283">
        <v>32</v>
      </c>
    </row>
    <row r="284" spans="1:10" x14ac:dyDescent="0.25">
      <c r="A284" t="s">
        <v>513</v>
      </c>
      <c r="B284" t="s">
        <v>248</v>
      </c>
      <c r="C284">
        <v>60</v>
      </c>
      <c r="D284" s="1">
        <v>43753</v>
      </c>
      <c r="E284" s="1">
        <v>43847</v>
      </c>
      <c r="F284" s="2">
        <v>4723.33</v>
      </c>
      <c r="G284" s="2">
        <v>4723.33</v>
      </c>
      <c r="I284" t="s">
        <v>280</v>
      </c>
      <c r="J284" t="s">
        <v>18</v>
      </c>
    </row>
    <row r="285" spans="1:10" x14ac:dyDescent="0.25">
      <c r="A285" t="s">
        <v>514</v>
      </c>
      <c r="B285" t="s">
        <v>252</v>
      </c>
      <c r="C285">
        <v>3</v>
      </c>
      <c r="D285" s="1">
        <v>43851</v>
      </c>
      <c r="E285" s="1">
        <v>43853</v>
      </c>
      <c r="F285" s="2">
        <v>3161</v>
      </c>
      <c r="G285" s="2">
        <v>3161</v>
      </c>
      <c r="I285" t="s">
        <v>280</v>
      </c>
      <c r="J285" t="s">
        <v>18</v>
      </c>
    </row>
    <row r="286" spans="1:10" x14ac:dyDescent="0.25">
      <c r="A286" t="s">
        <v>515</v>
      </c>
      <c r="B286" t="s">
        <v>258</v>
      </c>
      <c r="C286">
        <v>2</v>
      </c>
      <c r="D286" s="1">
        <v>43854</v>
      </c>
      <c r="E286" s="1">
        <v>43857</v>
      </c>
      <c r="F286" s="2">
        <v>3314.67</v>
      </c>
      <c r="G286" s="2">
        <v>3314.67</v>
      </c>
      <c r="I286" t="s">
        <v>261</v>
      </c>
      <c r="J286" t="s">
        <v>18</v>
      </c>
    </row>
    <row r="287" spans="1:10" x14ac:dyDescent="0.25">
      <c r="A287" t="s">
        <v>516</v>
      </c>
      <c r="B287" t="s">
        <v>255</v>
      </c>
      <c r="C287">
        <v>3</v>
      </c>
      <c r="D287" s="1">
        <v>43858</v>
      </c>
      <c r="E287" s="1">
        <v>43860</v>
      </c>
      <c r="F287" s="2">
        <v>6519</v>
      </c>
      <c r="G287" s="2">
        <v>6519</v>
      </c>
      <c r="H287">
        <v>32</v>
      </c>
      <c r="I287" t="s">
        <v>280</v>
      </c>
      <c r="J287" t="s">
        <v>18</v>
      </c>
    </row>
    <row r="288" spans="1:10" x14ac:dyDescent="0.25">
      <c r="A288" t="s">
        <v>517</v>
      </c>
      <c r="B288" t="s">
        <v>263</v>
      </c>
      <c r="C288">
        <v>2</v>
      </c>
      <c r="D288" s="1">
        <v>43859</v>
      </c>
      <c r="E288" s="1">
        <v>43860</v>
      </c>
      <c r="F288" s="2">
        <v>16216</v>
      </c>
      <c r="G288" s="2">
        <v>16216</v>
      </c>
      <c r="I288" t="s">
        <v>280</v>
      </c>
      <c r="J288" t="s">
        <v>18</v>
      </c>
    </row>
    <row r="289" spans="1:10" x14ac:dyDescent="0.25">
      <c r="A289" t="s">
        <v>518</v>
      </c>
      <c r="B289" t="s">
        <v>149</v>
      </c>
      <c r="C289">
        <v>2</v>
      </c>
      <c r="D289" s="1">
        <v>43861</v>
      </c>
      <c r="E289" s="1">
        <v>43864</v>
      </c>
      <c r="F289" s="2">
        <v>4120</v>
      </c>
      <c r="G289" s="2">
        <v>4120</v>
      </c>
      <c r="I289" t="s">
        <v>280</v>
      </c>
      <c r="J289" t="s">
        <v>18</v>
      </c>
    </row>
    <row r="290" spans="1:10" x14ac:dyDescent="0.25">
      <c r="A290" t="s">
        <v>519</v>
      </c>
      <c r="B290" t="s">
        <v>176</v>
      </c>
      <c r="C290">
        <v>1</v>
      </c>
      <c r="D290" s="1">
        <v>43865</v>
      </c>
      <c r="E290" s="1">
        <v>43865</v>
      </c>
      <c r="F290" s="2">
        <v>1948</v>
      </c>
      <c r="G290" s="2">
        <v>1948</v>
      </c>
      <c r="I290" t="s">
        <v>261</v>
      </c>
      <c r="J290" t="s">
        <v>18</v>
      </c>
    </row>
    <row r="291" spans="1:10" x14ac:dyDescent="0.25">
      <c r="A291" t="s">
        <v>520</v>
      </c>
      <c r="B291" t="s">
        <v>275</v>
      </c>
      <c r="C291">
        <v>3</v>
      </c>
      <c r="D291" s="1">
        <v>43865</v>
      </c>
      <c r="E291" s="1">
        <v>43867</v>
      </c>
      <c r="F291" s="2">
        <v>2180</v>
      </c>
      <c r="G291" s="2">
        <v>2180</v>
      </c>
      <c r="I291" t="s">
        <v>280</v>
      </c>
      <c r="J291" t="s">
        <v>18</v>
      </c>
    </row>
    <row r="292" spans="1:10" x14ac:dyDescent="0.25">
      <c r="A292" t="s">
        <v>521</v>
      </c>
      <c r="B292" t="s">
        <v>479</v>
      </c>
      <c r="C292">
        <v>61</v>
      </c>
      <c r="D292" s="1">
        <v>43868</v>
      </c>
      <c r="E292" s="1">
        <v>43952</v>
      </c>
      <c r="F292" s="2">
        <v>8720</v>
      </c>
      <c r="G292" s="2">
        <v>8720</v>
      </c>
      <c r="I292" t="s">
        <v>280</v>
      </c>
      <c r="J292" t="s">
        <v>18</v>
      </c>
    </row>
    <row r="293" spans="1:10" x14ac:dyDescent="0.25">
      <c r="A293" t="s">
        <v>522</v>
      </c>
      <c r="C293">
        <v>34</v>
      </c>
      <c r="D293" s="1">
        <v>43844</v>
      </c>
      <c r="E293" s="1">
        <v>43892</v>
      </c>
      <c r="F293" s="2">
        <v>54748.33</v>
      </c>
      <c r="G293" s="2">
        <v>54748.33</v>
      </c>
      <c r="H293">
        <v>16</v>
      </c>
    </row>
    <row r="294" spans="1:10" x14ac:dyDescent="0.25">
      <c r="A294" t="s">
        <v>523</v>
      </c>
      <c r="B294" t="s">
        <v>194</v>
      </c>
      <c r="C294">
        <v>15</v>
      </c>
      <c r="D294" s="1">
        <v>43844</v>
      </c>
      <c r="E294" s="1">
        <v>43865</v>
      </c>
      <c r="F294" s="2">
        <v>4905</v>
      </c>
      <c r="G294" s="2">
        <v>4905</v>
      </c>
      <c r="I294" t="s">
        <v>362</v>
      </c>
      <c r="J294" t="s">
        <v>18</v>
      </c>
    </row>
    <row r="295" spans="1:10" x14ac:dyDescent="0.25">
      <c r="A295" t="s">
        <v>524</v>
      </c>
      <c r="B295" t="s">
        <v>165</v>
      </c>
      <c r="C295">
        <v>4</v>
      </c>
      <c r="D295" s="1">
        <v>43866</v>
      </c>
      <c r="E295" s="1">
        <v>43871</v>
      </c>
      <c r="F295" s="2">
        <v>10732</v>
      </c>
      <c r="G295" s="2">
        <v>10732</v>
      </c>
      <c r="I295" t="s">
        <v>362</v>
      </c>
      <c r="J295" t="s">
        <v>18</v>
      </c>
    </row>
    <row r="296" spans="1:10" x14ac:dyDescent="0.25">
      <c r="A296" t="s">
        <v>525</v>
      </c>
      <c r="B296" t="s">
        <v>168</v>
      </c>
      <c r="C296">
        <v>2</v>
      </c>
      <c r="D296" s="1">
        <v>43872</v>
      </c>
      <c r="E296" s="1">
        <v>43873</v>
      </c>
      <c r="F296" s="2">
        <v>2964</v>
      </c>
      <c r="G296" s="2">
        <v>2964</v>
      </c>
      <c r="H296">
        <v>16</v>
      </c>
      <c r="I296" t="s">
        <v>161</v>
      </c>
      <c r="J296" t="s">
        <v>18</v>
      </c>
    </row>
    <row r="297" spans="1:10" x14ac:dyDescent="0.25">
      <c r="A297" t="s">
        <v>526</v>
      </c>
      <c r="B297" t="s">
        <v>149</v>
      </c>
      <c r="C297">
        <v>10</v>
      </c>
      <c r="D297" s="1">
        <v>43874</v>
      </c>
      <c r="E297" s="1">
        <v>43887</v>
      </c>
      <c r="F297" s="2">
        <v>32033.33</v>
      </c>
      <c r="G297" s="2">
        <v>32033.33</v>
      </c>
      <c r="I297" t="s">
        <v>362</v>
      </c>
      <c r="J297" t="s">
        <v>18</v>
      </c>
    </row>
    <row r="298" spans="1:10" x14ac:dyDescent="0.25">
      <c r="A298" t="s">
        <v>527</v>
      </c>
      <c r="B298" t="s">
        <v>176</v>
      </c>
      <c r="C298">
        <v>1</v>
      </c>
      <c r="D298" s="1">
        <v>43888</v>
      </c>
      <c r="E298" s="1">
        <v>43888</v>
      </c>
      <c r="F298" s="2">
        <v>1498</v>
      </c>
      <c r="G298" s="2">
        <v>1498</v>
      </c>
      <c r="I298" t="s">
        <v>161</v>
      </c>
      <c r="J298" t="s">
        <v>18</v>
      </c>
    </row>
    <row r="299" spans="1:10" x14ac:dyDescent="0.25">
      <c r="A299" t="s">
        <v>528</v>
      </c>
      <c r="B299" t="s">
        <v>368</v>
      </c>
      <c r="C299">
        <v>2</v>
      </c>
      <c r="D299" s="1">
        <v>43889</v>
      </c>
      <c r="E299" s="1">
        <v>43892</v>
      </c>
      <c r="F299" s="2">
        <v>2616</v>
      </c>
      <c r="G299" s="2">
        <v>2616</v>
      </c>
      <c r="I299" t="s">
        <v>362</v>
      </c>
      <c r="J299" t="s">
        <v>18</v>
      </c>
    </row>
    <row r="300" spans="1:10" x14ac:dyDescent="0.25">
      <c r="A300" t="s">
        <v>529</v>
      </c>
      <c r="C300">
        <v>2</v>
      </c>
      <c r="D300" s="1">
        <v>43880</v>
      </c>
      <c r="E300" s="1">
        <v>43881</v>
      </c>
      <c r="F300" s="2">
        <v>1744</v>
      </c>
      <c r="G300" s="2">
        <v>1744</v>
      </c>
      <c r="H300">
        <v>0</v>
      </c>
    </row>
    <row r="301" spans="1:10" x14ac:dyDescent="0.25">
      <c r="A301" t="s">
        <v>530</v>
      </c>
      <c r="B301" t="s">
        <v>397</v>
      </c>
      <c r="C301">
        <v>2</v>
      </c>
      <c r="D301" s="1">
        <v>43880</v>
      </c>
      <c r="E301" s="1">
        <v>43881</v>
      </c>
      <c r="F301" s="2">
        <v>1744</v>
      </c>
      <c r="G301" s="2">
        <v>1744</v>
      </c>
      <c r="I301" t="s">
        <v>111</v>
      </c>
      <c r="J301" t="s">
        <v>18</v>
      </c>
    </row>
    <row r="302" spans="1:10" x14ac:dyDescent="0.25">
      <c r="A302" t="s">
        <v>531</v>
      </c>
      <c r="C302">
        <v>24</v>
      </c>
      <c r="D302" s="1">
        <v>43889</v>
      </c>
      <c r="E302" s="1">
        <v>43922</v>
      </c>
      <c r="F302" s="2">
        <v>28961</v>
      </c>
      <c r="G302" s="2">
        <v>28961</v>
      </c>
      <c r="H302">
        <v>16</v>
      </c>
    </row>
    <row r="303" spans="1:10" x14ac:dyDescent="0.25">
      <c r="A303" t="s">
        <v>532</v>
      </c>
      <c r="B303" t="s">
        <v>165</v>
      </c>
      <c r="C303">
        <v>1</v>
      </c>
      <c r="D303" s="1">
        <v>43889</v>
      </c>
      <c r="E303" s="1">
        <v>43889</v>
      </c>
      <c r="F303" s="2">
        <v>1076</v>
      </c>
      <c r="G303" s="2">
        <v>1076</v>
      </c>
      <c r="I303" t="s">
        <v>161</v>
      </c>
      <c r="J303" t="s">
        <v>18</v>
      </c>
    </row>
    <row r="304" spans="1:10" x14ac:dyDescent="0.25">
      <c r="A304" t="s">
        <v>533</v>
      </c>
      <c r="B304" t="s">
        <v>168</v>
      </c>
      <c r="C304">
        <v>2</v>
      </c>
      <c r="D304" s="1">
        <v>43892</v>
      </c>
      <c r="E304" s="1">
        <v>43893</v>
      </c>
      <c r="F304" s="2">
        <v>3618</v>
      </c>
      <c r="G304" s="2">
        <v>3618</v>
      </c>
      <c r="H304">
        <v>16</v>
      </c>
      <c r="I304" t="s">
        <v>161</v>
      </c>
      <c r="J304" t="s">
        <v>18</v>
      </c>
    </row>
    <row r="305" spans="1:10" x14ac:dyDescent="0.25">
      <c r="A305" t="s">
        <v>534</v>
      </c>
      <c r="B305" t="s">
        <v>149</v>
      </c>
      <c r="C305">
        <v>20</v>
      </c>
      <c r="D305" s="1">
        <v>43894</v>
      </c>
      <c r="E305" s="1">
        <v>43921</v>
      </c>
      <c r="F305" s="2">
        <v>22660</v>
      </c>
      <c r="G305" s="2">
        <v>22660</v>
      </c>
      <c r="I305" t="s">
        <v>161</v>
      </c>
      <c r="J305" t="s">
        <v>18</v>
      </c>
    </row>
    <row r="306" spans="1:10" x14ac:dyDescent="0.25">
      <c r="A306" t="s">
        <v>535</v>
      </c>
      <c r="B306" t="s">
        <v>176</v>
      </c>
      <c r="C306">
        <v>1</v>
      </c>
      <c r="D306" s="1">
        <v>43922</v>
      </c>
      <c r="E306" s="1">
        <v>43922</v>
      </c>
      <c r="F306" s="2">
        <v>1607</v>
      </c>
      <c r="G306" s="2">
        <v>1607</v>
      </c>
      <c r="I306" t="s">
        <v>161</v>
      </c>
      <c r="J306" t="s">
        <v>18</v>
      </c>
    </row>
    <row r="307" spans="1:10" x14ac:dyDescent="0.25">
      <c r="A307" t="s">
        <v>536</v>
      </c>
      <c r="C307">
        <v>77</v>
      </c>
      <c r="D307" s="1">
        <v>43909</v>
      </c>
      <c r="E307" s="1">
        <v>44019</v>
      </c>
      <c r="F307" s="2">
        <v>21496</v>
      </c>
      <c r="G307" s="2">
        <v>21496</v>
      </c>
      <c r="H307">
        <v>24</v>
      </c>
    </row>
    <row r="308" spans="1:10" x14ac:dyDescent="0.25">
      <c r="A308" t="s">
        <v>537</v>
      </c>
      <c r="B308" t="s">
        <v>194</v>
      </c>
      <c r="C308">
        <v>10</v>
      </c>
      <c r="D308" s="1">
        <v>43909</v>
      </c>
      <c r="E308" s="1">
        <v>43922</v>
      </c>
      <c r="F308" s="2">
        <v>2180</v>
      </c>
      <c r="G308" s="2">
        <v>2180</v>
      </c>
      <c r="I308" t="s">
        <v>161</v>
      </c>
      <c r="J308" t="s">
        <v>18</v>
      </c>
    </row>
    <row r="309" spans="1:10" x14ac:dyDescent="0.25">
      <c r="A309" t="s">
        <v>538</v>
      </c>
      <c r="B309" t="s">
        <v>165</v>
      </c>
      <c r="C309">
        <v>3</v>
      </c>
      <c r="D309" s="1">
        <v>43923</v>
      </c>
      <c r="E309" s="1">
        <v>43927</v>
      </c>
      <c r="F309" s="2">
        <v>4536</v>
      </c>
      <c r="G309" s="2">
        <v>4536</v>
      </c>
      <c r="I309" t="s">
        <v>161</v>
      </c>
      <c r="J309" t="s">
        <v>18</v>
      </c>
    </row>
    <row r="310" spans="1:10" x14ac:dyDescent="0.25">
      <c r="A310" t="s">
        <v>539</v>
      </c>
      <c r="B310" t="s">
        <v>168</v>
      </c>
      <c r="C310">
        <v>2</v>
      </c>
      <c r="D310" s="1">
        <v>43928</v>
      </c>
      <c r="E310" s="1">
        <v>43929</v>
      </c>
      <c r="F310" s="2">
        <v>5878</v>
      </c>
      <c r="G310" s="2">
        <v>5878</v>
      </c>
      <c r="H310">
        <v>24</v>
      </c>
      <c r="I310" t="s">
        <v>161</v>
      </c>
      <c r="J310" t="s">
        <v>18</v>
      </c>
    </row>
    <row r="311" spans="1:10" x14ac:dyDescent="0.25">
      <c r="A311" t="s">
        <v>540</v>
      </c>
      <c r="B311" t="s">
        <v>149</v>
      </c>
      <c r="C311">
        <v>2</v>
      </c>
      <c r="D311" s="1">
        <v>43930</v>
      </c>
      <c r="E311" s="1">
        <v>43931</v>
      </c>
      <c r="F311" s="2">
        <v>3248</v>
      </c>
      <c r="G311" s="2">
        <v>3248</v>
      </c>
      <c r="I311" t="s">
        <v>161</v>
      </c>
      <c r="J311" t="s">
        <v>18</v>
      </c>
    </row>
    <row r="312" spans="1:10" x14ac:dyDescent="0.25">
      <c r="A312" t="s">
        <v>541</v>
      </c>
      <c r="B312" t="s">
        <v>176</v>
      </c>
      <c r="C312">
        <v>1</v>
      </c>
      <c r="D312" s="1">
        <v>43934</v>
      </c>
      <c r="E312" s="1">
        <v>43934</v>
      </c>
      <c r="F312" s="2">
        <v>1294</v>
      </c>
      <c r="G312" s="2">
        <v>1294</v>
      </c>
      <c r="I312" t="s">
        <v>161</v>
      </c>
      <c r="J312" t="s">
        <v>18</v>
      </c>
    </row>
    <row r="313" spans="1:10" x14ac:dyDescent="0.25">
      <c r="A313" t="s">
        <v>542</v>
      </c>
      <c r="B313" t="s">
        <v>479</v>
      </c>
      <c r="C313">
        <v>60</v>
      </c>
      <c r="D313" s="1">
        <v>43934</v>
      </c>
      <c r="E313" s="1">
        <v>44019</v>
      </c>
      <c r="F313" s="2">
        <v>4360</v>
      </c>
      <c r="G313" s="2">
        <v>4360</v>
      </c>
      <c r="I313" t="s">
        <v>161</v>
      </c>
      <c r="J313" t="s">
        <v>18</v>
      </c>
    </row>
    <row r="314" spans="1:10" x14ac:dyDescent="0.25">
      <c r="A314" t="s">
        <v>543</v>
      </c>
      <c r="C314">
        <v>19</v>
      </c>
      <c r="D314" s="1">
        <v>43935</v>
      </c>
      <c r="E314" s="1">
        <v>43959</v>
      </c>
      <c r="F314" s="2">
        <v>23296</v>
      </c>
      <c r="G314" s="2">
        <v>23296</v>
      </c>
      <c r="H314">
        <v>16</v>
      </c>
    </row>
    <row r="315" spans="1:10" x14ac:dyDescent="0.25">
      <c r="A315" t="s">
        <v>544</v>
      </c>
      <c r="B315" t="s">
        <v>165</v>
      </c>
      <c r="C315">
        <v>1</v>
      </c>
      <c r="D315" s="1">
        <v>43935</v>
      </c>
      <c r="E315" s="1">
        <v>43935</v>
      </c>
      <c r="F315" s="2">
        <v>1076</v>
      </c>
      <c r="G315" s="2">
        <v>1076</v>
      </c>
      <c r="I315" t="s">
        <v>161</v>
      </c>
      <c r="J315" t="s">
        <v>18</v>
      </c>
    </row>
    <row r="316" spans="1:10" x14ac:dyDescent="0.25">
      <c r="A316" t="s">
        <v>545</v>
      </c>
      <c r="B316" t="s">
        <v>168</v>
      </c>
      <c r="C316">
        <v>2</v>
      </c>
      <c r="D316" s="1">
        <v>43936</v>
      </c>
      <c r="E316" s="1">
        <v>43937</v>
      </c>
      <c r="F316" s="2">
        <v>3618</v>
      </c>
      <c r="G316" s="2">
        <v>3618</v>
      </c>
      <c r="H316">
        <v>16</v>
      </c>
      <c r="I316" t="s">
        <v>161</v>
      </c>
      <c r="J316" t="s">
        <v>18</v>
      </c>
    </row>
    <row r="317" spans="1:10" x14ac:dyDescent="0.25">
      <c r="A317" t="s">
        <v>546</v>
      </c>
      <c r="B317" t="s">
        <v>149</v>
      </c>
      <c r="C317">
        <v>15</v>
      </c>
      <c r="D317" s="1">
        <v>43938</v>
      </c>
      <c r="E317" s="1">
        <v>43958</v>
      </c>
      <c r="F317" s="2">
        <v>16995</v>
      </c>
      <c r="G317" s="2">
        <v>16995</v>
      </c>
      <c r="I317" t="s">
        <v>161</v>
      </c>
      <c r="J317" t="s">
        <v>18</v>
      </c>
    </row>
    <row r="318" spans="1:10" x14ac:dyDescent="0.25">
      <c r="A318" t="s">
        <v>547</v>
      </c>
      <c r="B318" t="s">
        <v>176</v>
      </c>
      <c r="C318">
        <v>1</v>
      </c>
      <c r="D318" s="1">
        <v>43959</v>
      </c>
      <c r="E318" s="1">
        <v>43959</v>
      </c>
      <c r="F318" s="2">
        <v>1607</v>
      </c>
      <c r="G318" s="2">
        <v>1607</v>
      </c>
      <c r="I318" t="s">
        <v>161</v>
      </c>
      <c r="J318" t="s">
        <v>18</v>
      </c>
    </row>
    <row r="319" spans="1:10" x14ac:dyDescent="0.25">
      <c r="A319" t="s">
        <v>548</v>
      </c>
      <c r="C319">
        <v>20</v>
      </c>
      <c r="D319" s="1">
        <v>43948</v>
      </c>
      <c r="E319" s="1">
        <v>43973</v>
      </c>
      <c r="F319" s="2">
        <v>12345.5</v>
      </c>
      <c r="G319" s="2">
        <v>12345.5</v>
      </c>
      <c r="H319">
        <v>32</v>
      </c>
    </row>
    <row r="320" spans="1:10" x14ac:dyDescent="0.25">
      <c r="A320" t="s">
        <v>549</v>
      </c>
      <c r="B320" t="s">
        <v>194</v>
      </c>
      <c r="C320">
        <v>10</v>
      </c>
      <c r="D320" s="1">
        <v>43948</v>
      </c>
      <c r="E320" s="1">
        <v>43959</v>
      </c>
      <c r="F320" s="2">
        <v>1090</v>
      </c>
      <c r="G320" s="2">
        <v>1090</v>
      </c>
      <c r="I320" t="s">
        <v>161</v>
      </c>
      <c r="J320" t="s">
        <v>18</v>
      </c>
    </row>
    <row r="321" spans="1:10" x14ac:dyDescent="0.25">
      <c r="A321" t="s">
        <v>550</v>
      </c>
      <c r="B321" t="s">
        <v>165</v>
      </c>
      <c r="C321">
        <v>1</v>
      </c>
      <c r="D321" s="1">
        <v>43962</v>
      </c>
      <c r="E321" s="1">
        <v>43962</v>
      </c>
      <c r="F321" s="2">
        <v>1948</v>
      </c>
      <c r="G321" s="2">
        <v>1948</v>
      </c>
      <c r="I321" t="s">
        <v>161</v>
      </c>
      <c r="J321" t="s">
        <v>18</v>
      </c>
    </row>
    <row r="322" spans="1:10" x14ac:dyDescent="0.25">
      <c r="A322" t="s">
        <v>551</v>
      </c>
      <c r="B322" t="s">
        <v>168</v>
      </c>
      <c r="C322">
        <v>3</v>
      </c>
      <c r="D322" s="1">
        <v>43963</v>
      </c>
      <c r="E322" s="1">
        <v>43965</v>
      </c>
      <c r="F322" s="2">
        <v>5487</v>
      </c>
      <c r="G322" s="2">
        <v>5487</v>
      </c>
      <c r="H322">
        <v>32</v>
      </c>
      <c r="I322" t="s">
        <v>552</v>
      </c>
      <c r="J322" t="s">
        <v>18</v>
      </c>
    </row>
    <row r="323" spans="1:10" x14ac:dyDescent="0.25">
      <c r="A323" t="s">
        <v>553</v>
      </c>
      <c r="B323" t="s">
        <v>149</v>
      </c>
      <c r="C323">
        <v>5</v>
      </c>
      <c r="D323" s="1">
        <v>43966</v>
      </c>
      <c r="E323" s="1">
        <v>43972</v>
      </c>
      <c r="F323" s="2">
        <v>2962.5</v>
      </c>
      <c r="G323" s="2">
        <v>2962.5</v>
      </c>
      <c r="I323" t="s">
        <v>161</v>
      </c>
      <c r="J323" t="s">
        <v>18</v>
      </c>
    </row>
    <row r="324" spans="1:10" x14ac:dyDescent="0.25">
      <c r="A324" t="s">
        <v>554</v>
      </c>
      <c r="B324" t="s">
        <v>176</v>
      </c>
      <c r="C324">
        <v>1</v>
      </c>
      <c r="D324" s="1">
        <v>43973</v>
      </c>
      <c r="E324" s="1">
        <v>43973</v>
      </c>
      <c r="F324" s="2">
        <v>858</v>
      </c>
      <c r="G324" s="2">
        <v>858</v>
      </c>
      <c r="I324" t="s">
        <v>161</v>
      </c>
      <c r="J324" t="s">
        <v>18</v>
      </c>
    </row>
    <row r="325" spans="1:10" x14ac:dyDescent="0.25">
      <c r="A325" t="s">
        <v>555</v>
      </c>
      <c r="C325">
        <v>16</v>
      </c>
      <c r="D325" s="1">
        <v>43977</v>
      </c>
      <c r="E325" s="1">
        <v>43998</v>
      </c>
      <c r="F325" s="2">
        <v>16062</v>
      </c>
      <c r="G325" s="2">
        <v>16062</v>
      </c>
      <c r="H325">
        <v>0</v>
      </c>
    </row>
    <row r="326" spans="1:10" x14ac:dyDescent="0.25">
      <c r="A326" t="s">
        <v>556</v>
      </c>
      <c r="B326" t="s">
        <v>285</v>
      </c>
      <c r="C326">
        <v>3</v>
      </c>
      <c r="D326" s="1">
        <v>43977</v>
      </c>
      <c r="E326" s="1">
        <v>43979</v>
      </c>
      <c r="F326" s="2">
        <v>13278</v>
      </c>
      <c r="G326" s="2">
        <v>13278</v>
      </c>
      <c r="I326" t="s">
        <v>32</v>
      </c>
      <c r="J326" t="s">
        <v>152</v>
      </c>
    </row>
    <row r="327" spans="1:10" x14ac:dyDescent="0.25">
      <c r="A327" t="s">
        <v>557</v>
      </c>
      <c r="B327" t="s">
        <v>154</v>
      </c>
      <c r="C327">
        <v>13</v>
      </c>
      <c r="D327" s="1">
        <v>43980</v>
      </c>
      <c r="E327" s="1">
        <v>43998</v>
      </c>
      <c r="F327" s="2">
        <v>2784</v>
      </c>
      <c r="G327" s="2">
        <v>2784</v>
      </c>
      <c r="I327" t="s">
        <v>32</v>
      </c>
      <c r="J327" t="s">
        <v>18</v>
      </c>
    </row>
    <row r="328" spans="1:10" x14ac:dyDescent="0.25">
      <c r="A328" t="s">
        <v>558</v>
      </c>
      <c r="C328">
        <v>43</v>
      </c>
      <c r="D328" s="1">
        <v>43965</v>
      </c>
      <c r="E328" s="1">
        <v>44027</v>
      </c>
      <c r="F328" s="2">
        <v>46522</v>
      </c>
      <c r="G328" s="2">
        <v>46522</v>
      </c>
      <c r="H328">
        <v>0</v>
      </c>
    </row>
    <row r="329" spans="1:10" x14ac:dyDescent="0.25">
      <c r="A329" t="s">
        <v>559</v>
      </c>
      <c r="B329" t="s">
        <v>194</v>
      </c>
      <c r="C329">
        <v>10</v>
      </c>
      <c r="D329" s="1">
        <v>43965</v>
      </c>
      <c r="E329" s="1">
        <v>43979</v>
      </c>
      <c r="F329" s="2">
        <v>2180</v>
      </c>
      <c r="G329" s="2">
        <v>2180</v>
      </c>
      <c r="I329" t="s">
        <v>161</v>
      </c>
      <c r="J329" t="s">
        <v>18</v>
      </c>
    </row>
    <row r="330" spans="1:10" x14ac:dyDescent="0.25">
      <c r="A330" t="s">
        <v>560</v>
      </c>
      <c r="B330" t="s">
        <v>165</v>
      </c>
      <c r="C330">
        <v>3</v>
      </c>
      <c r="D330" s="1">
        <v>43980</v>
      </c>
      <c r="E330" s="1">
        <v>43984</v>
      </c>
      <c r="F330" s="2">
        <v>4536</v>
      </c>
      <c r="G330" s="2">
        <v>4536</v>
      </c>
      <c r="I330" t="s">
        <v>261</v>
      </c>
      <c r="J330" t="s">
        <v>18</v>
      </c>
    </row>
    <row r="331" spans="1:10" x14ac:dyDescent="0.25">
      <c r="A331" t="s">
        <v>561</v>
      </c>
      <c r="B331" t="s">
        <v>562</v>
      </c>
      <c r="C331">
        <v>2</v>
      </c>
      <c r="D331" s="1">
        <v>43983</v>
      </c>
      <c r="E331" s="1">
        <v>43984</v>
      </c>
      <c r="F331" s="2">
        <v>1498</v>
      </c>
      <c r="G331" s="2">
        <v>1498</v>
      </c>
      <c r="I331" t="s">
        <v>464</v>
      </c>
      <c r="J331" t="s">
        <v>18</v>
      </c>
    </row>
    <row r="332" spans="1:10" x14ac:dyDescent="0.25">
      <c r="A332" t="s">
        <v>563</v>
      </c>
      <c r="B332" t="s">
        <v>149</v>
      </c>
      <c r="C332">
        <v>10</v>
      </c>
      <c r="D332" s="1">
        <v>43985</v>
      </c>
      <c r="E332" s="1">
        <v>43998</v>
      </c>
      <c r="F332" s="2">
        <v>31360</v>
      </c>
      <c r="G332" s="2">
        <v>31360</v>
      </c>
      <c r="I332" t="s">
        <v>304</v>
      </c>
      <c r="J332" t="s">
        <v>18</v>
      </c>
    </row>
    <row r="333" spans="1:10" x14ac:dyDescent="0.25">
      <c r="A333" t="s">
        <v>564</v>
      </c>
      <c r="B333" t="s">
        <v>176</v>
      </c>
      <c r="C333">
        <v>2</v>
      </c>
      <c r="D333" s="1">
        <v>43999</v>
      </c>
      <c r="E333" s="1">
        <v>44000</v>
      </c>
      <c r="F333" s="2">
        <v>2588</v>
      </c>
      <c r="G333" s="2">
        <v>2588</v>
      </c>
      <c r="I333" t="s">
        <v>261</v>
      </c>
      <c r="J333" t="s">
        <v>18</v>
      </c>
    </row>
    <row r="334" spans="1:10" x14ac:dyDescent="0.25">
      <c r="A334" t="s">
        <v>565</v>
      </c>
      <c r="B334" t="s">
        <v>154</v>
      </c>
      <c r="C334">
        <v>20</v>
      </c>
      <c r="D334" s="1">
        <v>43999</v>
      </c>
      <c r="E334" s="1">
        <v>44027</v>
      </c>
      <c r="F334" s="2">
        <v>4360</v>
      </c>
      <c r="G334" s="2">
        <v>4360</v>
      </c>
      <c r="I334" t="s">
        <v>161</v>
      </c>
      <c r="J334" t="s">
        <v>18</v>
      </c>
    </row>
    <row r="335" spans="1:10" x14ac:dyDescent="0.25">
      <c r="A335" t="s">
        <v>566</v>
      </c>
      <c r="C335">
        <v>228</v>
      </c>
      <c r="D335" s="1">
        <v>43545</v>
      </c>
      <c r="E335" s="1">
        <v>43881</v>
      </c>
      <c r="F335" s="2">
        <v>461535.13</v>
      </c>
      <c r="G335" s="2">
        <v>461535.13</v>
      </c>
      <c r="H335">
        <v>323</v>
      </c>
    </row>
    <row r="336" spans="1:10" x14ac:dyDescent="0.25">
      <c r="A336" t="s">
        <v>180</v>
      </c>
      <c r="C336">
        <v>203</v>
      </c>
      <c r="D336" s="1">
        <v>43570</v>
      </c>
      <c r="E336" s="1">
        <v>43871</v>
      </c>
      <c r="F336" s="2">
        <v>0</v>
      </c>
      <c r="G336" s="2">
        <v>0</v>
      </c>
      <c r="H336">
        <v>0</v>
      </c>
    </row>
    <row r="337" spans="1:10" x14ac:dyDescent="0.25">
      <c r="A337" t="s">
        <v>567</v>
      </c>
      <c r="B337" t="s">
        <v>568</v>
      </c>
      <c r="C337">
        <v>0</v>
      </c>
      <c r="D337" s="1">
        <v>43570</v>
      </c>
      <c r="F337" s="2">
        <v>0</v>
      </c>
      <c r="G337" s="2">
        <v>0</v>
      </c>
      <c r="I337" t="s">
        <v>184</v>
      </c>
      <c r="J337" t="s">
        <v>18</v>
      </c>
    </row>
    <row r="338" spans="1:10" x14ac:dyDescent="0.25">
      <c r="A338" t="s">
        <v>569</v>
      </c>
      <c r="B338" t="s">
        <v>570</v>
      </c>
      <c r="C338">
        <v>193</v>
      </c>
      <c r="D338" s="1">
        <v>43570</v>
      </c>
      <c r="E338" s="1">
        <v>43857</v>
      </c>
      <c r="F338" s="2">
        <v>0</v>
      </c>
      <c r="G338" s="2">
        <v>0</v>
      </c>
      <c r="I338" t="s">
        <v>184</v>
      </c>
      <c r="J338" t="s">
        <v>18</v>
      </c>
    </row>
    <row r="339" spans="1:10" x14ac:dyDescent="0.25">
      <c r="A339" t="s">
        <v>571</v>
      </c>
      <c r="B339" t="s">
        <v>572</v>
      </c>
      <c r="C339">
        <v>0</v>
      </c>
      <c r="E339" s="1">
        <v>43857</v>
      </c>
      <c r="F339" s="2">
        <v>0</v>
      </c>
      <c r="G339" s="2">
        <v>0</v>
      </c>
      <c r="I339" t="s">
        <v>184</v>
      </c>
      <c r="J339" t="s">
        <v>18</v>
      </c>
    </row>
    <row r="340" spans="1:10" x14ac:dyDescent="0.25">
      <c r="A340" t="s">
        <v>573</v>
      </c>
      <c r="B340" t="s">
        <v>574</v>
      </c>
      <c r="C340">
        <v>0</v>
      </c>
      <c r="E340" s="1">
        <v>43871</v>
      </c>
      <c r="F340" s="2">
        <v>0</v>
      </c>
      <c r="G340" s="2">
        <v>0</v>
      </c>
      <c r="I340" t="s">
        <v>184</v>
      </c>
      <c r="J340" t="s">
        <v>18</v>
      </c>
    </row>
    <row r="341" spans="1:10" x14ac:dyDescent="0.25">
      <c r="A341" t="s">
        <v>575</v>
      </c>
      <c r="C341">
        <v>42</v>
      </c>
      <c r="D341" s="1">
        <v>43545</v>
      </c>
      <c r="E341" s="1">
        <v>43602</v>
      </c>
      <c r="F341" s="2">
        <v>45506</v>
      </c>
      <c r="G341" s="2">
        <v>45506</v>
      </c>
      <c r="H341">
        <v>0</v>
      </c>
    </row>
    <row r="342" spans="1:10" x14ac:dyDescent="0.25">
      <c r="A342" t="s">
        <v>576</v>
      </c>
      <c r="B342" t="s">
        <v>194</v>
      </c>
      <c r="C342">
        <v>17</v>
      </c>
      <c r="D342" s="1">
        <v>43545</v>
      </c>
      <c r="E342" s="1">
        <v>43567</v>
      </c>
      <c r="F342" s="2">
        <v>3706</v>
      </c>
      <c r="G342" s="2">
        <v>3706</v>
      </c>
      <c r="I342" t="s">
        <v>161</v>
      </c>
      <c r="J342" t="s">
        <v>18</v>
      </c>
    </row>
    <row r="343" spans="1:10" x14ac:dyDescent="0.25">
      <c r="A343" t="s">
        <v>577</v>
      </c>
      <c r="B343" t="s">
        <v>578</v>
      </c>
      <c r="C343">
        <v>25</v>
      </c>
      <c r="D343" t="s">
        <v>579</v>
      </c>
      <c r="E343" s="1">
        <v>43602</v>
      </c>
      <c r="F343" s="2">
        <v>41800</v>
      </c>
      <c r="G343" s="2">
        <v>41800</v>
      </c>
      <c r="I343" t="s">
        <v>161</v>
      </c>
      <c r="J343" t="s">
        <v>18</v>
      </c>
    </row>
    <row r="344" spans="1:10" x14ac:dyDescent="0.25">
      <c r="A344" t="s">
        <v>580</v>
      </c>
      <c r="C344">
        <v>15</v>
      </c>
      <c r="D344" s="1">
        <v>43605</v>
      </c>
      <c r="E344" s="1">
        <v>43626</v>
      </c>
      <c r="F344" s="2">
        <v>15502.5</v>
      </c>
      <c r="G344" s="2">
        <v>15502.5</v>
      </c>
      <c r="H344">
        <v>0</v>
      </c>
    </row>
    <row r="345" spans="1:10" x14ac:dyDescent="0.25">
      <c r="A345" t="s">
        <v>581</v>
      </c>
      <c r="B345" t="s">
        <v>149</v>
      </c>
      <c r="C345">
        <v>15</v>
      </c>
      <c r="D345" s="1">
        <v>43605</v>
      </c>
      <c r="E345" s="1">
        <v>43626</v>
      </c>
      <c r="F345" s="2">
        <v>15502.5</v>
      </c>
      <c r="G345" s="2">
        <v>15502.5</v>
      </c>
      <c r="I345" t="s">
        <v>161</v>
      </c>
      <c r="J345" t="s">
        <v>18</v>
      </c>
    </row>
    <row r="346" spans="1:10" x14ac:dyDescent="0.25">
      <c r="A346" t="s">
        <v>223</v>
      </c>
      <c r="C346">
        <v>13</v>
      </c>
      <c r="D346" s="1">
        <v>43613</v>
      </c>
      <c r="E346" s="1">
        <v>43629</v>
      </c>
      <c r="F346" s="2">
        <v>7094</v>
      </c>
      <c r="G346" s="2">
        <v>7094</v>
      </c>
      <c r="H346">
        <v>0</v>
      </c>
    </row>
    <row r="347" spans="1:10" x14ac:dyDescent="0.25">
      <c r="A347" t="s">
        <v>582</v>
      </c>
      <c r="B347" t="s">
        <v>194</v>
      </c>
      <c r="C347">
        <v>10</v>
      </c>
      <c r="D347" s="1">
        <v>43613</v>
      </c>
      <c r="E347" s="1">
        <v>43626</v>
      </c>
      <c r="F347" s="2">
        <v>3270</v>
      </c>
      <c r="G347" s="2">
        <v>3270</v>
      </c>
      <c r="I347" t="s">
        <v>161</v>
      </c>
      <c r="J347" t="s">
        <v>18</v>
      </c>
    </row>
    <row r="348" spans="1:10" x14ac:dyDescent="0.25">
      <c r="A348" t="s">
        <v>583</v>
      </c>
      <c r="B348" t="s">
        <v>149</v>
      </c>
      <c r="C348">
        <v>3</v>
      </c>
      <c r="D348" s="1">
        <v>43627</v>
      </c>
      <c r="E348" s="1">
        <v>43629</v>
      </c>
      <c r="F348" s="2">
        <v>3824</v>
      </c>
      <c r="G348" s="2">
        <v>3824</v>
      </c>
      <c r="I348" t="s">
        <v>161</v>
      </c>
      <c r="J348" t="s">
        <v>18</v>
      </c>
    </row>
    <row r="349" spans="1:10" x14ac:dyDescent="0.25">
      <c r="A349" t="s">
        <v>480</v>
      </c>
      <c r="C349">
        <v>58</v>
      </c>
      <c r="D349" s="1">
        <v>43616</v>
      </c>
      <c r="E349" s="1">
        <v>43698</v>
      </c>
      <c r="F349" s="2">
        <v>65318</v>
      </c>
      <c r="G349" s="2">
        <v>65318</v>
      </c>
      <c r="H349">
        <v>32</v>
      </c>
    </row>
    <row r="350" spans="1:10" x14ac:dyDescent="0.25">
      <c r="A350" t="s">
        <v>584</v>
      </c>
      <c r="B350" t="s">
        <v>194</v>
      </c>
      <c r="C350">
        <v>10</v>
      </c>
      <c r="D350" s="1">
        <v>43616</v>
      </c>
      <c r="E350" s="1">
        <v>43629</v>
      </c>
      <c r="F350" s="2">
        <v>4360</v>
      </c>
      <c r="G350" s="2">
        <v>4360</v>
      </c>
      <c r="I350" t="s">
        <v>362</v>
      </c>
      <c r="J350" t="s">
        <v>18</v>
      </c>
    </row>
    <row r="351" spans="1:10" x14ac:dyDescent="0.25">
      <c r="A351" t="s">
        <v>585</v>
      </c>
      <c r="B351" t="s">
        <v>165</v>
      </c>
      <c r="C351">
        <v>5</v>
      </c>
      <c r="D351" s="1">
        <v>43630</v>
      </c>
      <c r="E351" s="1">
        <v>43636</v>
      </c>
      <c r="F351" s="2">
        <v>8650</v>
      </c>
      <c r="G351" s="2">
        <v>8650</v>
      </c>
      <c r="I351" t="s">
        <v>362</v>
      </c>
      <c r="J351" t="s">
        <v>18</v>
      </c>
    </row>
    <row r="352" spans="1:10" x14ac:dyDescent="0.25">
      <c r="A352" t="s">
        <v>586</v>
      </c>
      <c r="B352" t="s">
        <v>168</v>
      </c>
      <c r="C352">
        <v>3</v>
      </c>
      <c r="D352" s="1">
        <v>43637</v>
      </c>
      <c r="E352" s="1">
        <v>43641</v>
      </c>
      <c r="F352" s="2">
        <v>9477</v>
      </c>
      <c r="G352" s="2">
        <v>9477</v>
      </c>
      <c r="H352">
        <v>32</v>
      </c>
      <c r="I352" t="s">
        <v>362</v>
      </c>
      <c r="J352" t="s">
        <v>18</v>
      </c>
    </row>
    <row r="353" spans="1:10" x14ac:dyDescent="0.25">
      <c r="A353" t="s">
        <v>587</v>
      </c>
      <c r="B353" t="s">
        <v>149</v>
      </c>
      <c r="C353">
        <v>10</v>
      </c>
      <c r="D353" s="1">
        <v>43642</v>
      </c>
      <c r="E353" s="1">
        <v>43656</v>
      </c>
      <c r="F353" s="2">
        <v>25760</v>
      </c>
      <c r="G353" s="2">
        <v>25760</v>
      </c>
      <c r="I353" t="s">
        <v>362</v>
      </c>
      <c r="J353" t="s">
        <v>18</v>
      </c>
    </row>
    <row r="354" spans="1:10" x14ac:dyDescent="0.25">
      <c r="A354" t="s">
        <v>588</v>
      </c>
      <c r="B354" t="s">
        <v>176</v>
      </c>
      <c r="C354">
        <v>3</v>
      </c>
      <c r="D354" s="1">
        <v>43657</v>
      </c>
      <c r="E354" s="1">
        <v>43661</v>
      </c>
      <c r="F354" s="2">
        <v>4536</v>
      </c>
      <c r="G354" s="2">
        <v>4536</v>
      </c>
      <c r="I354" t="s">
        <v>261</v>
      </c>
      <c r="J354" t="s">
        <v>18</v>
      </c>
    </row>
    <row r="355" spans="1:10" x14ac:dyDescent="0.25">
      <c r="A355" t="s">
        <v>589</v>
      </c>
      <c r="B355" t="s">
        <v>154</v>
      </c>
      <c r="C355">
        <v>30</v>
      </c>
      <c r="D355" s="1">
        <v>43657</v>
      </c>
      <c r="E355" s="1">
        <v>43698</v>
      </c>
      <c r="F355" s="2">
        <v>12535</v>
      </c>
      <c r="G355" s="2">
        <v>12535</v>
      </c>
      <c r="I355" t="s">
        <v>362</v>
      </c>
      <c r="J355" t="s">
        <v>18</v>
      </c>
    </row>
    <row r="356" spans="1:10" x14ac:dyDescent="0.25">
      <c r="A356" t="s">
        <v>590</v>
      </c>
      <c r="C356">
        <v>164</v>
      </c>
      <c r="D356" s="1">
        <v>43551</v>
      </c>
      <c r="E356" s="1">
        <v>43783</v>
      </c>
      <c r="F356" s="2">
        <v>113399.8</v>
      </c>
      <c r="G356" s="2">
        <v>113399.8</v>
      </c>
      <c r="H356">
        <v>120</v>
      </c>
    </row>
    <row r="357" spans="1:10" x14ac:dyDescent="0.25">
      <c r="A357" t="s">
        <v>591</v>
      </c>
      <c r="B357" t="s">
        <v>248</v>
      </c>
      <c r="C357">
        <v>74</v>
      </c>
      <c r="D357" s="1">
        <v>43551</v>
      </c>
      <c r="E357" s="1">
        <v>43656</v>
      </c>
      <c r="F357" s="2">
        <v>9446.67</v>
      </c>
      <c r="G357" s="2">
        <v>9446.67</v>
      </c>
      <c r="I357" t="s">
        <v>280</v>
      </c>
      <c r="J357" t="s">
        <v>18</v>
      </c>
    </row>
    <row r="358" spans="1:10" x14ac:dyDescent="0.25">
      <c r="A358" t="s">
        <v>592</v>
      </c>
      <c r="B358" t="s">
        <v>252</v>
      </c>
      <c r="C358">
        <v>3</v>
      </c>
      <c r="D358" s="1">
        <v>43657</v>
      </c>
      <c r="E358" s="1">
        <v>43661</v>
      </c>
      <c r="F358" s="2">
        <v>3379</v>
      </c>
      <c r="G358" s="2">
        <v>3379</v>
      </c>
      <c r="I358" t="s">
        <v>280</v>
      </c>
      <c r="J358" t="s">
        <v>18</v>
      </c>
    </row>
    <row r="359" spans="1:10" x14ac:dyDescent="0.25">
      <c r="A359" t="s">
        <v>593</v>
      </c>
      <c r="B359" t="s">
        <v>258</v>
      </c>
      <c r="C359">
        <v>3</v>
      </c>
      <c r="D359" s="1">
        <v>43662</v>
      </c>
      <c r="E359" s="1">
        <v>43664</v>
      </c>
      <c r="F359" s="2">
        <v>5190</v>
      </c>
      <c r="G359" s="2">
        <v>5190</v>
      </c>
      <c r="I359" t="s">
        <v>261</v>
      </c>
      <c r="J359" t="s">
        <v>18</v>
      </c>
    </row>
    <row r="360" spans="1:10" x14ac:dyDescent="0.25">
      <c r="A360" t="s">
        <v>594</v>
      </c>
      <c r="B360" t="s">
        <v>255</v>
      </c>
      <c r="C360">
        <v>10</v>
      </c>
      <c r="D360" s="1">
        <v>43665</v>
      </c>
      <c r="E360" s="1">
        <v>43678</v>
      </c>
      <c r="F360" s="2">
        <v>30737.33</v>
      </c>
      <c r="G360" s="2">
        <v>30737.33</v>
      </c>
      <c r="H360">
        <v>120</v>
      </c>
      <c r="I360" t="s">
        <v>595</v>
      </c>
      <c r="J360" t="s">
        <v>18</v>
      </c>
    </row>
    <row r="361" spans="1:10" x14ac:dyDescent="0.25">
      <c r="A361" t="s">
        <v>596</v>
      </c>
      <c r="B361" t="s">
        <v>263</v>
      </c>
      <c r="C361">
        <v>2</v>
      </c>
      <c r="D361" s="1">
        <v>43677</v>
      </c>
      <c r="E361" s="1">
        <v>43678</v>
      </c>
      <c r="F361" s="2">
        <v>16434</v>
      </c>
      <c r="G361" s="2">
        <v>16434</v>
      </c>
      <c r="I361" t="s">
        <v>280</v>
      </c>
      <c r="J361" t="s">
        <v>18</v>
      </c>
    </row>
    <row r="362" spans="1:10" x14ac:dyDescent="0.25">
      <c r="A362" t="s">
        <v>597</v>
      </c>
      <c r="B362" t="s">
        <v>149</v>
      </c>
      <c r="C362">
        <v>8</v>
      </c>
      <c r="D362" s="1">
        <v>43679</v>
      </c>
      <c r="E362" s="1">
        <v>43690</v>
      </c>
      <c r="F362" s="2">
        <v>31948.799999999999</v>
      </c>
      <c r="G362" s="2">
        <v>31948.799999999999</v>
      </c>
      <c r="I362" t="s">
        <v>280</v>
      </c>
      <c r="J362" t="s">
        <v>18</v>
      </c>
    </row>
    <row r="363" spans="1:10" x14ac:dyDescent="0.25">
      <c r="A363" t="s">
        <v>598</v>
      </c>
      <c r="B363" t="s">
        <v>176</v>
      </c>
      <c r="C363">
        <v>1</v>
      </c>
      <c r="D363" s="1">
        <v>43691</v>
      </c>
      <c r="E363" s="1">
        <v>43691</v>
      </c>
      <c r="F363" s="2">
        <v>3184</v>
      </c>
      <c r="G363" s="2">
        <v>3184</v>
      </c>
      <c r="I363" t="s">
        <v>261</v>
      </c>
      <c r="J363" t="s">
        <v>18</v>
      </c>
    </row>
    <row r="364" spans="1:10" x14ac:dyDescent="0.25">
      <c r="A364" t="s">
        <v>599</v>
      </c>
      <c r="B364" t="s">
        <v>275</v>
      </c>
      <c r="C364">
        <v>5</v>
      </c>
      <c r="D364" s="1">
        <v>43691</v>
      </c>
      <c r="E364" s="1">
        <v>43697</v>
      </c>
      <c r="F364" s="2">
        <v>4360</v>
      </c>
      <c r="G364" s="2">
        <v>4360</v>
      </c>
      <c r="I364" t="s">
        <v>280</v>
      </c>
      <c r="J364" t="s">
        <v>18</v>
      </c>
    </row>
    <row r="365" spans="1:10" x14ac:dyDescent="0.25">
      <c r="A365" t="s">
        <v>600</v>
      </c>
      <c r="B365" t="s">
        <v>479</v>
      </c>
      <c r="C365">
        <v>61</v>
      </c>
      <c r="D365" s="1">
        <v>43698</v>
      </c>
      <c r="E365" s="1">
        <v>43783</v>
      </c>
      <c r="F365" s="2">
        <v>8720</v>
      </c>
      <c r="G365" s="2">
        <v>8720</v>
      </c>
      <c r="I365" t="s">
        <v>280</v>
      </c>
      <c r="J365" t="s">
        <v>18</v>
      </c>
    </row>
    <row r="366" spans="1:10" x14ac:dyDescent="0.25">
      <c r="A366" t="s">
        <v>345</v>
      </c>
      <c r="C366">
        <v>2</v>
      </c>
      <c r="D366" s="1">
        <v>43623</v>
      </c>
      <c r="E366" s="1">
        <v>43626</v>
      </c>
      <c r="F366" s="2">
        <v>1744</v>
      </c>
      <c r="G366" s="2">
        <v>1744</v>
      </c>
      <c r="H366">
        <v>0</v>
      </c>
    </row>
    <row r="367" spans="1:10" x14ac:dyDescent="0.25">
      <c r="A367" t="s">
        <v>601</v>
      </c>
      <c r="B367" t="s">
        <v>347</v>
      </c>
      <c r="C367">
        <v>2</v>
      </c>
      <c r="D367" s="1">
        <v>43623</v>
      </c>
      <c r="E367" s="1">
        <v>43626</v>
      </c>
      <c r="F367" s="2">
        <v>1744</v>
      </c>
      <c r="G367" s="2">
        <v>1744</v>
      </c>
      <c r="I367" t="s">
        <v>111</v>
      </c>
      <c r="J367" t="s">
        <v>18</v>
      </c>
    </row>
    <row r="368" spans="1:10" x14ac:dyDescent="0.25">
      <c r="A368" t="s">
        <v>602</v>
      </c>
      <c r="C368">
        <v>215</v>
      </c>
      <c r="D368" s="1">
        <v>43560</v>
      </c>
      <c r="E368" s="1">
        <v>43879</v>
      </c>
      <c r="F368" s="2">
        <v>148169.32999999999</v>
      </c>
      <c r="G368" s="2">
        <v>148169.32999999999</v>
      </c>
      <c r="H368">
        <v>160</v>
      </c>
    </row>
    <row r="369" spans="1:10" x14ac:dyDescent="0.25">
      <c r="A369" t="s">
        <v>603</v>
      </c>
      <c r="B369" t="s">
        <v>248</v>
      </c>
      <c r="C369">
        <v>89</v>
      </c>
      <c r="D369" s="1">
        <v>43560</v>
      </c>
      <c r="E369" s="1">
        <v>43686</v>
      </c>
      <c r="F369" s="2">
        <v>2180</v>
      </c>
      <c r="G369" s="2">
        <v>2180</v>
      </c>
      <c r="I369" t="s">
        <v>280</v>
      </c>
      <c r="J369" t="s">
        <v>18</v>
      </c>
    </row>
    <row r="370" spans="1:10" x14ac:dyDescent="0.25">
      <c r="A370" t="s">
        <v>604</v>
      </c>
      <c r="B370" t="s">
        <v>252</v>
      </c>
      <c r="C370">
        <v>3</v>
      </c>
      <c r="D370" s="1">
        <v>43689</v>
      </c>
      <c r="E370" s="1">
        <v>43691</v>
      </c>
      <c r="F370" s="2">
        <v>5647</v>
      </c>
      <c r="G370" s="2">
        <v>5647</v>
      </c>
      <c r="I370" t="s">
        <v>605</v>
      </c>
      <c r="J370" t="s">
        <v>18</v>
      </c>
    </row>
    <row r="371" spans="1:10" x14ac:dyDescent="0.25">
      <c r="A371" t="s">
        <v>606</v>
      </c>
      <c r="B371" t="s">
        <v>258</v>
      </c>
      <c r="C371">
        <v>5</v>
      </c>
      <c r="D371" t="s">
        <v>607</v>
      </c>
      <c r="E371" s="1">
        <v>43698</v>
      </c>
      <c r="F371" s="2">
        <v>7208.33</v>
      </c>
      <c r="G371" s="2">
        <v>7208.33</v>
      </c>
      <c r="I371" t="s">
        <v>261</v>
      </c>
      <c r="J371" t="s">
        <v>18</v>
      </c>
    </row>
    <row r="372" spans="1:10" x14ac:dyDescent="0.25">
      <c r="A372" t="s">
        <v>608</v>
      </c>
      <c r="B372" t="s">
        <v>609</v>
      </c>
      <c r="C372">
        <v>10</v>
      </c>
      <c r="D372" s="1">
        <v>43699</v>
      </c>
      <c r="E372" s="1">
        <v>43713</v>
      </c>
      <c r="F372" s="2">
        <v>44210</v>
      </c>
      <c r="G372" s="2">
        <v>44210</v>
      </c>
      <c r="H372">
        <v>160</v>
      </c>
      <c r="I372" t="s">
        <v>595</v>
      </c>
      <c r="J372" t="s">
        <v>18</v>
      </c>
    </row>
    <row r="373" spans="1:10" x14ac:dyDescent="0.25">
      <c r="A373" t="s">
        <v>610</v>
      </c>
      <c r="B373" t="s">
        <v>263</v>
      </c>
      <c r="C373">
        <v>2</v>
      </c>
      <c r="D373" s="1">
        <v>43712</v>
      </c>
      <c r="E373" s="1">
        <v>43713</v>
      </c>
      <c r="F373" s="2">
        <v>16216</v>
      </c>
      <c r="G373" s="2">
        <v>16216</v>
      </c>
      <c r="I373" t="s">
        <v>280</v>
      </c>
      <c r="J373" t="s">
        <v>18</v>
      </c>
    </row>
    <row r="374" spans="1:10" x14ac:dyDescent="0.25">
      <c r="A374" t="s">
        <v>611</v>
      </c>
      <c r="B374" t="s">
        <v>149</v>
      </c>
      <c r="C374">
        <v>12</v>
      </c>
      <c r="D374" s="1">
        <v>43714</v>
      </c>
      <c r="E374" s="1">
        <v>43731</v>
      </c>
      <c r="F374" s="2">
        <v>59568</v>
      </c>
      <c r="G374" s="2">
        <v>59568</v>
      </c>
      <c r="I374" t="s">
        <v>304</v>
      </c>
      <c r="J374" t="s">
        <v>18</v>
      </c>
    </row>
    <row r="375" spans="1:10" x14ac:dyDescent="0.25">
      <c r="A375" t="s">
        <v>612</v>
      </c>
      <c r="B375" t="s">
        <v>613</v>
      </c>
      <c r="C375">
        <v>2</v>
      </c>
      <c r="D375" s="1">
        <v>43732</v>
      </c>
      <c r="E375" s="1">
        <v>43733</v>
      </c>
      <c r="F375" s="2">
        <v>3548</v>
      </c>
      <c r="G375" s="2">
        <v>3548</v>
      </c>
      <c r="I375" t="s">
        <v>261</v>
      </c>
      <c r="J375" t="s">
        <v>18</v>
      </c>
    </row>
    <row r="376" spans="1:10" x14ac:dyDescent="0.25">
      <c r="A376" t="s">
        <v>614</v>
      </c>
      <c r="B376" t="s">
        <v>615</v>
      </c>
      <c r="C376">
        <v>5</v>
      </c>
      <c r="D376" s="1">
        <v>43732</v>
      </c>
      <c r="E376" s="1">
        <v>43738</v>
      </c>
      <c r="F376" s="2">
        <v>218</v>
      </c>
      <c r="G376" s="2">
        <v>218</v>
      </c>
      <c r="I376" t="s">
        <v>280</v>
      </c>
      <c r="J376" t="s">
        <v>18</v>
      </c>
    </row>
    <row r="377" spans="1:10" x14ac:dyDescent="0.25">
      <c r="A377" t="s">
        <v>616</v>
      </c>
      <c r="B377" t="s">
        <v>617</v>
      </c>
      <c r="C377">
        <v>31</v>
      </c>
      <c r="D377" s="1">
        <v>43739</v>
      </c>
      <c r="E377" s="1">
        <v>43781</v>
      </c>
      <c r="F377" s="2">
        <v>654</v>
      </c>
      <c r="G377" s="2">
        <v>654</v>
      </c>
      <c r="I377" t="s">
        <v>280</v>
      </c>
      <c r="J377" t="s">
        <v>18</v>
      </c>
    </row>
    <row r="378" spans="1:10" x14ac:dyDescent="0.25">
      <c r="A378" t="s">
        <v>618</v>
      </c>
      <c r="B378" t="s">
        <v>479</v>
      </c>
      <c r="C378">
        <v>60</v>
      </c>
      <c r="D378" s="1">
        <v>43782</v>
      </c>
      <c r="E378" s="1">
        <v>43879</v>
      </c>
      <c r="F378" s="2">
        <v>8720</v>
      </c>
      <c r="G378" s="2">
        <v>8720</v>
      </c>
      <c r="I378" t="s">
        <v>280</v>
      </c>
      <c r="J378" t="s">
        <v>18</v>
      </c>
    </row>
    <row r="379" spans="1:10" x14ac:dyDescent="0.25">
      <c r="A379" t="s">
        <v>487</v>
      </c>
      <c r="C379">
        <v>2</v>
      </c>
      <c r="D379" s="1">
        <v>43714</v>
      </c>
      <c r="E379" s="1">
        <v>43717</v>
      </c>
      <c r="F379" s="2">
        <v>1744</v>
      </c>
      <c r="G379" s="2">
        <v>1744</v>
      </c>
      <c r="H379">
        <v>0</v>
      </c>
    </row>
    <row r="380" spans="1:10" x14ac:dyDescent="0.25">
      <c r="A380" t="s">
        <v>619</v>
      </c>
      <c r="B380" t="s">
        <v>378</v>
      </c>
      <c r="C380">
        <v>2</v>
      </c>
      <c r="D380" s="1">
        <v>43714</v>
      </c>
      <c r="E380" s="1">
        <v>43717</v>
      </c>
      <c r="F380" s="2">
        <v>1744</v>
      </c>
      <c r="G380" s="2">
        <v>1744</v>
      </c>
      <c r="I380" t="s">
        <v>111</v>
      </c>
      <c r="J380" t="s">
        <v>18</v>
      </c>
    </row>
    <row r="381" spans="1:10" x14ac:dyDescent="0.25">
      <c r="A381" t="s">
        <v>348</v>
      </c>
      <c r="C381">
        <v>15</v>
      </c>
      <c r="D381" s="1">
        <v>43734</v>
      </c>
      <c r="E381" s="1">
        <v>43754</v>
      </c>
      <c r="F381" s="2">
        <v>15960</v>
      </c>
      <c r="G381" s="2">
        <v>15960</v>
      </c>
      <c r="H381">
        <v>0</v>
      </c>
    </row>
    <row r="382" spans="1:10" x14ac:dyDescent="0.25">
      <c r="A382" t="s">
        <v>620</v>
      </c>
      <c r="B382" t="s">
        <v>149</v>
      </c>
      <c r="C382">
        <v>15</v>
      </c>
      <c r="D382" t="s">
        <v>621</v>
      </c>
      <c r="E382" s="1">
        <v>43754</v>
      </c>
      <c r="F382" s="2">
        <v>15960</v>
      </c>
      <c r="G382" s="2">
        <v>15960</v>
      </c>
      <c r="I382" t="s">
        <v>161</v>
      </c>
      <c r="J382" t="s">
        <v>18</v>
      </c>
    </row>
    <row r="383" spans="1:10" x14ac:dyDescent="0.25">
      <c r="A383" t="s">
        <v>622</v>
      </c>
      <c r="C383">
        <v>5</v>
      </c>
      <c r="D383" s="1">
        <v>43776</v>
      </c>
      <c r="E383" s="1">
        <v>43782</v>
      </c>
      <c r="F383" s="2">
        <v>4905</v>
      </c>
      <c r="G383" s="2">
        <v>4905</v>
      </c>
      <c r="H383">
        <v>0</v>
      </c>
    </row>
    <row r="384" spans="1:10" x14ac:dyDescent="0.25">
      <c r="A384" t="s">
        <v>623</v>
      </c>
      <c r="B384" t="s">
        <v>149</v>
      </c>
      <c r="C384">
        <v>5</v>
      </c>
      <c r="D384" t="s">
        <v>624</v>
      </c>
      <c r="E384" s="1">
        <v>43782</v>
      </c>
      <c r="F384" s="2">
        <v>4905</v>
      </c>
      <c r="G384" s="2">
        <v>4905</v>
      </c>
      <c r="I384" t="s">
        <v>161</v>
      </c>
      <c r="J384" t="s">
        <v>18</v>
      </c>
    </row>
    <row r="385" spans="1:10" x14ac:dyDescent="0.25">
      <c r="A385" t="s">
        <v>625</v>
      </c>
      <c r="C385">
        <v>2</v>
      </c>
      <c r="D385" s="1">
        <v>43794</v>
      </c>
      <c r="E385" s="1">
        <v>43795</v>
      </c>
      <c r="F385" s="2">
        <v>2152</v>
      </c>
      <c r="G385" s="2">
        <v>2152</v>
      </c>
      <c r="H385">
        <v>0</v>
      </c>
    </row>
    <row r="386" spans="1:10" x14ac:dyDescent="0.25">
      <c r="A386" t="s">
        <v>626</v>
      </c>
      <c r="B386" t="s">
        <v>165</v>
      </c>
      <c r="C386">
        <v>2</v>
      </c>
      <c r="D386" t="s">
        <v>627</v>
      </c>
      <c r="E386" s="1">
        <v>43795</v>
      </c>
      <c r="F386" s="2">
        <v>2152</v>
      </c>
      <c r="G386" s="2">
        <v>2152</v>
      </c>
      <c r="I386" t="s">
        <v>161</v>
      </c>
      <c r="J386" t="s">
        <v>18</v>
      </c>
    </row>
    <row r="387" spans="1:10" x14ac:dyDescent="0.25">
      <c r="A387" t="s">
        <v>628</v>
      </c>
      <c r="C387">
        <v>2</v>
      </c>
      <c r="D387" s="1">
        <v>43796</v>
      </c>
      <c r="E387" s="1">
        <v>43801</v>
      </c>
      <c r="F387" s="2">
        <v>2152</v>
      </c>
      <c r="G387" s="2">
        <v>2152</v>
      </c>
      <c r="H387">
        <v>0</v>
      </c>
    </row>
    <row r="388" spans="1:10" x14ac:dyDescent="0.25">
      <c r="A388" t="s">
        <v>629</v>
      </c>
      <c r="B388" t="s">
        <v>165</v>
      </c>
      <c r="C388">
        <v>2</v>
      </c>
      <c r="D388" s="1">
        <v>43796</v>
      </c>
      <c r="E388" s="1">
        <v>43801</v>
      </c>
      <c r="F388" s="2">
        <v>2152</v>
      </c>
      <c r="G388" s="2">
        <v>2152</v>
      </c>
      <c r="I388" t="s">
        <v>161</v>
      </c>
      <c r="J388" t="s">
        <v>18</v>
      </c>
    </row>
    <row r="389" spans="1:10" x14ac:dyDescent="0.25">
      <c r="A389" t="s">
        <v>509</v>
      </c>
      <c r="C389">
        <v>2</v>
      </c>
      <c r="D389" s="1">
        <v>43805</v>
      </c>
      <c r="E389" s="1">
        <v>43808</v>
      </c>
      <c r="F389" s="2">
        <v>1744</v>
      </c>
      <c r="G389" s="2">
        <v>1744</v>
      </c>
      <c r="H389">
        <v>0</v>
      </c>
    </row>
    <row r="390" spans="1:10" x14ac:dyDescent="0.25">
      <c r="A390" t="s">
        <v>630</v>
      </c>
      <c r="B390" t="s">
        <v>385</v>
      </c>
      <c r="C390">
        <v>2</v>
      </c>
      <c r="D390" s="1">
        <v>43805</v>
      </c>
      <c r="E390" s="1">
        <v>43808</v>
      </c>
      <c r="F390" s="2">
        <v>1744</v>
      </c>
      <c r="G390" s="2">
        <v>1744</v>
      </c>
      <c r="I390" t="s">
        <v>111</v>
      </c>
      <c r="J390" t="s">
        <v>18</v>
      </c>
    </row>
    <row r="391" spans="1:10" x14ac:dyDescent="0.25">
      <c r="A391" t="s">
        <v>631</v>
      </c>
      <c r="C391">
        <v>37</v>
      </c>
      <c r="D391" s="1">
        <v>43809</v>
      </c>
      <c r="E391" s="1">
        <v>43871</v>
      </c>
      <c r="F391" s="2">
        <v>34400.5</v>
      </c>
      <c r="G391" s="2">
        <v>34400.5</v>
      </c>
      <c r="H391">
        <v>11</v>
      </c>
    </row>
    <row r="392" spans="1:10" x14ac:dyDescent="0.25">
      <c r="A392" t="s">
        <v>632</v>
      </c>
      <c r="B392" t="s">
        <v>194</v>
      </c>
      <c r="C392">
        <v>10</v>
      </c>
      <c r="D392" s="1">
        <v>43809</v>
      </c>
      <c r="E392" s="1">
        <v>43822</v>
      </c>
      <c r="F392" s="2">
        <v>2180</v>
      </c>
      <c r="G392" s="2">
        <v>2180</v>
      </c>
      <c r="I392" t="s">
        <v>161</v>
      </c>
      <c r="J392" t="s">
        <v>18</v>
      </c>
    </row>
    <row r="393" spans="1:10" x14ac:dyDescent="0.25">
      <c r="A393" t="s">
        <v>633</v>
      </c>
      <c r="B393" t="s">
        <v>165</v>
      </c>
      <c r="C393">
        <v>4</v>
      </c>
      <c r="D393" t="s">
        <v>24</v>
      </c>
      <c r="E393" s="1">
        <v>43837</v>
      </c>
      <c r="F393" s="2">
        <v>4712</v>
      </c>
      <c r="G393" s="2">
        <v>4712</v>
      </c>
      <c r="I393" t="s">
        <v>161</v>
      </c>
      <c r="J393" t="s">
        <v>18</v>
      </c>
    </row>
    <row r="394" spans="1:10" x14ac:dyDescent="0.25">
      <c r="A394" t="s">
        <v>634</v>
      </c>
      <c r="B394" t="s">
        <v>168</v>
      </c>
      <c r="C394">
        <v>1</v>
      </c>
      <c r="D394" s="1">
        <v>43838</v>
      </c>
      <c r="E394" s="1">
        <v>43838</v>
      </c>
      <c r="F394" s="2">
        <v>1992.5</v>
      </c>
      <c r="G394" s="2">
        <v>1992.5</v>
      </c>
      <c r="H394">
        <v>11</v>
      </c>
      <c r="I394" t="s">
        <v>161</v>
      </c>
      <c r="J394" t="s">
        <v>18</v>
      </c>
    </row>
    <row r="395" spans="1:10" x14ac:dyDescent="0.25">
      <c r="A395" t="s">
        <v>635</v>
      </c>
      <c r="B395" t="s">
        <v>149</v>
      </c>
      <c r="C395">
        <v>10</v>
      </c>
      <c r="D395" s="1">
        <v>43839</v>
      </c>
      <c r="E395" s="1">
        <v>43853</v>
      </c>
      <c r="F395" s="2">
        <v>19440</v>
      </c>
      <c r="G395" s="2">
        <v>19440</v>
      </c>
      <c r="I395" t="s">
        <v>161</v>
      </c>
      <c r="J395" t="s">
        <v>18</v>
      </c>
    </row>
    <row r="396" spans="1:10" x14ac:dyDescent="0.25">
      <c r="A396" t="s">
        <v>636</v>
      </c>
      <c r="B396" t="s">
        <v>176</v>
      </c>
      <c r="C396">
        <v>2</v>
      </c>
      <c r="D396" s="1">
        <v>43854</v>
      </c>
      <c r="E396" s="1">
        <v>43857</v>
      </c>
      <c r="F396" s="2">
        <v>1716</v>
      </c>
      <c r="G396" s="2">
        <v>1716</v>
      </c>
      <c r="I396" t="s">
        <v>161</v>
      </c>
      <c r="J396" t="s">
        <v>18</v>
      </c>
    </row>
    <row r="397" spans="1:10" x14ac:dyDescent="0.25">
      <c r="A397" t="s">
        <v>637</v>
      </c>
      <c r="B397" t="s">
        <v>154</v>
      </c>
      <c r="C397">
        <v>10</v>
      </c>
      <c r="D397" s="1">
        <v>43858</v>
      </c>
      <c r="E397" s="1">
        <v>43871</v>
      </c>
      <c r="F397" s="2">
        <v>4360</v>
      </c>
      <c r="G397" s="2">
        <v>4360</v>
      </c>
      <c r="I397" t="s">
        <v>161</v>
      </c>
      <c r="J397" t="s">
        <v>18</v>
      </c>
    </row>
    <row r="398" spans="1:10" x14ac:dyDescent="0.25">
      <c r="A398" t="s">
        <v>529</v>
      </c>
      <c r="C398">
        <v>2</v>
      </c>
      <c r="D398" s="1">
        <v>43880</v>
      </c>
      <c r="E398" s="1">
        <v>43881</v>
      </c>
      <c r="F398" s="2">
        <v>1744</v>
      </c>
      <c r="G398" s="2">
        <v>1744</v>
      </c>
      <c r="H398">
        <v>0</v>
      </c>
    </row>
    <row r="399" spans="1:10" x14ac:dyDescent="0.25">
      <c r="A399" t="s">
        <v>638</v>
      </c>
      <c r="B399" t="s">
        <v>397</v>
      </c>
      <c r="C399">
        <v>2</v>
      </c>
      <c r="D399" s="1">
        <v>43880</v>
      </c>
      <c r="E399" s="1">
        <v>43881</v>
      </c>
      <c r="F399" s="2">
        <v>1744</v>
      </c>
      <c r="G399" s="2">
        <v>1744</v>
      </c>
      <c r="I399" t="s">
        <v>111</v>
      </c>
      <c r="J399" t="s">
        <v>18</v>
      </c>
    </row>
    <row r="400" spans="1:10" x14ac:dyDescent="0.25">
      <c r="A400" t="s">
        <v>639</v>
      </c>
      <c r="C400">
        <v>310</v>
      </c>
      <c r="D400" s="1">
        <v>43552</v>
      </c>
      <c r="E400" s="1">
        <v>44005</v>
      </c>
      <c r="F400" s="2">
        <v>353323</v>
      </c>
      <c r="G400" s="2">
        <v>353323</v>
      </c>
      <c r="H400">
        <v>32</v>
      </c>
    </row>
    <row r="401" spans="1:10" x14ac:dyDescent="0.25">
      <c r="A401" t="s">
        <v>180</v>
      </c>
      <c r="C401">
        <v>279</v>
      </c>
      <c r="D401" s="1">
        <v>43595</v>
      </c>
      <c r="E401" s="1">
        <v>44005</v>
      </c>
      <c r="F401" s="2">
        <v>0</v>
      </c>
      <c r="G401" s="2">
        <v>0</v>
      </c>
      <c r="H401">
        <v>0</v>
      </c>
    </row>
    <row r="402" spans="1:10" x14ac:dyDescent="0.25">
      <c r="A402" t="s">
        <v>640</v>
      </c>
      <c r="B402" t="s">
        <v>641</v>
      </c>
      <c r="C402">
        <v>0</v>
      </c>
      <c r="D402" s="1">
        <v>43595</v>
      </c>
      <c r="F402" s="2">
        <v>0</v>
      </c>
      <c r="G402" s="2">
        <v>0</v>
      </c>
      <c r="I402" t="s">
        <v>184</v>
      </c>
      <c r="J402" t="s">
        <v>18</v>
      </c>
    </row>
    <row r="403" spans="1:10" x14ac:dyDescent="0.25">
      <c r="A403" t="s">
        <v>642</v>
      </c>
      <c r="B403" t="s">
        <v>643</v>
      </c>
      <c r="C403">
        <v>264</v>
      </c>
      <c r="D403" s="1">
        <v>43595</v>
      </c>
      <c r="E403" s="1">
        <v>43984</v>
      </c>
      <c r="F403" s="2">
        <v>0</v>
      </c>
      <c r="G403" s="2">
        <v>0</v>
      </c>
      <c r="I403" t="s">
        <v>184</v>
      </c>
      <c r="J403" t="s">
        <v>18</v>
      </c>
    </row>
    <row r="404" spans="1:10" x14ac:dyDescent="0.25">
      <c r="A404" t="s">
        <v>644</v>
      </c>
      <c r="B404" t="s">
        <v>645</v>
      </c>
      <c r="C404">
        <v>0</v>
      </c>
      <c r="E404" s="1">
        <v>43984</v>
      </c>
      <c r="F404" s="2">
        <v>0</v>
      </c>
      <c r="G404" s="2">
        <v>0</v>
      </c>
      <c r="I404" t="s">
        <v>184</v>
      </c>
      <c r="J404" t="s">
        <v>18</v>
      </c>
    </row>
    <row r="405" spans="1:10" x14ac:dyDescent="0.25">
      <c r="A405" t="s">
        <v>646</v>
      </c>
      <c r="B405" t="s">
        <v>647</v>
      </c>
      <c r="C405">
        <v>0</v>
      </c>
      <c r="E405" s="1">
        <v>44005</v>
      </c>
      <c r="F405" s="2">
        <v>0</v>
      </c>
      <c r="G405" s="2">
        <v>0</v>
      </c>
      <c r="I405" t="s">
        <v>184</v>
      </c>
      <c r="J405" t="s">
        <v>18</v>
      </c>
    </row>
    <row r="406" spans="1:10" x14ac:dyDescent="0.25">
      <c r="A406" t="s">
        <v>422</v>
      </c>
      <c r="C406">
        <v>3</v>
      </c>
      <c r="D406" s="1">
        <v>43592</v>
      </c>
      <c r="E406" s="1">
        <v>43594</v>
      </c>
      <c r="F406" s="2">
        <v>1853</v>
      </c>
      <c r="G406" s="2">
        <v>1853</v>
      </c>
      <c r="H406">
        <v>0</v>
      </c>
    </row>
    <row r="407" spans="1:10" x14ac:dyDescent="0.25">
      <c r="A407" t="s">
        <v>648</v>
      </c>
      <c r="B407" t="s">
        <v>424</v>
      </c>
      <c r="C407">
        <v>2</v>
      </c>
      <c r="D407" t="s">
        <v>425</v>
      </c>
      <c r="E407" s="1">
        <v>43593</v>
      </c>
      <c r="F407" s="2">
        <v>1744</v>
      </c>
      <c r="G407" s="2">
        <v>1744</v>
      </c>
      <c r="I407" t="s">
        <v>203</v>
      </c>
      <c r="J407" t="s">
        <v>426</v>
      </c>
    </row>
    <row r="408" spans="1:10" x14ac:dyDescent="0.25">
      <c r="A408" t="s">
        <v>649</v>
      </c>
      <c r="B408" t="s">
        <v>428</v>
      </c>
      <c r="C408">
        <v>1</v>
      </c>
      <c r="D408" s="1">
        <v>43594</v>
      </c>
      <c r="E408" s="1">
        <v>43594</v>
      </c>
      <c r="F408" s="2">
        <v>109</v>
      </c>
      <c r="G408" s="2">
        <v>109</v>
      </c>
      <c r="I408" t="s">
        <v>429</v>
      </c>
      <c r="J408" t="s">
        <v>426</v>
      </c>
    </row>
    <row r="409" spans="1:10" x14ac:dyDescent="0.25">
      <c r="A409" t="s">
        <v>223</v>
      </c>
      <c r="C409">
        <v>15</v>
      </c>
      <c r="D409" s="1">
        <v>43581</v>
      </c>
      <c r="E409" s="1">
        <v>43601</v>
      </c>
      <c r="F409" s="2">
        <v>9643.33</v>
      </c>
      <c r="G409" s="2">
        <v>9643.33</v>
      </c>
      <c r="H409">
        <v>0</v>
      </c>
    </row>
    <row r="410" spans="1:10" x14ac:dyDescent="0.25">
      <c r="A410" t="s">
        <v>650</v>
      </c>
      <c r="B410" t="s">
        <v>194</v>
      </c>
      <c r="C410">
        <v>10</v>
      </c>
      <c r="D410" s="1">
        <v>43581</v>
      </c>
      <c r="E410" s="1">
        <v>43594</v>
      </c>
      <c r="F410" s="2">
        <v>3270</v>
      </c>
      <c r="G410" s="2">
        <v>3270</v>
      </c>
      <c r="I410" t="s">
        <v>161</v>
      </c>
      <c r="J410" t="s">
        <v>18</v>
      </c>
    </row>
    <row r="411" spans="1:10" x14ac:dyDescent="0.25">
      <c r="A411" t="s">
        <v>651</v>
      </c>
      <c r="B411" t="s">
        <v>149</v>
      </c>
      <c r="C411">
        <v>5</v>
      </c>
      <c r="D411" s="1">
        <v>43595</v>
      </c>
      <c r="E411" s="1">
        <v>43601</v>
      </c>
      <c r="F411" s="2">
        <v>6373.33</v>
      </c>
      <c r="G411" s="2">
        <v>6373.33</v>
      </c>
      <c r="I411" t="s">
        <v>161</v>
      </c>
      <c r="J411" t="s">
        <v>18</v>
      </c>
    </row>
    <row r="412" spans="1:10" x14ac:dyDescent="0.25">
      <c r="A412" t="s">
        <v>625</v>
      </c>
      <c r="C412">
        <v>2</v>
      </c>
      <c r="D412" s="1">
        <v>43602</v>
      </c>
      <c r="E412" s="1">
        <v>43605</v>
      </c>
      <c r="F412" s="2">
        <v>2152</v>
      </c>
      <c r="G412" s="2">
        <v>2152</v>
      </c>
      <c r="H412">
        <v>0</v>
      </c>
    </row>
    <row r="413" spans="1:10" x14ac:dyDescent="0.25">
      <c r="A413" t="s">
        <v>652</v>
      </c>
      <c r="B413" t="s">
        <v>165</v>
      </c>
      <c r="C413">
        <v>2</v>
      </c>
      <c r="D413" s="1">
        <v>43602</v>
      </c>
      <c r="E413" s="1">
        <v>43605</v>
      </c>
      <c r="F413" s="2">
        <v>2152</v>
      </c>
      <c r="G413" s="2">
        <v>2152</v>
      </c>
      <c r="I413" t="s">
        <v>161</v>
      </c>
      <c r="J413" t="s">
        <v>18</v>
      </c>
    </row>
    <row r="414" spans="1:10" x14ac:dyDescent="0.25">
      <c r="A414" t="s">
        <v>653</v>
      </c>
      <c r="C414">
        <v>32</v>
      </c>
      <c r="D414" s="1">
        <v>43606</v>
      </c>
      <c r="E414" s="1">
        <v>43651</v>
      </c>
      <c r="F414" s="2">
        <v>11348</v>
      </c>
      <c r="G414" s="2">
        <v>11348</v>
      </c>
      <c r="H414">
        <v>0</v>
      </c>
    </row>
    <row r="415" spans="1:10" x14ac:dyDescent="0.25">
      <c r="A415" t="s">
        <v>654</v>
      </c>
      <c r="B415" t="s">
        <v>285</v>
      </c>
      <c r="C415">
        <v>2</v>
      </c>
      <c r="D415" s="1">
        <v>43606</v>
      </c>
      <c r="E415" s="1">
        <v>43607</v>
      </c>
      <c r="F415" s="2">
        <v>9492</v>
      </c>
      <c r="G415" s="2">
        <v>9492</v>
      </c>
      <c r="I415" t="s">
        <v>655</v>
      </c>
      <c r="J415" t="s">
        <v>152</v>
      </c>
    </row>
    <row r="416" spans="1:10" x14ac:dyDescent="0.25">
      <c r="A416" t="s">
        <v>656</v>
      </c>
      <c r="B416" t="s">
        <v>154</v>
      </c>
      <c r="C416">
        <v>20</v>
      </c>
      <c r="D416" s="1">
        <v>43623</v>
      </c>
      <c r="E416" s="1">
        <v>43651</v>
      </c>
      <c r="F416" s="2">
        <v>1856</v>
      </c>
      <c r="G416" s="2">
        <v>1856</v>
      </c>
      <c r="I416" t="s">
        <v>32</v>
      </c>
      <c r="J416" t="s">
        <v>18</v>
      </c>
    </row>
    <row r="417" spans="1:10" x14ac:dyDescent="0.25">
      <c r="A417" t="s">
        <v>657</v>
      </c>
      <c r="C417">
        <v>68</v>
      </c>
      <c r="D417" s="1">
        <v>43552</v>
      </c>
      <c r="E417" s="1">
        <v>43648</v>
      </c>
      <c r="F417" s="2">
        <v>57440</v>
      </c>
      <c r="G417" s="2">
        <v>57440</v>
      </c>
      <c r="H417">
        <v>0</v>
      </c>
    </row>
    <row r="418" spans="1:10" x14ac:dyDescent="0.25">
      <c r="A418" t="s">
        <v>658</v>
      </c>
      <c r="B418" t="s">
        <v>194</v>
      </c>
      <c r="C418">
        <v>40</v>
      </c>
      <c r="D418" s="1">
        <v>43552</v>
      </c>
      <c r="E418" s="1">
        <v>43607</v>
      </c>
      <c r="F418" s="2">
        <v>981</v>
      </c>
      <c r="G418" s="2">
        <v>981</v>
      </c>
      <c r="I418" t="s">
        <v>161</v>
      </c>
      <c r="J418" t="s">
        <v>18</v>
      </c>
    </row>
    <row r="419" spans="1:10" x14ac:dyDescent="0.25">
      <c r="A419" t="s">
        <v>659</v>
      </c>
      <c r="B419" t="s">
        <v>660</v>
      </c>
      <c r="C419">
        <v>3</v>
      </c>
      <c r="D419" s="1">
        <v>43608</v>
      </c>
      <c r="E419" s="1">
        <v>43610</v>
      </c>
      <c r="F419" s="2">
        <v>5012</v>
      </c>
      <c r="G419" s="2">
        <v>5012</v>
      </c>
      <c r="I419" t="s">
        <v>161</v>
      </c>
      <c r="J419" t="s">
        <v>18</v>
      </c>
    </row>
    <row r="420" spans="1:10" x14ac:dyDescent="0.25">
      <c r="A420" t="s">
        <v>661</v>
      </c>
      <c r="B420" t="s">
        <v>662</v>
      </c>
      <c r="C420">
        <v>16</v>
      </c>
      <c r="D420" s="1">
        <v>43611</v>
      </c>
      <c r="E420" s="1">
        <v>43627</v>
      </c>
      <c r="F420" s="2">
        <v>22512</v>
      </c>
      <c r="G420" s="2">
        <v>22512</v>
      </c>
      <c r="I420" t="s">
        <v>161</v>
      </c>
      <c r="J420" t="s">
        <v>18</v>
      </c>
    </row>
    <row r="421" spans="1:10" x14ac:dyDescent="0.25">
      <c r="A421" t="s">
        <v>663</v>
      </c>
      <c r="B421" t="s">
        <v>664</v>
      </c>
      <c r="C421">
        <v>1</v>
      </c>
      <c r="D421" s="1">
        <v>43628</v>
      </c>
      <c r="E421" s="1">
        <v>43628</v>
      </c>
      <c r="F421" s="2">
        <v>1076</v>
      </c>
      <c r="G421" s="2">
        <v>1076</v>
      </c>
      <c r="I421" t="s">
        <v>161</v>
      </c>
      <c r="J421" t="s">
        <v>18</v>
      </c>
    </row>
    <row r="422" spans="1:10" x14ac:dyDescent="0.25">
      <c r="A422" t="s">
        <v>665</v>
      </c>
      <c r="B422" t="s">
        <v>666</v>
      </c>
      <c r="C422">
        <v>19</v>
      </c>
      <c r="D422" s="1">
        <v>43629</v>
      </c>
      <c r="E422" s="1">
        <v>43647</v>
      </c>
      <c r="F422" s="2">
        <v>26783</v>
      </c>
      <c r="G422" s="2">
        <v>26783</v>
      </c>
      <c r="I422" t="s">
        <v>161</v>
      </c>
      <c r="J422" t="s">
        <v>18</v>
      </c>
    </row>
    <row r="423" spans="1:10" x14ac:dyDescent="0.25">
      <c r="A423" t="s">
        <v>667</v>
      </c>
      <c r="B423" t="s">
        <v>668</v>
      </c>
      <c r="C423">
        <v>1</v>
      </c>
      <c r="D423" s="1">
        <v>43648</v>
      </c>
      <c r="E423" s="1">
        <v>43648</v>
      </c>
      <c r="F423" s="2">
        <v>1076</v>
      </c>
      <c r="G423" s="2">
        <v>1076</v>
      </c>
      <c r="I423" t="s">
        <v>161</v>
      </c>
      <c r="J423" t="s">
        <v>18</v>
      </c>
    </row>
    <row r="424" spans="1:10" x14ac:dyDescent="0.25">
      <c r="A424" t="s">
        <v>345</v>
      </c>
      <c r="C424">
        <v>2</v>
      </c>
      <c r="D424" s="1">
        <v>43623</v>
      </c>
      <c r="E424" s="1">
        <v>43626</v>
      </c>
      <c r="F424" s="2">
        <v>1744</v>
      </c>
      <c r="G424" s="2">
        <v>1744</v>
      </c>
      <c r="H424">
        <v>0</v>
      </c>
    </row>
    <row r="425" spans="1:10" x14ac:dyDescent="0.25">
      <c r="A425" t="s">
        <v>669</v>
      </c>
      <c r="B425" t="s">
        <v>347</v>
      </c>
      <c r="C425">
        <v>2</v>
      </c>
      <c r="D425" s="1">
        <v>43623</v>
      </c>
      <c r="E425" s="1">
        <v>43626</v>
      </c>
      <c r="F425" s="2">
        <v>1744</v>
      </c>
      <c r="G425" s="2">
        <v>1744</v>
      </c>
      <c r="I425" t="s">
        <v>111</v>
      </c>
      <c r="J425" t="s">
        <v>18</v>
      </c>
    </row>
    <row r="426" spans="1:10" x14ac:dyDescent="0.25">
      <c r="A426" t="s">
        <v>670</v>
      </c>
      <c r="C426">
        <v>28</v>
      </c>
      <c r="D426" s="1">
        <v>43649</v>
      </c>
      <c r="E426" s="1">
        <v>43689</v>
      </c>
      <c r="F426" s="2">
        <v>55718</v>
      </c>
      <c r="G426" s="2">
        <v>55718</v>
      </c>
      <c r="H426">
        <v>0</v>
      </c>
    </row>
    <row r="427" spans="1:10" x14ac:dyDescent="0.25">
      <c r="A427" t="s">
        <v>671</v>
      </c>
      <c r="B427" t="s">
        <v>672</v>
      </c>
      <c r="C427">
        <v>19</v>
      </c>
      <c r="D427" s="1">
        <v>43649</v>
      </c>
      <c r="E427" s="1">
        <v>43668</v>
      </c>
      <c r="F427" s="2">
        <v>26783</v>
      </c>
      <c r="G427" s="2">
        <v>26783</v>
      </c>
      <c r="I427" t="s">
        <v>161</v>
      </c>
      <c r="J427" t="s">
        <v>18</v>
      </c>
    </row>
    <row r="428" spans="1:10" x14ac:dyDescent="0.25">
      <c r="A428" t="s">
        <v>673</v>
      </c>
      <c r="B428" t="s">
        <v>674</v>
      </c>
      <c r="C428">
        <v>1</v>
      </c>
      <c r="D428" s="1">
        <v>43669</v>
      </c>
      <c r="E428" s="1">
        <v>43669</v>
      </c>
      <c r="F428" s="2">
        <v>1076</v>
      </c>
      <c r="G428" s="2">
        <v>1076</v>
      </c>
      <c r="I428" t="s">
        <v>161</v>
      </c>
      <c r="J428" t="s">
        <v>18</v>
      </c>
    </row>
    <row r="429" spans="1:10" x14ac:dyDescent="0.25">
      <c r="A429" t="s">
        <v>675</v>
      </c>
      <c r="B429" t="s">
        <v>676</v>
      </c>
      <c r="C429">
        <v>19</v>
      </c>
      <c r="D429" s="1">
        <v>43670</v>
      </c>
      <c r="E429" s="1">
        <v>43688</v>
      </c>
      <c r="F429" s="2">
        <v>26783</v>
      </c>
      <c r="G429" s="2">
        <v>26783</v>
      </c>
      <c r="I429" t="s">
        <v>161</v>
      </c>
      <c r="J429" t="s">
        <v>18</v>
      </c>
    </row>
    <row r="430" spans="1:10" x14ac:dyDescent="0.25">
      <c r="A430" t="s">
        <v>677</v>
      </c>
      <c r="B430" t="s">
        <v>678</v>
      </c>
      <c r="C430">
        <v>1</v>
      </c>
      <c r="D430" s="1">
        <v>43689</v>
      </c>
      <c r="E430" s="1">
        <v>43689</v>
      </c>
      <c r="F430" s="2">
        <v>1076</v>
      </c>
      <c r="G430" s="2">
        <v>1076</v>
      </c>
      <c r="I430" t="s">
        <v>161</v>
      </c>
      <c r="J430" t="s">
        <v>18</v>
      </c>
    </row>
    <row r="431" spans="1:10" x14ac:dyDescent="0.25">
      <c r="A431" t="s">
        <v>679</v>
      </c>
      <c r="C431">
        <v>29</v>
      </c>
      <c r="D431" s="1">
        <v>43690</v>
      </c>
      <c r="E431" s="1">
        <v>43731</v>
      </c>
      <c r="F431" s="2">
        <v>55718</v>
      </c>
      <c r="G431" s="2">
        <v>55718</v>
      </c>
      <c r="H431">
        <v>0</v>
      </c>
    </row>
    <row r="432" spans="1:10" x14ac:dyDescent="0.25">
      <c r="A432" t="s">
        <v>680</v>
      </c>
      <c r="B432" t="s">
        <v>681</v>
      </c>
      <c r="C432">
        <v>19</v>
      </c>
      <c r="D432" s="1">
        <v>43690</v>
      </c>
      <c r="E432" s="1">
        <v>43708</v>
      </c>
      <c r="F432" s="2">
        <v>26783</v>
      </c>
      <c r="G432" s="2">
        <v>26783</v>
      </c>
      <c r="I432" t="s">
        <v>161</v>
      </c>
      <c r="J432" t="s">
        <v>18</v>
      </c>
    </row>
    <row r="433" spans="1:10" x14ac:dyDescent="0.25">
      <c r="A433" t="s">
        <v>682</v>
      </c>
      <c r="B433" t="s">
        <v>683</v>
      </c>
      <c r="C433">
        <v>1</v>
      </c>
      <c r="D433" s="1">
        <v>43711</v>
      </c>
      <c r="E433" s="1">
        <v>43711</v>
      </c>
      <c r="F433" s="2">
        <v>1076</v>
      </c>
      <c r="G433" s="2">
        <v>1076</v>
      </c>
      <c r="I433" t="s">
        <v>161</v>
      </c>
      <c r="J433" t="s">
        <v>18</v>
      </c>
    </row>
    <row r="434" spans="1:10" x14ac:dyDescent="0.25">
      <c r="A434" t="s">
        <v>684</v>
      </c>
      <c r="B434" t="s">
        <v>685</v>
      </c>
      <c r="C434">
        <v>19</v>
      </c>
      <c r="D434" s="1">
        <v>43712</v>
      </c>
      <c r="E434" s="1">
        <v>43730</v>
      </c>
      <c r="F434" s="2">
        <v>26783</v>
      </c>
      <c r="G434" s="2">
        <v>26783</v>
      </c>
      <c r="I434" t="s">
        <v>161</v>
      </c>
      <c r="J434" t="s">
        <v>18</v>
      </c>
    </row>
    <row r="435" spans="1:10" x14ac:dyDescent="0.25">
      <c r="A435" t="s">
        <v>686</v>
      </c>
      <c r="B435" t="s">
        <v>687</v>
      </c>
      <c r="C435">
        <v>1</v>
      </c>
      <c r="D435" s="1">
        <v>43731</v>
      </c>
      <c r="E435" s="1">
        <v>43731</v>
      </c>
      <c r="F435" s="2">
        <v>1076</v>
      </c>
      <c r="G435" s="2">
        <v>1076</v>
      </c>
      <c r="I435" t="s">
        <v>161</v>
      </c>
      <c r="J435" t="s">
        <v>18</v>
      </c>
    </row>
    <row r="436" spans="1:10" x14ac:dyDescent="0.25">
      <c r="A436" t="s">
        <v>487</v>
      </c>
      <c r="C436">
        <v>2</v>
      </c>
      <c r="D436" s="1">
        <v>43714</v>
      </c>
      <c r="E436" s="1">
        <v>43717</v>
      </c>
      <c r="F436" s="2">
        <v>1744</v>
      </c>
      <c r="G436" s="2">
        <v>1744</v>
      </c>
      <c r="H436">
        <v>0</v>
      </c>
    </row>
    <row r="437" spans="1:10" x14ac:dyDescent="0.25">
      <c r="A437" t="s">
        <v>688</v>
      </c>
      <c r="B437" t="s">
        <v>378</v>
      </c>
      <c r="C437">
        <v>2</v>
      </c>
      <c r="D437" s="1">
        <v>43714</v>
      </c>
      <c r="E437" s="1">
        <v>43717</v>
      </c>
      <c r="F437" s="2">
        <v>1744</v>
      </c>
      <c r="G437" s="2">
        <v>1744</v>
      </c>
      <c r="I437" t="s">
        <v>111</v>
      </c>
      <c r="J437" t="s">
        <v>18</v>
      </c>
    </row>
    <row r="438" spans="1:10" x14ac:dyDescent="0.25">
      <c r="A438" t="s">
        <v>689</v>
      </c>
      <c r="C438">
        <v>30</v>
      </c>
      <c r="D438" s="1">
        <v>43732</v>
      </c>
      <c r="E438" s="1">
        <v>43773</v>
      </c>
      <c r="F438" s="2">
        <v>55718</v>
      </c>
      <c r="G438" s="2">
        <v>55718</v>
      </c>
      <c r="H438">
        <v>0</v>
      </c>
    </row>
    <row r="439" spans="1:10" x14ac:dyDescent="0.25">
      <c r="A439" t="s">
        <v>690</v>
      </c>
      <c r="B439" t="s">
        <v>691</v>
      </c>
      <c r="C439">
        <v>19</v>
      </c>
      <c r="D439" s="1">
        <v>43732</v>
      </c>
      <c r="E439" s="1">
        <v>43750</v>
      </c>
      <c r="F439" s="2">
        <v>26783</v>
      </c>
      <c r="G439" s="2">
        <v>26783</v>
      </c>
      <c r="I439" t="s">
        <v>161</v>
      </c>
      <c r="J439" t="s">
        <v>18</v>
      </c>
    </row>
    <row r="440" spans="1:10" x14ac:dyDescent="0.25">
      <c r="A440" t="s">
        <v>692</v>
      </c>
      <c r="B440" t="s">
        <v>693</v>
      </c>
      <c r="C440">
        <v>1</v>
      </c>
      <c r="D440" s="1">
        <v>43752</v>
      </c>
      <c r="E440" s="1">
        <v>43752</v>
      </c>
      <c r="F440" s="2">
        <v>1076</v>
      </c>
      <c r="G440" s="2">
        <v>1076</v>
      </c>
      <c r="I440" t="s">
        <v>161</v>
      </c>
      <c r="J440" t="s">
        <v>18</v>
      </c>
    </row>
    <row r="441" spans="1:10" x14ac:dyDescent="0.25">
      <c r="A441" t="s">
        <v>694</v>
      </c>
      <c r="B441" t="s">
        <v>695</v>
      </c>
      <c r="C441">
        <v>19</v>
      </c>
      <c r="D441" s="1">
        <v>43753</v>
      </c>
      <c r="E441" s="1">
        <v>43771</v>
      </c>
      <c r="F441" s="2">
        <v>26783</v>
      </c>
      <c r="G441" s="2">
        <v>26783</v>
      </c>
      <c r="I441" t="s">
        <v>161</v>
      </c>
      <c r="J441" t="s">
        <v>18</v>
      </c>
    </row>
    <row r="442" spans="1:10" x14ac:dyDescent="0.25">
      <c r="A442" t="s">
        <v>696</v>
      </c>
      <c r="B442" t="s">
        <v>697</v>
      </c>
      <c r="C442">
        <v>1</v>
      </c>
      <c r="D442" s="1">
        <v>43773</v>
      </c>
      <c r="E442" s="1">
        <v>43773</v>
      </c>
      <c r="F442" s="2">
        <v>1076</v>
      </c>
      <c r="G442" s="2">
        <v>1076</v>
      </c>
      <c r="I442" t="s">
        <v>161</v>
      </c>
      <c r="J442" t="s">
        <v>18</v>
      </c>
    </row>
    <row r="443" spans="1:10" x14ac:dyDescent="0.25">
      <c r="A443" t="s">
        <v>698</v>
      </c>
      <c r="C443">
        <v>10</v>
      </c>
      <c r="D443" s="1">
        <v>43774</v>
      </c>
      <c r="E443" s="1">
        <v>43787</v>
      </c>
      <c r="F443" s="2">
        <v>8720</v>
      </c>
      <c r="G443" s="2">
        <v>8720</v>
      </c>
      <c r="H443">
        <v>0</v>
      </c>
    </row>
    <row r="444" spans="1:10" x14ac:dyDescent="0.25">
      <c r="A444" t="s">
        <v>699</v>
      </c>
      <c r="B444" t="s">
        <v>149</v>
      </c>
      <c r="C444">
        <v>10</v>
      </c>
      <c r="D444" s="1">
        <v>43774</v>
      </c>
      <c r="E444" s="1">
        <v>43787</v>
      </c>
      <c r="F444" s="2">
        <v>8720</v>
      </c>
      <c r="G444" s="2">
        <v>8720</v>
      </c>
      <c r="I444" t="s">
        <v>161</v>
      </c>
      <c r="J444" t="s">
        <v>18</v>
      </c>
    </row>
    <row r="445" spans="1:10" x14ac:dyDescent="0.25">
      <c r="A445" t="s">
        <v>700</v>
      </c>
      <c r="C445">
        <v>10</v>
      </c>
      <c r="D445" s="1">
        <v>43788</v>
      </c>
      <c r="E445" s="1">
        <v>43803</v>
      </c>
      <c r="F445" s="2">
        <v>9090</v>
      </c>
      <c r="G445" s="2">
        <v>9090</v>
      </c>
      <c r="H445">
        <v>0</v>
      </c>
    </row>
    <row r="446" spans="1:10" x14ac:dyDescent="0.25">
      <c r="A446" t="s">
        <v>701</v>
      </c>
      <c r="B446" t="s">
        <v>702</v>
      </c>
      <c r="C446">
        <v>10</v>
      </c>
      <c r="D446" s="1">
        <v>43788</v>
      </c>
      <c r="E446" s="1">
        <v>43803</v>
      </c>
      <c r="F446" s="2">
        <v>9090</v>
      </c>
      <c r="G446" s="2">
        <v>9090</v>
      </c>
      <c r="I446" t="s">
        <v>161</v>
      </c>
      <c r="J446" t="s">
        <v>18</v>
      </c>
    </row>
    <row r="447" spans="1:10" x14ac:dyDescent="0.25">
      <c r="A447" t="s">
        <v>703</v>
      </c>
      <c r="C447">
        <v>10</v>
      </c>
      <c r="D447" s="1">
        <v>43795</v>
      </c>
      <c r="E447" s="1">
        <v>43810</v>
      </c>
      <c r="F447" s="2">
        <v>5816</v>
      </c>
      <c r="G447" s="2">
        <v>5816</v>
      </c>
      <c r="H447">
        <v>0</v>
      </c>
    </row>
    <row r="448" spans="1:10" x14ac:dyDescent="0.25">
      <c r="A448" t="s">
        <v>704</v>
      </c>
      <c r="B448" t="s">
        <v>194</v>
      </c>
      <c r="C448">
        <v>5</v>
      </c>
      <c r="D448" s="1">
        <v>43795</v>
      </c>
      <c r="E448" s="1">
        <v>43803</v>
      </c>
      <c r="F448" s="2">
        <v>436</v>
      </c>
      <c r="G448" s="2">
        <v>436</v>
      </c>
      <c r="I448" t="s">
        <v>161</v>
      </c>
      <c r="J448" t="s">
        <v>18</v>
      </c>
    </row>
    <row r="449" spans="1:10" x14ac:dyDescent="0.25">
      <c r="A449" t="s">
        <v>705</v>
      </c>
      <c r="B449" t="s">
        <v>165</v>
      </c>
      <c r="C449">
        <v>5</v>
      </c>
      <c r="D449" s="1">
        <v>43804</v>
      </c>
      <c r="E449" s="1">
        <v>43810</v>
      </c>
      <c r="F449" s="2">
        <v>5380</v>
      </c>
      <c r="G449" s="2">
        <v>5380</v>
      </c>
      <c r="I449" t="s">
        <v>161</v>
      </c>
      <c r="J449" t="s">
        <v>18</v>
      </c>
    </row>
    <row r="450" spans="1:10" x14ac:dyDescent="0.25">
      <c r="A450" t="s">
        <v>509</v>
      </c>
      <c r="C450">
        <v>2</v>
      </c>
      <c r="D450" s="1">
        <v>43805</v>
      </c>
      <c r="E450" s="1">
        <v>43808</v>
      </c>
      <c r="F450" s="2">
        <v>1744</v>
      </c>
      <c r="G450" s="2">
        <v>1744</v>
      </c>
      <c r="H450">
        <v>0</v>
      </c>
    </row>
    <row r="451" spans="1:10" x14ac:dyDescent="0.25">
      <c r="A451" t="s">
        <v>706</v>
      </c>
      <c r="B451" t="s">
        <v>385</v>
      </c>
      <c r="C451">
        <v>2</v>
      </c>
      <c r="D451" s="1">
        <v>43805</v>
      </c>
      <c r="E451" s="1">
        <v>43808</v>
      </c>
      <c r="F451" s="2">
        <v>1744</v>
      </c>
      <c r="G451" s="2">
        <v>1744</v>
      </c>
      <c r="I451" t="s">
        <v>111</v>
      </c>
      <c r="J451" t="s">
        <v>18</v>
      </c>
    </row>
    <row r="452" spans="1:10" x14ac:dyDescent="0.25">
      <c r="A452" t="s">
        <v>707</v>
      </c>
      <c r="C452">
        <v>33</v>
      </c>
      <c r="D452" s="1">
        <v>43843</v>
      </c>
      <c r="E452" s="1">
        <v>43888</v>
      </c>
      <c r="F452" s="2">
        <v>16062</v>
      </c>
      <c r="G452" s="2">
        <v>16062</v>
      </c>
      <c r="H452">
        <v>0</v>
      </c>
    </row>
    <row r="453" spans="1:10" x14ac:dyDescent="0.25">
      <c r="A453" t="s">
        <v>708</v>
      </c>
      <c r="B453" t="s">
        <v>285</v>
      </c>
      <c r="C453">
        <v>3</v>
      </c>
      <c r="D453" t="s">
        <v>709</v>
      </c>
      <c r="E453" s="1">
        <v>43845</v>
      </c>
      <c r="F453" s="2">
        <v>13278</v>
      </c>
      <c r="G453" s="2">
        <v>13278</v>
      </c>
      <c r="I453" t="s">
        <v>655</v>
      </c>
      <c r="J453" t="s">
        <v>152</v>
      </c>
    </row>
    <row r="454" spans="1:10" x14ac:dyDescent="0.25">
      <c r="A454" t="s">
        <v>710</v>
      </c>
      <c r="B454" t="s">
        <v>154</v>
      </c>
      <c r="C454">
        <v>20</v>
      </c>
      <c r="D454" s="1">
        <v>43861</v>
      </c>
      <c r="E454" s="1">
        <v>43888</v>
      </c>
      <c r="F454" s="2">
        <v>2784</v>
      </c>
      <c r="G454" s="2">
        <v>2784</v>
      </c>
      <c r="I454" t="s">
        <v>32</v>
      </c>
      <c r="J454" t="s">
        <v>18</v>
      </c>
    </row>
    <row r="455" spans="1:10" x14ac:dyDescent="0.25">
      <c r="A455" t="s">
        <v>529</v>
      </c>
      <c r="C455">
        <v>2</v>
      </c>
      <c r="D455" s="1">
        <v>43880</v>
      </c>
      <c r="E455" s="1">
        <v>43881</v>
      </c>
      <c r="F455" s="2">
        <v>1744</v>
      </c>
      <c r="G455" s="2">
        <v>1744</v>
      </c>
      <c r="H455">
        <v>0</v>
      </c>
    </row>
    <row r="456" spans="1:10" x14ac:dyDescent="0.25">
      <c r="A456" t="s">
        <v>711</v>
      </c>
      <c r="B456" t="s">
        <v>397</v>
      </c>
      <c r="C456">
        <v>2</v>
      </c>
      <c r="D456" s="1">
        <v>43880</v>
      </c>
      <c r="E456" s="1">
        <v>43881</v>
      </c>
      <c r="F456" s="2">
        <v>1744</v>
      </c>
      <c r="G456" s="2">
        <v>1744</v>
      </c>
      <c r="I456" t="s">
        <v>111</v>
      </c>
      <c r="J456" t="s">
        <v>18</v>
      </c>
    </row>
    <row r="457" spans="1:10" x14ac:dyDescent="0.25">
      <c r="A457" t="s">
        <v>712</v>
      </c>
      <c r="C457">
        <v>81</v>
      </c>
      <c r="D457" s="1">
        <v>43892</v>
      </c>
      <c r="E457" s="1">
        <v>44005</v>
      </c>
      <c r="F457" s="2">
        <v>57068.67</v>
      </c>
      <c r="G457" s="2">
        <v>57068.67</v>
      </c>
      <c r="H457">
        <v>32</v>
      </c>
    </row>
    <row r="458" spans="1:10" x14ac:dyDescent="0.25">
      <c r="A458" t="s">
        <v>713</v>
      </c>
      <c r="B458" t="s">
        <v>714</v>
      </c>
      <c r="C458">
        <v>40</v>
      </c>
      <c r="D458" s="1">
        <v>43892</v>
      </c>
      <c r="E458" s="1">
        <v>43945</v>
      </c>
      <c r="F458" s="2">
        <v>4360</v>
      </c>
      <c r="G458" s="2">
        <v>4360</v>
      </c>
      <c r="I458" t="s">
        <v>161</v>
      </c>
      <c r="J458" t="s">
        <v>18</v>
      </c>
    </row>
    <row r="459" spans="1:10" x14ac:dyDescent="0.25">
      <c r="A459" t="s">
        <v>715</v>
      </c>
      <c r="B459" t="s">
        <v>716</v>
      </c>
      <c r="C459">
        <v>2</v>
      </c>
      <c r="D459" t="s">
        <v>717</v>
      </c>
      <c r="E459" s="1">
        <v>43949</v>
      </c>
      <c r="F459" s="2">
        <v>4076.67</v>
      </c>
      <c r="G459" s="2">
        <v>4076.67</v>
      </c>
      <c r="I459" t="s">
        <v>161</v>
      </c>
      <c r="J459" t="s">
        <v>18</v>
      </c>
    </row>
    <row r="460" spans="1:10" x14ac:dyDescent="0.25">
      <c r="A460" t="s">
        <v>718</v>
      </c>
      <c r="B460" t="s">
        <v>168</v>
      </c>
      <c r="C460">
        <v>2</v>
      </c>
      <c r="D460" s="1">
        <v>43950</v>
      </c>
      <c r="E460" s="1">
        <v>43951</v>
      </c>
      <c r="F460" s="2">
        <v>6354</v>
      </c>
      <c r="G460" s="2">
        <v>6354</v>
      </c>
      <c r="H460">
        <v>32</v>
      </c>
      <c r="I460" t="s">
        <v>161</v>
      </c>
      <c r="J460" t="s">
        <v>18</v>
      </c>
    </row>
    <row r="461" spans="1:10" x14ac:dyDescent="0.25">
      <c r="A461" t="s">
        <v>719</v>
      </c>
      <c r="B461" t="s">
        <v>720</v>
      </c>
      <c r="C461">
        <v>2</v>
      </c>
      <c r="D461" s="1">
        <v>43952</v>
      </c>
      <c r="E461" s="1">
        <v>43955</v>
      </c>
      <c r="F461" s="2">
        <v>1714</v>
      </c>
      <c r="G461" s="2">
        <v>1714</v>
      </c>
      <c r="I461" t="s">
        <v>161</v>
      </c>
      <c r="J461" t="s">
        <v>18</v>
      </c>
    </row>
    <row r="462" spans="1:10" x14ac:dyDescent="0.25">
      <c r="A462" t="s">
        <v>721</v>
      </c>
      <c r="B462" t="s">
        <v>722</v>
      </c>
      <c r="C462">
        <v>2</v>
      </c>
      <c r="D462" s="1">
        <v>43956</v>
      </c>
      <c r="E462" s="1">
        <v>43957</v>
      </c>
      <c r="F462" s="2">
        <v>1714</v>
      </c>
      <c r="G462" s="2">
        <v>1714</v>
      </c>
      <c r="I462" t="s">
        <v>161</v>
      </c>
      <c r="J462" t="s">
        <v>18</v>
      </c>
    </row>
    <row r="463" spans="1:10" x14ac:dyDescent="0.25">
      <c r="A463" t="s">
        <v>723</v>
      </c>
      <c r="B463" t="s">
        <v>724</v>
      </c>
      <c r="C463">
        <v>3</v>
      </c>
      <c r="D463" s="1">
        <v>43958</v>
      </c>
      <c r="E463" s="1">
        <v>43962</v>
      </c>
      <c r="F463" s="2">
        <v>8100</v>
      </c>
      <c r="G463" s="2">
        <v>8100</v>
      </c>
      <c r="I463" t="s">
        <v>161</v>
      </c>
      <c r="J463" t="s">
        <v>18</v>
      </c>
    </row>
    <row r="464" spans="1:10" x14ac:dyDescent="0.25">
      <c r="A464" t="s">
        <v>725</v>
      </c>
      <c r="B464" t="s">
        <v>726</v>
      </c>
      <c r="C464">
        <v>5</v>
      </c>
      <c r="D464" s="1">
        <v>43963</v>
      </c>
      <c r="E464" s="1">
        <v>43969</v>
      </c>
      <c r="F464" s="2">
        <v>7555</v>
      </c>
      <c r="G464" s="2">
        <v>7555</v>
      </c>
      <c r="I464" t="s">
        <v>161</v>
      </c>
      <c r="J464" t="s">
        <v>426</v>
      </c>
    </row>
    <row r="465" spans="1:10" x14ac:dyDescent="0.25">
      <c r="A465" t="s">
        <v>727</v>
      </c>
      <c r="B465" t="s">
        <v>728</v>
      </c>
      <c r="C465">
        <v>1</v>
      </c>
      <c r="D465" s="1">
        <v>43969</v>
      </c>
      <c r="E465" s="1">
        <v>43970</v>
      </c>
      <c r="F465" s="2">
        <v>2872</v>
      </c>
      <c r="G465" s="2">
        <v>2872</v>
      </c>
      <c r="I465" t="s">
        <v>161</v>
      </c>
      <c r="J465" t="s">
        <v>426</v>
      </c>
    </row>
    <row r="466" spans="1:10" x14ac:dyDescent="0.25">
      <c r="A466" t="s">
        <v>729</v>
      </c>
      <c r="B466" t="s">
        <v>730</v>
      </c>
      <c r="C466">
        <v>5</v>
      </c>
      <c r="D466" s="1">
        <v>43971</v>
      </c>
      <c r="E466" s="1">
        <v>43978</v>
      </c>
      <c r="F466" s="2">
        <v>7555</v>
      </c>
      <c r="G466" s="2">
        <v>7555</v>
      </c>
      <c r="I466" t="s">
        <v>161</v>
      </c>
      <c r="J466" t="s">
        <v>426</v>
      </c>
    </row>
    <row r="467" spans="1:10" x14ac:dyDescent="0.25">
      <c r="A467" t="s">
        <v>731</v>
      </c>
      <c r="B467" t="s">
        <v>732</v>
      </c>
      <c r="C467">
        <v>3</v>
      </c>
      <c r="D467" s="1">
        <v>43979</v>
      </c>
      <c r="E467" s="1">
        <v>43983</v>
      </c>
      <c r="F467" s="2">
        <v>8000</v>
      </c>
      <c r="G467" s="2">
        <v>8000</v>
      </c>
      <c r="I467" t="s">
        <v>161</v>
      </c>
      <c r="J467" t="s">
        <v>426</v>
      </c>
    </row>
    <row r="468" spans="1:10" x14ac:dyDescent="0.25">
      <c r="A468" t="s">
        <v>733</v>
      </c>
      <c r="B468" t="s">
        <v>734</v>
      </c>
      <c r="C468">
        <v>1</v>
      </c>
      <c r="D468" s="1">
        <v>43984</v>
      </c>
      <c r="E468" s="1">
        <v>43984</v>
      </c>
      <c r="F468" s="2">
        <v>1498</v>
      </c>
      <c r="G468" s="2">
        <v>1498</v>
      </c>
      <c r="I468" t="s">
        <v>161</v>
      </c>
      <c r="J468" t="s">
        <v>18</v>
      </c>
    </row>
    <row r="469" spans="1:10" x14ac:dyDescent="0.25">
      <c r="A469" t="s">
        <v>735</v>
      </c>
      <c r="B469" t="s">
        <v>736</v>
      </c>
      <c r="C469">
        <v>15</v>
      </c>
      <c r="D469" s="1">
        <v>43985</v>
      </c>
      <c r="E469" s="1">
        <v>44005</v>
      </c>
      <c r="F469" s="2">
        <v>3270</v>
      </c>
      <c r="G469" s="2">
        <v>3270</v>
      </c>
      <c r="I469" t="s">
        <v>161</v>
      </c>
      <c r="J469" t="s">
        <v>18</v>
      </c>
    </row>
    <row r="470" spans="1:10" x14ac:dyDescent="0.25">
      <c r="A470" t="s">
        <v>737</v>
      </c>
      <c r="C470">
        <v>343</v>
      </c>
      <c r="D470" s="1">
        <v>44221</v>
      </c>
      <c r="E470" s="1">
        <v>44718</v>
      </c>
      <c r="F470" s="2">
        <v>939457.17</v>
      </c>
      <c r="G470" s="2">
        <v>939457.17</v>
      </c>
      <c r="H470">
        <v>43</v>
      </c>
    </row>
    <row r="471" spans="1:10" x14ac:dyDescent="0.25">
      <c r="A471" t="s">
        <v>738</v>
      </c>
      <c r="C471">
        <v>154</v>
      </c>
      <c r="D471" s="1">
        <v>44221</v>
      </c>
      <c r="E471" s="1">
        <v>44438</v>
      </c>
      <c r="F471" s="2">
        <v>302727.83</v>
      </c>
      <c r="G471" s="2">
        <v>302727.83</v>
      </c>
      <c r="H471">
        <v>27</v>
      </c>
    </row>
    <row r="472" spans="1:10" x14ac:dyDescent="0.25">
      <c r="A472" t="s">
        <v>180</v>
      </c>
      <c r="C472">
        <v>144</v>
      </c>
      <c r="D472" s="1">
        <v>44235</v>
      </c>
      <c r="E472" s="1">
        <v>44438</v>
      </c>
      <c r="F472" s="2">
        <v>0</v>
      </c>
      <c r="G472" s="2">
        <v>0</v>
      </c>
      <c r="H472">
        <v>0</v>
      </c>
    </row>
    <row r="473" spans="1:10" x14ac:dyDescent="0.25">
      <c r="A473" t="s">
        <v>739</v>
      </c>
      <c r="B473" t="s">
        <v>740</v>
      </c>
      <c r="C473">
        <v>0</v>
      </c>
      <c r="D473" s="1">
        <v>44235</v>
      </c>
      <c r="F473" s="2">
        <v>0</v>
      </c>
      <c r="G473" s="2">
        <v>0</v>
      </c>
      <c r="I473" t="s">
        <v>184</v>
      </c>
      <c r="J473" t="s">
        <v>18</v>
      </c>
    </row>
    <row r="474" spans="1:10" x14ac:dyDescent="0.25">
      <c r="A474" t="s">
        <v>741</v>
      </c>
      <c r="B474" t="s">
        <v>742</v>
      </c>
      <c r="C474">
        <v>144</v>
      </c>
      <c r="D474" s="1">
        <v>44235</v>
      </c>
      <c r="E474" s="1">
        <v>44438</v>
      </c>
      <c r="F474" s="2">
        <v>0</v>
      </c>
      <c r="G474" s="2">
        <v>0</v>
      </c>
      <c r="I474" t="s">
        <v>184</v>
      </c>
      <c r="J474" t="s">
        <v>18</v>
      </c>
    </row>
    <row r="475" spans="1:10" x14ac:dyDescent="0.25">
      <c r="A475" t="s">
        <v>743</v>
      </c>
      <c r="B475" t="s">
        <v>744</v>
      </c>
      <c r="C475">
        <v>0</v>
      </c>
      <c r="E475" s="1">
        <v>44340</v>
      </c>
      <c r="F475" s="2">
        <v>0</v>
      </c>
      <c r="G475" s="2">
        <v>0</v>
      </c>
      <c r="I475" t="s">
        <v>184</v>
      </c>
      <c r="J475" t="s">
        <v>18</v>
      </c>
    </row>
    <row r="476" spans="1:10" x14ac:dyDescent="0.25">
      <c r="A476" t="s">
        <v>745</v>
      </c>
      <c r="B476" t="s">
        <v>746</v>
      </c>
      <c r="C476">
        <v>0</v>
      </c>
      <c r="E476" s="1">
        <v>44438</v>
      </c>
      <c r="F476" s="2">
        <v>0</v>
      </c>
      <c r="G476" s="2">
        <v>0</v>
      </c>
      <c r="I476" t="s">
        <v>184</v>
      </c>
      <c r="J476" t="s">
        <v>18</v>
      </c>
    </row>
    <row r="477" spans="1:10" x14ac:dyDescent="0.25">
      <c r="A477" t="s">
        <v>747</v>
      </c>
      <c r="C477">
        <v>13</v>
      </c>
      <c r="D477" s="1">
        <v>44221</v>
      </c>
      <c r="E477" s="1">
        <v>44237</v>
      </c>
      <c r="F477" s="2">
        <v>4026</v>
      </c>
      <c r="G477" s="2">
        <v>4026</v>
      </c>
      <c r="H477">
        <v>0</v>
      </c>
    </row>
    <row r="478" spans="1:10" x14ac:dyDescent="0.25">
      <c r="A478" t="s">
        <v>748</v>
      </c>
      <c r="B478" t="s">
        <v>194</v>
      </c>
      <c r="C478">
        <v>10</v>
      </c>
      <c r="D478" s="1">
        <v>44221</v>
      </c>
      <c r="E478" s="1">
        <v>44232</v>
      </c>
      <c r="F478" s="2">
        <v>3270</v>
      </c>
      <c r="G478" s="2">
        <v>3270</v>
      </c>
      <c r="I478" t="s">
        <v>161</v>
      </c>
      <c r="J478" t="s">
        <v>18</v>
      </c>
    </row>
    <row r="479" spans="1:10" x14ac:dyDescent="0.25">
      <c r="A479" t="s">
        <v>749</v>
      </c>
      <c r="B479" t="s">
        <v>165</v>
      </c>
      <c r="C479">
        <v>3</v>
      </c>
      <c r="D479" t="s">
        <v>750</v>
      </c>
      <c r="E479" s="1">
        <v>44237</v>
      </c>
      <c r="F479" s="2">
        <v>756</v>
      </c>
      <c r="G479" s="2">
        <v>756</v>
      </c>
      <c r="I479" t="s">
        <v>161</v>
      </c>
      <c r="J479" t="s">
        <v>18</v>
      </c>
    </row>
    <row r="480" spans="1:10" x14ac:dyDescent="0.25">
      <c r="A480" t="s">
        <v>751</v>
      </c>
      <c r="C480">
        <v>5</v>
      </c>
      <c r="D480" s="1">
        <v>44238</v>
      </c>
      <c r="E480" s="1">
        <v>44244</v>
      </c>
      <c r="F480" s="2">
        <v>5320</v>
      </c>
      <c r="G480" s="2">
        <v>5320</v>
      </c>
      <c r="H480">
        <v>0</v>
      </c>
    </row>
    <row r="481" spans="1:10" x14ac:dyDescent="0.25">
      <c r="A481" t="s">
        <v>752</v>
      </c>
      <c r="B481" t="s">
        <v>149</v>
      </c>
      <c r="C481">
        <v>5</v>
      </c>
      <c r="D481" s="1">
        <v>44238</v>
      </c>
      <c r="E481" s="1">
        <v>44244</v>
      </c>
      <c r="F481" s="2">
        <v>5320</v>
      </c>
      <c r="G481" s="2">
        <v>5320</v>
      </c>
      <c r="I481" t="s">
        <v>161</v>
      </c>
      <c r="J481" t="s">
        <v>18</v>
      </c>
    </row>
    <row r="482" spans="1:10" x14ac:dyDescent="0.25">
      <c r="A482" t="s">
        <v>753</v>
      </c>
      <c r="C482">
        <v>5</v>
      </c>
      <c r="D482" s="1">
        <v>44245</v>
      </c>
      <c r="E482" s="1">
        <v>44251</v>
      </c>
      <c r="F482" s="2">
        <v>7205</v>
      </c>
      <c r="G482" s="2">
        <v>7205</v>
      </c>
      <c r="H482">
        <v>0</v>
      </c>
    </row>
    <row r="483" spans="1:10" x14ac:dyDescent="0.25">
      <c r="A483" t="s">
        <v>754</v>
      </c>
      <c r="B483" t="s">
        <v>149</v>
      </c>
      <c r="C483">
        <v>5</v>
      </c>
      <c r="D483" s="1">
        <v>44245</v>
      </c>
      <c r="E483" s="1">
        <v>44251</v>
      </c>
      <c r="F483" s="2">
        <v>7205</v>
      </c>
      <c r="G483" s="2">
        <v>7205</v>
      </c>
      <c r="I483" t="s">
        <v>161</v>
      </c>
      <c r="J483" t="s">
        <v>18</v>
      </c>
    </row>
    <row r="484" spans="1:10" x14ac:dyDescent="0.25">
      <c r="A484" t="s">
        <v>755</v>
      </c>
      <c r="C484">
        <v>34</v>
      </c>
      <c r="D484" s="1">
        <v>44231</v>
      </c>
      <c r="E484" s="1">
        <v>44278</v>
      </c>
      <c r="F484" s="2">
        <v>54748.33</v>
      </c>
      <c r="G484" s="2">
        <v>54748.33</v>
      </c>
      <c r="H484">
        <v>16</v>
      </c>
    </row>
    <row r="485" spans="1:10" x14ac:dyDescent="0.25">
      <c r="A485" t="s">
        <v>756</v>
      </c>
      <c r="B485" t="s">
        <v>194</v>
      </c>
      <c r="C485">
        <v>15</v>
      </c>
      <c r="D485" s="1">
        <v>44231</v>
      </c>
      <c r="E485" s="1">
        <v>44251</v>
      </c>
      <c r="F485" s="2">
        <v>4905</v>
      </c>
      <c r="G485" s="2">
        <v>4905</v>
      </c>
      <c r="I485" t="s">
        <v>362</v>
      </c>
      <c r="J485" t="s">
        <v>18</v>
      </c>
    </row>
    <row r="486" spans="1:10" x14ac:dyDescent="0.25">
      <c r="A486" t="s">
        <v>757</v>
      </c>
      <c r="B486" t="s">
        <v>165</v>
      </c>
      <c r="C486">
        <v>4</v>
      </c>
      <c r="D486" s="1">
        <v>44252</v>
      </c>
      <c r="E486" s="1">
        <v>44257</v>
      </c>
      <c r="F486" s="2">
        <v>10732</v>
      </c>
      <c r="G486" s="2">
        <v>10732</v>
      </c>
      <c r="I486" t="s">
        <v>362</v>
      </c>
      <c r="J486" t="s">
        <v>18</v>
      </c>
    </row>
    <row r="487" spans="1:10" x14ac:dyDescent="0.25">
      <c r="A487" t="s">
        <v>758</v>
      </c>
      <c r="B487" t="s">
        <v>168</v>
      </c>
      <c r="C487">
        <v>2</v>
      </c>
      <c r="D487" s="1">
        <v>44258</v>
      </c>
      <c r="E487" s="1">
        <v>44259</v>
      </c>
      <c r="F487" s="2">
        <v>2964</v>
      </c>
      <c r="G487" s="2">
        <v>2964</v>
      </c>
      <c r="H487">
        <v>16</v>
      </c>
      <c r="I487" t="s">
        <v>161</v>
      </c>
      <c r="J487" t="s">
        <v>18</v>
      </c>
    </row>
    <row r="488" spans="1:10" x14ac:dyDescent="0.25">
      <c r="A488" t="s">
        <v>759</v>
      </c>
      <c r="B488" t="s">
        <v>149</v>
      </c>
      <c r="C488">
        <v>10</v>
      </c>
      <c r="D488" s="1">
        <v>44260</v>
      </c>
      <c r="E488" s="1">
        <v>44273</v>
      </c>
      <c r="F488" s="2">
        <v>32033.33</v>
      </c>
      <c r="G488" s="2">
        <v>32033.33</v>
      </c>
      <c r="I488" t="s">
        <v>362</v>
      </c>
      <c r="J488" t="s">
        <v>18</v>
      </c>
    </row>
    <row r="489" spans="1:10" x14ac:dyDescent="0.25">
      <c r="A489" t="s">
        <v>760</v>
      </c>
      <c r="B489" t="s">
        <v>176</v>
      </c>
      <c r="C489">
        <v>1</v>
      </c>
      <c r="D489" s="1">
        <v>44274</v>
      </c>
      <c r="E489" s="1">
        <v>44274</v>
      </c>
      <c r="F489" s="2">
        <v>1498</v>
      </c>
      <c r="G489" s="2">
        <v>1498</v>
      </c>
      <c r="I489" t="s">
        <v>161</v>
      </c>
      <c r="J489" t="s">
        <v>18</v>
      </c>
    </row>
    <row r="490" spans="1:10" x14ac:dyDescent="0.25">
      <c r="A490" t="s">
        <v>761</v>
      </c>
      <c r="B490" t="s">
        <v>368</v>
      </c>
      <c r="C490">
        <v>2</v>
      </c>
      <c r="D490" s="1">
        <v>44277</v>
      </c>
      <c r="E490" s="1">
        <v>44278</v>
      </c>
      <c r="F490" s="2">
        <v>2616</v>
      </c>
      <c r="G490" s="2">
        <v>2616</v>
      </c>
      <c r="I490" t="s">
        <v>362</v>
      </c>
      <c r="J490" t="s">
        <v>18</v>
      </c>
    </row>
    <row r="491" spans="1:10" x14ac:dyDescent="0.25">
      <c r="A491" t="s">
        <v>762</v>
      </c>
      <c r="C491">
        <v>89</v>
      </c>
      <c r="D491" s="1">
        <v>44263</v>
      </c>
      <c r="E491" s="1">
        <v>44389</v>
      </c>
      <c r="F491" s="2">
        <v>38288.5</v>
      </c>
      <c r="G491" s="2">
        <v>38288.5</v>
      </c>
      <c r="H491">
        <v>11</v>
      </c>
    </row>
    <row r="492" spans="1:10" x14ac:dyDescent="0.25">
      <c r="A492" t="s">
        <v>763</v>
      </c>
      <c r="B492" t="s">
        <v>194</v>
      </c>
      <c r="C492">
        <v>10</v>
      </c>
      <c r="D492" s="1">
        <v>44263</v>
      </c>
      <c r="E492" s="1">
        <v>44274</v>
      </c>
      <c r="F492" s="2">
        <v>2180</v>
      </c>
      <c r="G492" s="2">
        <v>2180</v>
      </c>
      <c r="I492" t="s">
        <v>161</v>
      </c>
      <c r="J492" t="s">
        <v>18</v>
      </c>
    </row>
    <row r="493" spans="1:10" x14ac:dyDescent="0.25">
      <c r="A493" t="s">
        <v>764</v>
      </c>
      <c r="B493" t="s">
        <v>165</v>
      </c>
      <c r="C493">
        <v>4</v>
      </c>
      <c r="D493" s="1">
        <v>44277</v>
      </c>
      <c r="E493" s="1">
        <v>44280</v>
      </c>
      <c r="F493" s="2">
        <v>4712</v>
      </c>
      <c r="G493" s="2">
        <v>4712</v>
      </c>
      <c r="I493" t="s">
        <v>161</v>
      </c>
      <c r="J493" t="s">
        <v>18</v>
      </c>
    </row>
    <row r="494" spans="1:10" x14ac:dyDescent="0.25">
      <c r="A494" t="s">
        <v>765</v>
      </c>
      <c r="B494" t="s">
        <v>168</v>
      </c>
      <c r="C494">
        <v>1</v>
      </c>
      <c r="D494" s="1">
        <v>44281</v>
      </c>
      <c r="E494" s="1">
        <v>44281</v>
      </c>
      <c r="F494" s="2">
        <v>1992.5</v>
      </c>
      <c r="G494" s="2">
        <v>1992.5</v>
      </c>
      <c r="H494">
        <v>11</v>
      </c>
      <c r="I494" t="s">
        <v>161</v>
      </c>
      <c r="J494" t="s">
        <v>18</v>
      </c>
    </row>
    <row r="495" spans="1:10" x14ac:dyDescent="0.25">
      <c r="A495" t="s">
        <v>766</v>
      </c>
      <c r="B495" t="s">
        <v>149</v>
      </c>
      <c r="C495">
        <v>12</v>
      </c>
      <c r="D495" s="1">
        <v>44284</v>
      </c>
      <c r="E495" s="1">
        <v>44299</v>
      </c>
      <c r="F495" s="2">
        <v>23328</v>
      </c>
      <c r="G495" s="2">
        <v>23328</v>
      </c>
      <c r="I495" t="s">
        <v>161</v>
      </c>
      <c r="J495" t="s">
        <v>18</v>
      </c>
    </row>
    <row r="496" spans="1:10" x14ac:dyDescent="0.25">
      <c r="A496" t="s">
        <v>767</v>
      </c>
      <c r="B496" t="s">
        <v>176</v>
      </c>
      <c r="C496">
        <v>2</v>
      </c>
      <c r="D496" s="1">
        <v>44300</v>
      </c>
      <c r="E496" s="1">
        <v>44301</v>
      </c>
      <c r="F496" s="2">
        <v>1716</v>
      </c>
      <c r="G496" s="2">
        <v>1716</v>
      </c>
      <c r="I496" t="s">
        <v>161</v>
      </c>
      <c r="J496" t="s">
        <v>18</v>
      </c>
    </row>
    <row r="497" spans="1:10" x14ac:dyDescent="0.25">
      <c r="A497" t="s">
        <v>768</v>
      </c>
      <c r="B497" t="s">
        <v>479</v>
      </c>
      <c r="C497">
        <v>60</v>
      </c>
      <c r="D497" s="1">
        <v>44302</v>
      </c>
      <c r="E497" s="1">
        <v>44389</v>
      </c>
      <c r="F497" s="2">
        <v>4360</v>
      </c>
      <c r="G497" s="2">
        <v>4360</v>
      </c>
      <c r="I497" t="s">
        <v>161</v>
      </c>
      <c r="J497" t="s">
        <v>18</v>
      </c>
    </row>
    <row r="498" spans="1:10" x14ac:dyDescent="0.25">
      <c r="A498" t="s">
        <v>769</v>
      </c>
      <c r="C498">
        <v>77</v>
      </c>
      <c r="D498" s="1">
        <v>44232</v>
      </c>
      <c r="E498" s="1">
        <v>44340</v>
      </c>
      <c r="F498" s="2">
        <v>23056</v>
      </c>
      <c r="G498" s="2">
        <v>23056</v>
      </c>
      <c r="H498">
        <v>0</v>
      </c>
    </row>
    <row r="499" spans="1:10" x14ac:dyDescent="0.25">
      <c r="A499" t="s">
        <v>770</v>
      </c>
      <c r="B499" t="s">
        <v>194</v>
      </c>
      <c r="C499">
        <v>50</v>
      </c>
      <c r="D499" s="1">
        <v>44232</v>
      </c>
      <c r="E499" s="1">
        <v>44301</v>
      </c>
      <c r="F499" s="2">
        <v>4600</v>
      </c>
      <c r="G499" s="2">
        <v>4600</v>
      </c>
      <c r="I499" t="s">
        <v>390</v>
      </c>
      <c r="J499" t="s">
        <v>18</v>
      </c>
    </row>
    <row r="500" spans="1:10" x14ac:dyDescent="0.25">
      <c r="A500" t="s">
        <v>771</v>
      </c>
      <c r="B500" t="s">
        <v>165</v>
      </c>
      <c r="C500">
        <v>2</v>
      </c>
      <c r="D500" s="1">
        <v>44302</v>
      </c>
      <c r="E500" s="1">
        <v>44305</v>
      </c>
      <c r="F500" s="2">
        <v>2152</v>
      </c>
      <c r="G500" s="2">
        <v>2152</v>
      </c>
      <c r="I500" t="s">
        <v>161</v>
      </c>
      <c r="J500" t="s">
        <v>18</v>
      </c>
    </row>
    <row r="501" spans="1:10" x14ac:dyDescent="0.25">
      <c r="A501" t="s">
        <v>772</v>
      </c>
      <c r="B501" t="s">
        <v>149</v>
      </c>
      <c r="C501">
        <v>5</v>
      </c>
      <c r="D501" s="1">
        <v>44306</v>
      </c>
      <c r="E501" s="1">
        <v>44312</v>
      </c>
      <c r="F501" s="2">
        <v>12670</v>
      </c>
      <c r="G501" s="2">
        <v>12670</v>
      </c>
      <c r="I501" t="s">
        <v>390</v>
      </c>
      <c r="J501" t="s">
        <v>18</v>
      </c>
    </row>
    <row r="502" spans="1:10" x14ac:dyDescent="0.25">
      <c r="A502" t="s">
        <v>773</v>
      </c>
      <c r="B502" t="s">
        <v>176</v>
      </c>
      <c r="C502">
        <v>1</v>
      </c>
      <c r="D502" s="1">
        <v>44313</v>
      </c>
      <c r="E502" s="1">
        <v>44313</v>
      </c>
      <c r="F502" s="2">
        <v>1076</v>
      </c>
      <c r="G502" s="2">
        <v>1076</v>
      </c>
      <c r="I502" t="s">
        <v>161</v>
      </c>
      <c r="J502" t="s">
        <v>18</v>
      </c>
    </row>
    <row r="503" spans="1:10" x14ac:dyDescent="0.25">
      <c r="A503" t="s">
        <v>774</v>
      </c>
      <c r="B503" t="s">
        <v>154</v>
      </c>
      <c r="C503">
        <v>20</v>
      </c>
      <c r="D503" s="1">
        <v>44313</v>
      </c>
      <c r="E503" s="1">
        <v>44340</v>
      </c>
      <c r="F503" s="2">
        <v>2558</v>
      </c>
      <c r="G503" s="2">
        <v>2558</v>
      </c>
      <c r="I503" t="s">
        <v>390</v>
      </c>
      <c r="J503" t="s">
        <v>18</v>
      </c>
    </row>
    <row r="504" spans="1:10" x14ac:dyDescent="0.25">
      <c r="A504" t="s">
        <v>775</v>
      </c>
      <c r="C504">
        <v>69</v>
      </c>
      <c r="D504" s="1">
        <v>44258</v>
      </c>
      <c r="E504" s="1">
        <v>44355</v>
      </c>
      <c r="F504" s="2">
        <v>58648</v>
      </c>
      <c r="G504" s="2">
        <v>58648</v>
      </c>
      <c r="H504">
        <v>0</v>
      </c>
    </row>
    <row r="505" spans="1:10" x14ac:dyDescent="0.25">
      <c r="A505" t="s">
        <v>776</v>
      </c>
      <c r="B505" t="s">
        <v>194</v>
      </c>
      <c r="C505">
        <v>40</v>
      </c>
      <c r="D505" s="1">
        <v>44258</v>
      </c>
      <c r="E505" s="1">
        <v>44313</v>
      </c>
      <c r="F505" s="2">
        <v>981</v>
      </c>
      <c r="G505" s="2">
        <v>981</v>
      </c>
      <c r="I505" t="s">
        <v>161</v>
      </c>
      <c r="J505" t="s">
        <v>18</v>
      </c>
    </row>
    <row r="506" spans="1:10" x14ac:dyDescent="0.25">
      <c r="A506" t="s">
        <v>777</v>
      </c>
      <c r="B506" t="s">
        <v>660</v>
      </c>
      <c r="C506">
        <v>5</v>
      </c>
      <c r="D506" s="1">
        <v>44314</v>
      </c>
      <c r="E506" s="1">
        <v>44318</v>
      </c>
      <c r="F506" s="2">
        <v>6220</v>
      </c>
      <c r="G506" s="2">
        <v>6220</v>
      </c>
      <c r="I506" t="s">
        <v>161</v>
      </c>
      <c r="J506" t="s">
        <v>18</v>
      </c>
    </row>
    <row r="507" spans="1:10" x14ac:dyDescent="0.25">
      <c r="A507" t="s">
        <v>778</v>
      </c>
      <c r="B507" t="s">
        <v>662</v>
      </c>
      <c r="C507">
        <v>16</v>
      </c>
      <c r="D507" s="1">
        <v>44319</v>
      </c>
      <c r="E507" s="1">
        <v>44334</v>
      </c>
      <c r="F507" s="2">
        <v>22512</v>
      </c>
      <c r="G507" s="2">
        <v>22512</v>
      </c>
      <c r="I507" t="s">
        <v>161</v>
      </c>
      <c r="J507" t="s">
        <v>18</v>
      </c>
    </row>
    <row r="508" spans="1:10" x14ac:dyDescent="0.25">
      <c r="A508" t="s">
        <v>779</v>
      </c>
      <c r="B508" t="s">
        <v>664</v>
      </c>
      <c r="C508">
        <v>1</v>
      </c>
      <c r="D508" s="1">
        <v>44335</v>
      </c>
      <c r="E508" s="1">
        <v>44335</v>
      </c>
      <c r="F508" s="2">
        <v>1076</v>
      </c>
      <c r="G508" s="2">
        <v>1076</v>
      </c>
      <c r="I508" t="s">
        <v>161</v>
      </c>
      <c r="J508" t="s">
        <v>18</v>
      </c>
    </row>
    <row r="509" spans="1:10" x14ac:dyDescent="0.25">
      <c r="A509" t="s">
        <v>780</v>
      </c>
      <c r="B509" t="s">
        <v>666</v>
      </c>
      <c r="C509">
        <v>19</v>
      </c>
      <c r="D509" s="1">
        <v>44336</v>
      </c>
      <c r="E509" s="1">
        <v>44354</v>
      </c>
      <c r="F509" s="2">
        <v>26783</v>
      </c>
      <c r="G509" s="2">
        <v>26783</v>
      </c>
      <c r="I509" t="s">
        <v>161</v>
      </c>
      <c r="J509" t="s">
        <v>18</v>
      </c>
    </row>
    <row r="510" spans="1:10" x14ac:dyDescent="0.25">
      <c r="A510" t="s">
        <v>781</v>
      </c>
      <c r="B510" t="s">
        <v>668</v>
      </c>
      <c r="C510">
        <v>1</v>
      </c>
      <c r="D510" s="1">
        <v>44355</v>
      </c>
      <c r="E510" s="1">
        <v>44355</v>
      </c>
      <c r="F510" s="2">
        <v>1076</v>
      </c>
      <c r="G510" s="2">
        <v>1076</v>
      </c>
      <c r="I510" t="s">
        <v>161</v>
      </c>
      <c r="J510" t="s">
        <v>18</v>
      </c>
    </row>
    <row r="511" spans="1:10" x14ac:dyDescent="0.25">
      <c r="A511" t="s">
        <v>782</v>
      </c>
      <c r="C511">
        <v>28</v>
      </c>
      <c r="D511" s="1">
        <v>44356</v>
      </c>
      <c r="E511" s="1">
        <v>44396</v>
      </c>
      <c r="F511" s="2">
        <v>55718</v>
      </c>
      <c r="G511" s="2">
        <v>55718</v>
      </c>
      <c r="H511">
        <v>0</v>
      </c>
    </row>
    <row r="512" spans="1:10" x14ac:dyDescent="0.25">
      <c r="A512" t="s">
        <v>783</v>
      </c>
      <c r="B512" t="s">
        <v>672</v>
      </c>
      <c r="C512">
        <v>19</v>
      </c>
      <c r="D512" s="1">
        <v>44356</v>
      </c>
      <c r="E512" s="1">
        <v>44374</v>
      </c>
      <c r="F512" s="2">
        <v>26783</v>
      </c>
      <c r="G512" s="2">
        <v>26783</v>
      </c>
      <c r="I512" t="s">
        <v>161</v>
      </c>
      <c r="J512" t="s">
        <v>18</v>
      </c>
    </row>
    <row r="513" spans="1:10" x14ac:dyDescent="0.25">
      <c r="A513" t="s">
        <v>784</v>
      </c>
      <c r="B513" t="s">
        <v>674</v>
      </c>
      <c r="C513">
        <v>1</v>
      </c>
      <c r="D513" s="1">
        <v>44375</v>
      </c>
      <c r="E513" s="1">
        <v>44375</v>
      </c>
      <c r="F513" s="2">
        <v>1076</v>
      </c>
      <c r="G513" s="2">
        <v>1076</v>
      </c>
      <c r="I513" t="s">
        <v>161</v>
      </c>
      <c r="J513" t="s">
        <v>18</v>
      </c>
    </row>
    <row r="514" spans="1:10" x14ac:dyDescent="0.25">
      <c r="A514" t="s">
        <v>785</v>
      </c>
      <c r="B514" t="s">
        <v>676</v>
      </c>
      <c r="C514">
        <v>19</v>
      </c>
      <c r="D514" s="1">
        <v>44376</v>
      </c>
      <c r="E514" s="1">
        <v>44394</v>
      </c>
      <c r="F514" s="2">
        <v>26783</v>
      </c>
      <c r="G514" s="2">
        <v>26783</v>
      </c>
      <c r="I514" t="s">
        <v>161</v>
      </c>
      <c r="J514" t="s">
        <v>18</v>
      </c>
    </row>
    <row r="515" spans="1:10" x14ac:dyDescent="0.25">
      <c r="A515" t="s">
        <v>786</v>
      </c>
      <c r="B515" t="s">
        <v>678</v>
      </c>
      <c r="C515">
        <v>1</v>
      </c>
      <c r="D515" s="1">
        <v>44396</v>
      </c>
      <c r="E515" s="1">
        <v>44396</v>
      </c>
      <c r="F515" s="2">
        <v>1076</v>
      </c>
      <c r="G515" s="2">
        <v>1076</v>
      </c>
      <c r="I515" t="s">
        <v>161</v>
      </c>
      <c r="J515" t="s">
        <v>18</v>
      </c>
    </row>
    <row r="516" spans="1:10" x14ac:dyDescent="0.25">
      <c r="A516" t="s">
        <v>787</v>
      </c>
      <c r="C516">
        <v>30</v>
      </c>
      <c r="D516" s="1">
        <v>44397</v>
      </c>
      <c r="E516" s="1">
        <v>44438</v>
      </c>
      <c r="F516" s="2">
        <v>55718</v>
      </c>
      <c r="G516" s="2">
        <v>55718</v>
      </c>
      <c r="H516">
        <v>0</v>
      </c>
    </row>
    <row r="517" spans="1:10" x14ac:dyDescent="0.25">
      <c r="A517" t="s">
        <v>788</v>
      </c>
      <c r="B517" t="s">
        <v>681</v>
      </c>
      <c r="C517">
        <v>19</v>
      </c>
      <c r="D517" s="1">
        <v>44397</v>
      </c>
      <c r="E517" s="1">
        <v>44415</v>
      </c>
      <c r="F517" s="2">
        <v>26783</v>
      </c>
      <c r="G517" s="2">
        <v>26783</v>
      </c>
      <c r="I517" t="s">
        <v>161</v>
      </c>
      <c r="J517" t="s">
        <v>18</v>
      </c>
    </row>
    <row r="518" spans="1:10" x14ac:dyDescent="0.25">
      <c r="A518" t="s">
        <v>789</v>
      </c>
      <c r="B518" t="s">
        <v>683</v>
      </c>
      <c r="C518">
        <v>1</v>
      </c>
      <c r="D518" s="1">
        <v>44417</v>
      </c>
      <c r="E518" s="1">
        <v>44417</v>
      </c>
      <c r="F518" s="2">
        <v>1076</v>
      </c>
      <c r="G518" s="2">
        <v>1076</v>
      </c>
      <c r="I518" t="s">
        <v>161</v>
      </c>
      <c r="J518" t="s">
        <v>18</v>
      </c>
    </row>
    <row r="519" spans="1:10" x14ac:dyDescent="0.25">
      <c r="A519" t="s">
        <v>790</v>
      </c>
      <c r="B519" t="s">
        <v>685</v>
      </c>
      <c r="C519">
        <v>19</v>
      </c>
      <c r="D519" s="1">
        <v>44418</v>
      </c>
      <c r="E519" s="1">
        <v>44436</v>
      </c>
      <c r="F519" s="2">
        <v>26783</v>
      </c>
      <c r="G519" s="2">
        <v>26783</v>
      </c>
      <c r="I519" t="s">
        <v>161</v>
      </c>
      <c r="J519" t="s">
        <v>18</v>
      </c>
    </row>
    <row r="520" spans="1:10" x14ac:dyDescent="0.25">
      <c r="A520" t="s">
        <v>791</v>
      </c>
      <c r="B520" t="s">
        <v>687</v>
      </c>
      <c r="C520">
        <v>1</v>
      </c>
      <c r="D520" s="1">
        <v>44438</v>
      </c>
      <c r="E520" s="1">
        <v>44438</v>
      </c>
      <c r="F520" s="2">
        <v>1076</v>
      </c>
      <c r="G520" s="2">
        <v>1076</v>
      </c>
      <c r="I520" t="s">
        <v>161</v>
      </c>
      <c r="J520" t="s">
        <v>18</v>
      </c>
    </row>
    <row r="521" spans="1:10" x14ac:dyDescent="0.25">
      <c r="A521" t="s">
        <v>792</v>
      </c>
      <c r="C521">
        <v>333</v>
      </c>
      <c r="D521" s="1">
        <v>44235</v>
      </c>
      <c r="E521" s="1">
        <v>44718</v>
      </c>
      <c r="F521" s="2">
        <v>636729.32999999996</v>
      </c>
      <c r="G521" s="2">
        <v>636729.32999999996</v>
      </c>
      <c r="H521">
        <v>16</v>
      </c>
    </row>
    <row r="522" spans="1:10" x14ac:dyDescent="0.25">
      <c r="A522" t="s">
        <v>180</v>
      </c>
      <c r="C522">
        <v>323</v>
      </c>
      <c r="D522" s="1">
        <v>44249</v>
      </c>
      <c r="E522" s="1">
        <v>44718</v>
      </c>
      <c r="F522" s="2">
        <v>0</v>
      </c>
      <c r="G522" s="2">
        <v>0</v>
      </c>
      <c r="H522">
        <v>0</v>
      </c>
    </row>
    <row r="523" spans="1:10" x14ac:dyDescent="0.25">
      <c r="A523" t="s">
        <v>793</v>
      </c>
      <c r="B523" t="s">
        <v>794</v>
      </c>
      <c r="C523">
        <v>0</v>
      </c>
      <c r="D523" s="1">
        <v>44249</v>
      </c>
      <c r="F523" s="2">
        <v>0</v>
      </c>
      <c r="G523" s="2">
        <v>0</v>
      </c>
      <c r="I523" t="s">
        <v>184</v>
      </c>
      <c r="J523" t="s">
        <v>18</v>
      </c>
    </row>
    <row r="524" spans="1:10" x14ac:dyDescent="0.25">
      <c r="A524" t="s">
        <v>795</v>
      </c>
      <c r="B524" t="s">
        <v>796</v>
      </c>
      <c r="C524">
        <v>470</v>
      </c>
      <c r="D524" s="1">
        <v>44249</v>
      </c>
      <c r="E524" s="1">
        <v>44718</v>
      </c>
      <c r="F524" s="2">
        <v>0</v>
      </c>
      <c r="G524" s="2">
        <v>0</v>
      </c>
      <c r="I524" t="s">
        <v>184</v>
      </c>
      <c r="J524" t="s">
        <v>18</v>
      </c>
    </row>
    <row r="525" spans="1:10" x14ac:dyDescent="0.25">
      <c r="A525" t="s">
        <v>797</v>
      </c>
      <c r="B525" t="s">
        <v>798</v>
      </c>
      <c r="C525">
        <v>0</v>
      </c>
      <c r="E525" s="1">
        <v>44718</v>
      </c>
      <c r="F525" s="2">
        <v>0</v>
      </c>
      <c r="G525" s="2">
        <v>0</v>
      </c>
      <c r="I525" t="s">
        <v>184</v>
      </c>
      <c r="J525" t="s">
        <v>18</v>
      </c>
    </row>
    <row r="526" spans="1:10" x14ac:dyDescent="0.25">
      <c r="A526" t="s">
        <v>747</v>
      </c>
      <c r="C526">
        <v>13</v>
      </c>
      <c r="D526" s="1">
        <v>44235</v>
      </c>
      <c r="E526" s="1">
        <v>44251</v>
      </c>
      <c r="F526" s="2">
        <v>4026</v>
      </c>
      <c r="G526" s="2">
        <v>4026</v>
      </c>
      <c r="H526">
        <v>0</v>
      </c>
    </row>
    <row r="527" spans="1:10" x14ac:dyDescent="0.25">
      <c r="A527" t="s">
        <v>799</v>
      </c>
      <c r="B527" t="s">
        <v>194</v>
      </c>
      <c r="C527">
        <v>10</v>
      </c>
      <c r="D527" s="1">
        <v>44235</v>
      </c>
      <c r="E527" s="1">
        <v>44246</v>
      </c>
      <c r="F527" s="2">
        <v>3270</v>
      </c>
      <c r="G527" s="2">
        <v>3270</v>
      </c>
      <c r="I527" t="s">
        <v>161</v>
      </c>
      <c r="J527" t="s">
        <v>18</v>
      </c>
    </row>
    <row r="528" spans="1:10" x14ac:dyDescent="0.25">
      <c r="A528" t="s">
        <v>800</v>
      </c>
      <c r="B528" t="s">
        <v>165</v>
      </c>
      <c r="C528">
        <v>3</v>
      </c>
      <c r="D528" t="s">
        <v>801</v>
      </c>
      <c r="E528" s="1">
        <v>44251</v>
      </c>
      <c r="F528" s="2">
        <v>756</v>
      </c>
      <c r="G528" s="2">
        <v>756</v>
      </c>
      <c r="I528" t="s">
        <v>161</v>
      </c>
      <c r="J528" t="s">
        <v>18</v>
      </c>
    </row>
    <row r="529" spans="1:10" x14ac:dyDescent="0.25">
      <c r="A529" t="s">
        <v>751</v>
      </c>
      <c r="C529">
        <v>10</v>
      </c>
      <c r="D529" s="1">
        <v>44252</v>
      </c>
      <c r="E529" s="1">
        <v>44265</v>
      </c>
      <c r="F529" s="2">
        <v>10640</v>
      </c>
      <c r="G529" s="2">
        <v>10640</v>
      </c>
      <c r="H529">
        <v>0</v>
      </c>
    </row>
    <row r="530" spans="1:10" x14ac:dyDescent="0.25">
      <c r="A530" t="s">
        <v>802</v>
      </c>
      <c r="B530" t="s">
        <v>149</v>
      </c>
      <c r="C530">
        <v>10</v>
      </c>
      <c r="D530" s="1">
        <v>44252</v>
      </c>
      <c r="E530" s="1">
        <v>44265</v>
      </c>
      <c r="F530" s="2">
        <v>10640</v>
      </c>
      <c r="G530" s="2">
        <v>10640</v>
      </c>
      <c r="I530" t="s">
        <v>161</v>
      </c>
      <c r="J530" t="s">
        <v>18</v>
      </c>
    </row>
    <row r="531" spans="1:10" x14ac:dyDescent="0.25">
      <c r="A531" t="s">
        <v>753</v>
      </c>
      <c r="C531">
        <v>5</v>
      </c>
      <c r="D531" s="1">
        <v>44266</v>
      </c>
      <c r="E531" s="1">
        <v>44272</v>
      </c>
      <c r="F531" s="2">
        <v>7205</v>
      </c>
      <c r="G531" s="2">
        <v>7205</v>
      </c>
      <c r="H531">
        <v>0</v>
      </c>
    </row>
    <row r="532" spans="1:10" x14ac:dyDescent="0.25">
      <c r="A532" t="s">
        <v>803</v>
      </c>
      <c r="B532" t="s">
        <v>149</v>
      </c>
      <c r="C532">
        <v>5</v>
      </c>
      <c r="D532" s="1">
        <v>44266</v>
      </c>
      <c r="E532" s="1">
        <v>44272</v>
      </c>
      <c r="F532" s="2">
        <v>7205</v>
      </c>
      <c r="G532" s="2">
        <v>7205</v>
      </c>
      <c r="I532" t="s">
        <v>161</v>
      </c>
      <c r="J532" t="s">
        <v>18</v>
      </c>
    </row>
    <row r="533" spans="1:10" x14ac:dyDescent="0.25">
      <c r="A533" t="s">
        <v>804</v>
      </c>
      <c r="C533">
        <v>34</v>
      </c>
      <c r="D533" s="1">
        <v>44252</v>
      </c>
      <c r="E533" s="1">
        <v>44299</v>
      </c>
      <c r="F533" s="2">
        <v>54748.33</v>
      </c>
      <c r="G533" s="2">
        <v>54748.33</v>
      </c>
      <c r="H533">
        <v>16</v>
      </c>
    </row>
    <row r="534" spans="1:10" x14ac:dyDescent="0.25">
      <c r="A534" t="s">
        <v>805</v>
      </c>
      <c r="B534" t="s">
        <v>194</v>
      </c>
      <c r="C534">
        <v>15</v>
      </c>
      <c r="D534" s="1">
        <v>44252</v>
      </c>
      <c r="E534" s="1">
        <v>44272</v>
      </c>
      <c r="F534" s="2">
        <v>4905</v>
      </c>
      <c r="G534" s="2">
        <v>4905</v>
      </c>
      <c r="I534" t="s">
        <v>362</v>
      </c>
      <c r="J534" t="s">
        <v>18</v>
      </c>
    </row>
    <row r="535" spans="1:10" x14ac:dyDescent="0.25">
      <c r="A535" t="s">
        <v>806</v>
      </c>
      <c r="B535" t="s">
        <v>165</v>
      </c>
      <c r="C535">
        <v>4</v>
      </c>
      <c r="D535" t="s">
        <v>807</v>
      </c>
      <c r="E535" s="1">
        <v>44278</v>
      </c>
      <c r="F535" s="2">
        <v>10732</v>
      </c>
      <c r="G535" s="2">
        <v>10732</v>
      </c>
      <c r="I535" t="s">
        <v>362</v>
      </c>
      <c r="J535" t="s">
        <v>18</v>
      </c>
    </row>
    <row r="536" spans="1:10" x14ac:dyDescent="0.25">
      <c r="A536" t="s">
        <v>808</v>
      </c>
      <c r="B536" t="s">
        <v>168</v>
      </c>
      <c r="C536">
        <v>2</v>
      </c>
      <c r="D536" s="1">
        <v>44279</v>
      </c>
      <c r="E536" s="1">
        <v>44280</v>
      </c>
      <c r="F536" s="2">
        <v>2964</v>
      </c>
      <c r="G536" s="2">
        <v>2964</v>
      </c>
      <c r="H536">
        <v>16</v>
      </c>
      <c r="I536" t="s">
        <v>161</v>
      </c>
      <c r="J536" t="s">
        <v>18</v>
      </c>
    </row>
    <row r="537" spans="1:10" x14ac:dyDescent="0.25">
      <c r="A537" t="s">
        <v>809</v>
      </c>
      <c r="B537" t="s">
        <v>149</v>
      </c>
      <c r="C537">
        <v>10</v>
      </c>
      <c r="D537" s="1">
        <v>44281</v>
      </c>
      <c r="E537" s="1">
        <v>44294</v>
      </c>
      <c r="F537" s="2">
        <v>32033.33</v>
      </c>
      <c r="G537" s="2">
        <v>32033.33</v>
      </c>
      <c r="I537" t="s">
        <v>362</v>
      </c>
      <c r="J537" t="s">
        <v>18</v>
      </c>
    </row>
    <row r="538" spans="1:10" x14ac:dyDescent="0.25">
      <c r="A538" t="s">
        <v>810</v>
      </c>
      <c r="B538" t="s">
        <v>176</v>
      </c>
      <c r="C538">
        <v>1</v>
      </c>
      <c r="D538" s="1">
        <v>44295</v>
      </c>
      <c r="E538" s="1">
        <v>44295</v>
      </c>
      <c r="F538" s="2">
        <v>1498</v>
      </c>
      <c r="G538" s="2">
        <v>1498</v>
      </c>
      <c r="I538" t="s">
        <v>161</v>
      </c>
      <c r="J538" t="s">
        <v>18</v>
      </c>
    </row>
    <row r="539" spans="1:10" x14ac:dyDescent="0.25">
      <c r="A539" t="s">
        <v>811</v>
      </c>
      <c r="B539" t="s">
        <v>368</v>
      </c>
      <c r="C539">
        <v>2</v>
      </c>
      <c r="D539" s="1">
        <v>44298</v>
      </c>
      <c r="E539" s="1">
        <v>44299</v>
      </c>
      <c r="F539" s="2">
        <v>2616</v>
      </c>
      <c r="G539" s="2">
        <v>2616</v>
      </c>
      <c r="I539" t="s">
        <v>362</v>
      </c>
      <c r="J539" t="s">
        <v>18</v>
      </c>
    </row>
    <row r="540" spans="1:10" x14ac:dyDescent="0.25">
      <c r="A540" t="s">
        <v>812</v>
      </c>
      <c r="C540">
        <v>71</v>
      </c>
      <c r="D540" s="1">
        <v>44242</v>
      </c>
      <c r="E540" s="1">
        <v>44340</v>
      </c>
      <c r="F540" s="2">
        <v>58648</v>
      </c>
      <c r="G540" s="2">
        <v>58648</v>
      </c>
      <c r="H540">
        <v>0</v>
      </c>
    </row>
    <row r="541" spans="1:10" x14ac:dyDescent="0.25">
      <c r="A541" t="s">
        <v>813</v>
      </c>
      <c r="B541" t="s">
        <v>194</v>
      </c>
      <c r="C541">
        <v>40</v>
      </c>
      <c r="D541" s="1">
        <v>44242</v>
      </c>
      <c r="E541" s="1">
        <v>44295</v>
      </c>
      <c r="F541" s="2">
        <v>981</v>
      </c>
      <c r="G541" s="2">
        <v>981</v>
      </c>
      <c r="I541" t="s">
        <v>161</v>
      </c>
      <c r="J541" t="s">
        <v>18</v>
      </c>
    </row>
    <row r="542" spans="1:10" x14ac:dyDescent="0.25">
      <c r="A542" t="s">
        <v>814</v>
      </c>
      <c r="B542" t="s">
        <v>660</v>
      </c>
      <c r="C542">
        <v>5</v>
      </c>
      <c r="D542" s="1">
        <v>44296</v>
      </c>
      <c r="E542" s="1">
        <v>44300</v>
      </c>
      <c r="F542" s="2">
        <v>6220</v>
      </c>
      <c r="G542" s="2">
        <v>6220</v>
      </c>
      <c r="I542" t="s">
        <v>161</v>
      </c>
      <c r="J542" t="s">
        <v>18</v>
      </c>
    </row>
    <row r="543" spans="1:10" x14ac:dyDescent="0.25">
      <c r="A543" t="s">
        <v>815</v>
      </c>
      <c r="B543" t="s">
        <v>662</v>
      </c>
      <c r="C543">
        <v>16</v>
      </c>
      <c r="D543" s="1">
        <v>44301</v>
      </c>
      <c r="E543" s="1">
        <v>44316</v>
      </c>
      <c r="F543" s="2">
        <v>22512</v>
      </c>
      <c r="G543" s="2">
        <v>22512</v>
      </c>
      <c r="I543" t="s">
        <v>161</v>
      </c>
      <c r="J543" t="s">
        <v>18</v>
      </c>
    </row>
    <row r="544" spans="1:10" x14ac:dyDescent="0.25">
      <c r="A544" t="s">
        <v>816</v>
      </c>
      <c r="B544" t="s">
        <v>664</v>
      </c>
      <c r="C544">
        <v>1</v>
      </c>
      <c r="D544" s="1">
        <v>44319</v>
      </c>
      <c r="E544" s="1">
        <v>44319</v>
      </c>
      <c r="F544" s="2">
        <v>1076</v>
      </c>
      <c r="G544" s="2">
        <v>1076</v>
      </c>
      <c r="I544" t="s">
        <v>161</v>
      </c>
      <c r="J544" t="s">
        <v>18</v>
      </c>
    </row>
    <row r="545" spans="1:10" x14ac:dyDescent="0.25">
      <c r="A545" t="s">
        <v>817</v>
      </c>
      <c r="B545" t="s">
        <v>666</v>
      </c>
      <c r="C545">
        <v>19</v>
      </c>
      <c r="D545" s="1">
        <v>44320</v>
      </c>
      <c r="E545" s="1">
        <v>44338</v>
      </c>
      <c r="F545" s="2">
        <v>26783</v>
      </c>
      <c r="G545" s="2">
        <v>26783</v>
      </c>
      <c r="I545" t="s">
        <v>161</v>
      </c>
      <c r="J545" t="s">
        <v>18</v>
      </c>
    </row>
    <row r="546" spans="1:10" x14ac:dyDescent="0.25">
      <c r="A546" t="s">
        <v>818</v>
      </c>
      <c r="B546" t="s">
        <v>668</v>
      </c>
      <c r="C546">
        <v>1</v>
      </c>
      <c r="D546" s="1">
        <v>44340</v>
      </c>
      <c r="E546" s="1">
        <v>44340</v>
      </c>
      <c r="F546" s="2">
        <v>1076</v>
      </c>
      <c r="G546" s="2">
        <v>1076</v>
      </c>
      <c r="I546" t="s">
        <v>161</v>
      </c>
      <c r="J546" t="s">
        <v>18</v>
      </c>
    </row>
    <row r="547" spans="1:10" x14ac:dyDescent="0.25">
      <c r="A547" t="s">
        <v>819</v>
      </c>
      <c r="C547">
        <v>29</v>
      </c>
      <c r="D547" s="1">
        <v>44341</v>
      </c>
      <c r="E547" s="1">
        <v>44383</v>
      </c>
      <c r="F547" s="2">
        <v>55718</v>
      </c>
      <c r="G547" s="2">
        <v>55718</v>
      </c>
      <c r="H547">
        <v>0</v>
      </c>
    </row>
    <row r="548" spans="1:10" x14ac:dyDescent="0.25">
      <c r="A548" t="s">
        <v>820</v>
      </c>
      <c r="B548" t="s">
        <v>672</v>
      </c>
      <c r="C548">
        <v>19</v>
      </c>
      <c r="D548" s="1">
        <v>44341</v>
      </c>
      <c r="E548" s="1">
        <v>44359</v>
      </c>
      <c r="F548" s="2">
        <v>26783</v>
      </c>
      <c r="G548" s="2">
        <v>26783</v>
      </c>
      <c r="I548" t="s">
        <v>161</v>
      </c>
      <c r="J548" t="s">
        <v>18</v>
      </c>
    </row>
    <row r="549" spans="1:10" x14ac:dyDescent="0.25">
      <c r="A549" t="s">
        <v>821</v>
      </c>
      <c r="B549" t="s">
        <v>674</v>
      </c>
      <c r="C549">
        <v>1</v>
      </c>
      <c r="D549" s="1">
        <v>44361</v>
      </c>
      <c r="E549" s="1">
        <v>44361</v>
      </c>
      <c r="F549" s="2">
        <v>1076</v>
      </c>
      <c r="G549" s="2">
        <v>1076</v>
      </c>
      <c r="I549" t="s">
        <v>161</v>
      </c>
      <c r="J549" t="s">
        <v>18</v>
      </c>
    </row>
    <row r="550" spans="1:10" x14ac:dyDescent="0.25">
      <c r="A550" t="s">
        <v>822</v>
      </c>
      <c r="B550" t="s">
        <v>676</v>
      </c>
      <c r="C550">
        <v>19</v>
      </c>
      <c r="D550" s="1">
        <v>44362</v>
      </c>
      <c r="E550" s="1">
        <v>44380</v>
      </c>
      <c r="F550" s="2">
        <v>26783</v>
      </c>
      <c r="G550" s="2">
        <v>26783</v>
      </c>
      <c r="I550" t="s">
        <v>161</v>
      </c>
      <c r="J550" t="s">
        <v>18</v>
      </c>
    </row>
    <row r="551" spans="1:10" x14ac:dyDescent="0.25">
      <c r="A551" t="s">
        <v>823</v>
      </c>
      <c r="B551" t="s">
        <v>678</v>
      </c>
      <c r="C551">
        <v>1</v>
      </c>
      <c r="D551" s="1">
        <v>44383</v>
      </c>
      <c r="E551" s="1">
        <v>44383</v>
      </c>
      <c r="F551" s="2">
        <v>1076</v>
      </c>
      <c r="G551" s="2">
        <v>1076</v>
      </c>
      <c r="I551" t="s">
        <v>161</v>
      </c>
      <c r="J551" t="s">
        <v>18</v>
      </c>
    </row>
    <row r="552" spans="1:10" x14ac:dyDescent="0.25">
      <c r="A552" t="s">
        <v>824</v>
      </c>
      <c r="C552">
        <v>29</v>
      </c>
      <c r="D552" s="1">
        <v>44384</v>
      </c>
      <c r="E552" s="1">
        <v>44424</v>
      </c>
      <c r="F552" s="2">
        <v>55718</v>
      </c>
      <c r="G552" s="2">
        <v>55718</v>
      </c>
      <c r="H552">
        <v>0</v>
      </c>
    </row>
    <row r="553" spans="1:10" x14ac:dyDescent="0.25">
      <c r="A553" t="s">
        <v>825</v>
      </c>
      <c r="B553" t="s">
        <v>681</v>
      </c>
      <c r="C553">
        <v>19</v>
      </c>
      <c r="D553" s="1">
        <v>44384</v>
      </c>
      <c r="E553" s="1">
        <v>44402</v>
      </c>
      <c r="F553" s="2">
        <v>26783</v>
      </c>
      <c r="G553" s="2">
        <v>26783</v>
      </c>
      <c r="I553" t="s">
        <v>161</v>
      </c>
      <c r="J553" t="s">
        <v>18</v>
      </c>
    </row>
    <row r="554" spans="1:10" x14ac:dyDescent="0.25">
      <c r="A554" t="s">
        <v>826</v>
      </c>
      <c r="B554" t="s">
        <v>683</v>
      </c>
      <c r="C554">
        <v>1</v>
      </c>
      <c r="D554" s="1">
        <v>44403</v>
      </c>
      <c r="E554" s="1">
        <v>44403</v>
      </c>
      <c r="F554" s="2">
        <v>1076</v>
      </c>
      <c r="G554" s="2">
        <v>1076</v>
      </c>
      <c r="I554" t="s">
        <v>161</v>
      </c>
      <c r="J554" t="s">
        <v>18</v>
      </c>
    </row>
    <row r="555" spans="1:10" x14ac:dyDescent="0.25">
      <c r="A555" t="s">
        <v>827</v>
      </c>
      <c r="B555" t="s">
        <v>685</v>
      </c>
      <c r="C555">
        <v>19</v>
      </c>
      <c r="D555" s="1">
        <v>44404</v>
      </c>
      <c r="E555" s="1">
        <v>44422</v>
      </c>
      <c r="F555" s="2">
        <v>26783</v>
      </c>
      <c r="G555" s="2">
        <v>26783</v>
      </c>
      <c r="I555" t="s">
        <v>161</v>
      </c>
      <c r="J555" t="s">
        <v>18</v>
      </c>
    </row>
    <row r="556" spans="1:10" x14ac:dyDescent="0.25">
      <c r="A556" t="s">
        <v>828</v>
      </c>
      <c r="B556" t="s">
        <v>687</v>
      </c>
      <c r="C556">
        <v>1</v>
      </c>
      <c r="D556" s="1">
        <v>44424</v>
      </c>
      <c r="E556" s="1">
        <v>44424</v>
      </c>
      <c r="F556" s="2">
        <v>1076</v>
      </c>
      <c r="G556" s="2">
        <v>1076</v>
      </c>
      <c r="I556" t="s">
        <v>161</v>
      </c>
      <c r="J556" t="s">
        <v>18</v>
      </c>
    </row>
    <row r="557" spans="1:10" x14ac:dyDescent="0.25">
      <c r="A557" t="s">
        <v>829</v>
      </c>
      <c r="C557">
        <v>29</v>
      </c>
      <c r="D557" s="1">
        <v>44425</v>
      </c>
      <c r="E557" s="1">
        <v>44466</v>
      </c>
      <c r="F557" s="2">
        <v>55718</v>
      </c>
      <c r="G557" s="2">
        <v>55718</v>
      </c>
      <c r="H557">
        <v>0</v>
      </c>
    </row>
    <row r="558" spans="1:10" x14ac:dyDescent="0.25">
      <c r="A558" t="s">
        <v>830</v>
      </c>
      <c r="B558" t="s">
        <v>691</v>
      </c>
      <c r="C558">
        <v>19</v>
      </c>
      <c r="D558" s="1">
        <v>44425</v>
      </c>
      <c r="E558" s="1">
        <v>44443</v>
      </c>
      <c r="F558" s="2">
        <v>26783</v>
      </c>
      <c r="G558" s="2">
        <v>26783</v>
      </c>
      <c r="I558" t="s">
        <v>161</v>
      </c>
      <c r="J558" t="s">
        <v>18</v>
      </c>
    </row>
    <row r="559" spans="1:10" x14ac:dyDescent="0.25">
      <c r="A559" t="s">
        <v>831</v>
      </c>
      <c r="B559" t="s">
        <v>693</v>
      </c>
      <c r="C559">
        <v>1</v>
      </c>
      <c r="D559" s="1">
        <v>44446</v>
      </c>
      <c r="E559" s="1">
        <v>44446</v>
      </c>
      <c r="F559" s="2">
        <v>1076</v>
      </c>
      <c r="G559" s="2">
        <v>1076</v>
      </c>
      <c r="I559" t="s">
        <v>161</v>
      </c>
      <c r="J559" t="s">
        <v>18</v>
      </c>
    </row>
    <row r="560" spans="1:10" x14ac:dyDescent="0.25">
      <c r="A560" t="s">
        <v>832</v>
      </c>
      <c r="B560" t="s">
        <v>695</v>
      </c>
      <c r="C560">
        <v>19</v>
      </c>
      <c r="D560" s="1">
        <v>44447</v>
      </c>
      <c r="E560" s="1">
        <v>44465</v>
      </c>
      <c r="F560" s="2">
        <v>26783</v>
      </c>
      <c r="G560" s="2">
        <v>26783</v>
      </c>
      <c r="I560" t="s">
        <v>161</v>
      </c>
      <c r="J560" t="s">
        <v>18</v>
      </c>
    </row>
    <row r="561" spans="1:10" x14ac:dyDescent="0.25">
      <c r="A561" t="s">
        <v>833</v>
      </c>
      <c r="B561" t="s">
        <v>697</v>
      </c>
      <c r="C561">
        <v>1</v>
      </c>
      <c r="D561" s="1">
        <v>44466</v>
      </c>
      <c r="E561" s="1">
        <v>44466</v>
      </c>
      <c r="F561" s="2">
        <v>1076</v>
      </c>
      <c r="G561" s="2">
        <v>1076</v>
      </c>
      <c r="I561" t="s">
        <v>161</v>
      </c>
      <c r="J561" t="s">
        <v>18</v>
      </c>
    </row>
    <row r="562" spans="1:10" x14ac:dyDescent="0.25">
      <c r="A562" t="s">
        <v>834</v>
      </c>
      <c r="C562">
        <v>30</v>
      </c>
      <c r="D562" s="1">
        <v>44467</v>
      </c>
      <c r="E562" s="1">
        <v>44508</v>
      </c>
      <c r="F562" s="2">
        <v>55718</v>
      </c>
      <c r="G562" s="2">
        <v>55718</v>
      </c>
      <c r="H562">
        <v>0</v>
      </c>
    </row>
    <row r="563" spans="1:10" x14ac:dyDescent="0.25">
      <c r="A563" t="s">
        <v>835</v>
      </c>
      <c r="B563" t="s">
        <v>836</v>
      </c>
      <c r="C563">
        <v>19</v>
      </c>
      <c r="D563" s="1">
        <v>44467</v>
      </c>
      <c r="E563" s="1">
        <v>44485</v>
      </c>
      <c r="F563" s="2">
        <v>26783</v>
      </c>
      <c r="G563" s="2">
        <v>26783</v>
      </c>
      <c r="I563" t="s">
        <v>161</v>
      </c>
      <c r="J563" t="s">
        <v>18</v>
      </c>
    </row>
    <row r="564" spans="1:10" x14ac:dyDescent="0.25">
      <c r="A564" t="s">
        <v>837</v>
      </c>
      <c r="B564" t="s">
        <v>838</v>
      </c>
      <c r="C564">
        <v>1</v>
      </c>
      <c r="D564" s="1">
        <v>44487</v>
      </c>
      <c r="E564" s="1">
        <v>44487</v>
      </c>
      <c r="F564" s="2">
        <v>1076</v>
      </c>
      <c r="G564" s="2">
        <v>1076</v>
      </c>
      <c r="I564" t="s">
        <v>161</v>
      </c>
      <c r="J564" t="s">
        <v>18</v>
      </c>
    </row>
    <row r="565" spans="1:10" x14ac:dyDescent="0.25">
      <c r="A565" t="s">
        <v>839</v>
      </c>
      <c r="B565" t="s">
        <v>840</v>
      </c>
      <c r="C565">
        <v>19</v>
      </c>
      <c r="D565" s="1">
        <v>44488</v>
      </c>
      <c r="E565" s="1">
        <v>44506</v>
      </c>
      <c r="F565" s="2">
        <v>26783</v>
      </c>
      <c r="G565" s="2">
        <v>26783</v>
      </c>
      <c r="I565" t="s">
        <v>161</v>
      </c>
      <c r="J565" t="s">
        <v>18</v>
      </c>
    </row>
    <row r="566" spans="1:10" x14ac:dyDescent="0.25">
      <c r="A566" t="s">
        <v>841</v>
      </c>
      <c r="B566" t="s">
        <v>842</v>
      </c>
      <c r="C566">
        <v>1</v>
      </c>
      <c r="D566" s="1">
        <v>44508</v>
      </c>
      <c r="E566" s="1">
        <v>44508</v>
      </c>
      <c r="F566" s="2">
        <v>1076</v>
      </c>
      <c r="G566" s="2">
        <v>1076</v>
      </c>
      <c r="I566" t="s">
        <v>161</v>
      </c>
      <c r="J566" t="s">
        <v>18</v>
      </c>
    </row>
    <row r="567" spans="1:10" x14ac:dyDescent="0.25">
      <c r="A567" t="s">
        <v>843</v>
      </c>
      <c r="C567">
        <v>28</v>
      </c>
      <c r="D567" s="1">
        <v>44509</v>
      </c>
      <c r="E567" s="1">
        <v>44550</v>
      </c>
      <c r="F567" s="2">
        <v>55718</v>
      </c>
      <c r="G567" s="2">
        <v>55718</v>
      </c>
      <c r="H567">
        <v>0</v>
      </c>
    </row>
    <row r="568" spans="1:10" x14ac:dyDescent="0.25">
      <c r="A568" t="s">
        <v>844</v>
      </c>
      <c r="B568" t="s">
        <v>845</v>
      </c>
      <c r="C568">
        <v>19</v>
      </c>
      <c r="D568" s="1">
        <v>44509</v>
      </c>
      <c r="E568" s="1">
        <v>44527</v>
      </c>
      <c r="F568" s="2">
        <v>26783</v>
      </c>
      <c r="G568" s="2">
        <v>26783</v>
      </c>
      <c r="I568" t="s">
        <v>161</v>
      </c>
      <c r="J568" t="s">
        <v>18</v>
      </c>
    </row>
    <row r="569" spans="1:10" x14ac:dyDescent="0.25">
      <c r="A569" t="s">
        <v>846</v>
      </c>
      <c r="B569" t="s">
        <v>847</v>
      </c>
      <c r="C569">
        <v>1</v>
      </c>
      <c r="D569" s="1">
        <v>44529</v>
      </c>
      <c r="E569" s="1">
        <v>44529</v>
      </c>
      <c r="F569" s="2">
        <v>1076</v>
      </c>
      <c r="G569" s="2">
        <v>1076</v>
      </c>
      <c r="I569" t="s">
        <v>161</v>
      </c>
      <c r="J569" t="s">
        <v>18</v>
      </c>
    </row>
    <row r="570" spans="1:10" x14ac:dyDescent="0.25">
      <c r="A570" t="s">
        <v>848</v>
      </c>
      <c r="B570" t="s">
        <v>849</v>
      </c>
      <c r="C570">
        <v>19</v>
      </c>
      <c r="D570" s="1">
        <v>44530</v>
      </c>
      <c r="E570" s="1">
        <v>44548</v>
      </c>
      <c r="F570" s="2">
        <v>26783</v>
      </c>
      <c r="G570" s="2">
        <v>26783</v>
      </c>
      <c r="I570" t="s">
        <v>161</v>
      </c>
      <c r="J570" t="s">
        <v>18</v>
      </c>
    </row>
    <row r="571" spans="1:10" x14ac:dyDescent="0.25">
      <c r="A571" t="s">
        <v>850</v>
      </c>
      <c r="B571" t="s">
        <v>851</v>
      </c>
      <c r="C571">
        <v>1</v>
      </c>
      <c r="D571" s="1">
        <v>44550</v>
      </c>
      <c r="E571" s="1">
        <v>44550</v>
      </c>
      <c r="F571" s="2">
        <v>1076</v>
      </c>
      <c r="G571" s="2">
        <v>1076</v>
      </c>
      <c r="I571" t="s">
        <v>161</v>
      </c>
      <c r="J571" t="s">
        <v>18</v>
      </c>
    </row>
    <row r="572" spans="1:10" x14ac:dyDescent="0.25">
      <c r="A572" t="s">
        <v>852</v>
      </c>
      <c r="C572">
        <v>23</v>
      </c>
      <c r="D572" s="1">
        <v>44551</v>
      </c>
      <c r="E572" s="1">
        <v>44592</v>
      </c>
      <c r="F572" s="2">
        <v>55718</v>
      </c>
      <c r="G572" s="2">
        <v>55718</v>
      </c>
      <c r="H572">
        <v>0</v>
      </c>
    </row>
    <row r="573" spans="1:10" x14ac:dyDescent="0.25">
      <c r="A573" t="s">
        <v>853</v>
      </c>
      <c r="B573" t="s">
        <v>854</v>
      </c>
      <c r="C573">
        <v>19</v>
      </c>
      <c r="D573" s="1">
        <v>44551</v>
      </c>
      <c r="E573" s="1">
        <v>44569</v>
      </c>
      <c r="F573" s="2">
        <v>26783</v>
      </c>
      <c r="G573" s="2">
        <v>26783</v>
      </c>
      <c r="I573" t="s">
        <v>161</v>
      </c>
      <c r="J573" t="s">
        <v>18</v>
      </c>
    </row>
    <row r="574" spans="1:10" x14ac:dyDescent="0.25">
      <c r="A574" t="s">
        <v>855</v>
      </c>
      <c r="B574" t="s">
        <v>856</v>
      </c>
      <c r="C574">
        <v>1</v>
      </c>
      <c r="D574" s="1">
        <v>44571</v>
      </c>
      <c r="E574" s="1">
        <v>44571</v>
      </c>
      <c r="F574" s="2">
        <v>1076</v>
      </c>
      <c r="G574" s="2">
        <v>1076</v>
      </c>
      <c r="I574" t="s">
        <v>161</v>
      </c>
      <c r="J574" t="s">
        <v>18</v>
      </c>
    </row>
    <row r="575" spans="1:10" x14ac:dyDescent="0.25">
      <c r="A575" t="s">
        <v>857</v>
      </c>
      <c r="B575" t="s">
        <v>858</v>
      </c>
      <c r="C575">
        <v>19</v>
      </c>
      <c r="D575" s="1">
        <v>44572</v>
      </c>
      <c r="E575" s="1">
        <v>44590</v>
      </c>
      <c r="F575" s="2">
        <v>26783</v>
      </c>
      <c r="G575" s="2">
        <v>26783</v>
      </c>
      <c r="I575" t="s">
        <v>161</v>
      </c>
      <c r="J575" t="s">
        <v>18</v>
      </c>
    </row>
    <row r="576" spans="1:10" x14ac:dyDescent="0.25">
      <c r="A576" t="s">
        <v>859</v>
      </c>
      <c r="B576" t="s">
        <v>860</v>
      </c>
      <c r="C576">
        <v>1</v>
      </c>
      <c r="D576" s="1">
        <v>44592</v>
      </c>
      <c r="E576" s="1">
        <v>44592</v>
      </c>
      <c r="F576" s="2">
        <v>1076</v>
      </c>
      <c r="G576" s="2">
        <v>1076</v>
      </c>
      <c r="I576" t="s">
        <v>161</v>
      </c>
      <c r="J576" t="s">
        <v>18</v>
      </c>
    </row>
    <row r="577" spans="1:10" x14ac:dyDescent="0.25">
      <c r="A577" t="s">
        <v>861</v>
      </c>
      <c r="C577">
        <v>30</v>
      </c>
      <c r="D577" s="1">
        <v>44593</v>
      </c>
      <c r="E577" s="1">
        <v>44634</v>
      </c>
      <c r="F577" s="2">
        <v>55718</v>
      </c>
      <c r="G577" s="2">
        <v>55718</v>
      </c>
      <c r="H577">
        <v>0</v>
      </c>
    </row>
    <row r="578" spans="1:10" x14ac:dyDescent="0.25">
      <c r="A578" t="s">
        <v>862</v>
      </c>
      <c r="B578" t="s">
        <v>863</v>
      </c>
      <c r="C578">
        <v>19</v>
      </c>
      <c r="D578" s="1">
        <v>44593</v>
      </c>
      <c r="E578" s="1">
        <v>44611</v>
      </c>
      <c r="F578" s="2">
        <v>26783</v>
      </c>
      <c r="G578" s="2">
        <v>26783</v>
      </c>
      <c r="I578" t="s">
        <v>161</v>
      </c>
      <c r="J578" t="s">
        <v>18</v>
      </c>
    </row>
    <row r="579" spans="1:10" x14ac:dyDescent="0.25">
      <c r="A579" t="s">
        <v>864</v>
      </c>
      <c r="B579" t="s">
        <v>865</v>
      </c>
      <c r="C579">
        <v>1</v>
      </c>
      <c r="D579" s="1">
        <v>44613</v>
      </c>
      <c r="E579" s="1">
        <v>44613</v>
      </c>
      <c r="F579" s="2">
        <v>1076</v>
      </c>
      <c r="G579" s="2">
        <v>1076</v>
      </c>
      <c r="I579" t="s">
        <v>161</v>
      </c>
      <c r="J579" t="s">
        <v>18</v>
      </c>
    </row>
    <row r="580" spans="1:10" x14ac:dyDescent="0.25">
      <c r="A580" t="s">
        <v>866</v>
      </c>
      <c r="B580" t="s">
        <v>867</v>
      </c>
      <c r="C580">
        <v>19</v>
      </c>
      <c r="D580" s="1">
        <v>44614</v>
      </c>
      <c r="E580" s="1">
        <v>44632</v>
      </c>
      <c r="F580" s="2">
        <v>26783</v>
      </c>
      <c r="G580" s="2">
        <v>26783</v>
      </c>
      <c r="I580" t="s">
        <v>161</v>
      </c>
      <c r="J580" t="s">
        <v>18</v>
      </c>
    </row>
    <row r="581" spans="1:10" x14ac:dyDescent="0.25">
      <c r="A581" t="s">
        <v>868</v>
      </c>
      <c r="B581" t="s">
        <v>869</v>
      </c>
      <c r="C581">
        <v>1</v>
      </c>
      <c r="D581" s="1">
        <v>44634</v>
      </c>
      <c r="E581" s="1">
        <v>44634</v>
      </c>
      <c r="F581" s="2">
        <v>1076</v>
      </c>
      <c r="G581" s="2">
        <v>1076</v>
      </c>
      <c r="I581" t="s">
        <v>161</v>
      </c>
      <c r="J581" t="s">
        <v>18</v>
      </c>
    </row>
    <row r="582" spans="1:10" x14ac:dyDescent="0.25">
      <c r="A582" t="s">
        <v>870</v>
      </c>
      <c r="C582">
        <v>30</v>
      </c>
      <c r="D582" s="1">
        <v>44635</v>
      </c>
      <c r="E582" s="1">
        <v>44676</v>
      </c>
      <c r="F582" s="2">
        <v>55718</v>
      </c>
      <c r="G582" s="2">
        <v>55718</v>
      </c>
      <c r="H582">
        <v>0</v>
      </c>
    </row>
    <row r="583" spans="1:10" x14ac:dyDescent="0.25">
      <c r="A583" t="s">
        <v>871</v>
      </c>
      <c r="B583" t="s">
        <v>872</v>
      </c>
      <c r="C583">
        <v>19</v>
      </c>
      <c r="D583" s="1">
        <v>44635</v>
      </c>
      <c r="E583" s="1">
        <v>44653</v>
      </c>
      <c r="F583" s="2">
        <v>26783</v>
      </c>
      <c r="G583" s="2">
        <v>26783</v>
      </c>
      <c r="I583" t="s">
        <v>161</v>
      </c>
      <c r="J583" t="s">
        <v>18</v>
      </c>
    </row>
    <row r="584" spans="1:10" x14ac:dyDescent="0.25">
      <c r="A584" t="s">
        <v>873</v>
      </c>
      <c r="B584" t="s">
        <v>874</v>
      </c>
      <c r="C584">
        <v>1</v>
      </c>
      <c r="D584" s="1">
        <v>44655</v>
      </c>
      <c r="E584" s="1">
        <v>44655</v>
      </c>
      <c r="F584" s="2">
        <v>1076</v>
      </c>
      <c r="G584" s="2">
        <v>1076</v>
      </c>
      <c r="I584" t="s">
        <v>161</v>
      </c>
      <c r="J584" t="s">
        <v>18</v>
      </c>
    </row>
    <row r="585" spans="1:10" x14ac:dyDescent="0.25">
      <c r="A585" t="s">
        <v>875</v>
      </c>
      <c r="B585" t="s">
        <v>876</v>
      </c>
      <c r="C585">
        <v>19</v>
      </c>
      <c r="D585" s="1">
        <v>44656</v>
      </c>
      <c r="E585" s="1">
        <v>44674</v>
      </c>
      <c r="F585" s="2">
        <v>26783</v>
      </c>
      <c r="G585" s="2">
        <v>26783</v>
      </c>
      <c r="I585" t="s">
        <v>161</v>
      </c>
      <c r="J585" t="s">
        <v>18</v>
      </c>
    </row>
    <row r="586" spans="1:10" x14ac:dyDescent="0.25">
      <c r="A586" t="s">
        <v>877</v>
      </c>
      <c r="B586" t="s">
        <v>878</v>
      </c>
      <c r="C586">
        <v>1</v>
      </c>
      <c r="D586" s="1">
        <v>44676</v>
      </c>
      <c r="E586" s="1">
        <v>44676</v>
      </c>
      <c r="F586" s="2">
        <v>1076</v>
      </c>
      <c r="G586" s="2">
        <v>1076</v>
      </c>
      <c r="I586" t="s">
        <v>161</v>
      </c>
      <c r="J586" t="s">
        <v>18</v>
      </c>
    </row>
    <row r="587" spans="1:10" x14ac:dyDescent="0.25">
      <c r="A587" t="s">
        <v>879</v>
      </c>
      <c r="C587">
        <v>29</v>
      </c>
      <c r="D587" s="1">
        <v>44677</v>
      </c>
      <c r="E587" s="1">
        <v>44718</v>
      </c>
      <c r="F587" s="2">
        <v>55718</v>
      </c>
      <c r="G587" s="2">
        <v>55718</v>
      </c>
      <c r="H587">
        <v>0</v>
      </c>
    </row>
    <row r="588" spans="1:10" x14ac:dyDescent="0.25">
      <c r="A588" t="s">
        <v>880</v>
      </c>
      <c r="B588" t="s">
        <v>881</v>
      </c>
      <c r="C588">
        <v>19</v>
      </c>
      <c r="D588" s="1">
        <v>44677</v>
      </c>
      <c r="E588" s="1">
        <v>44695</v>
      </c>
      <c r="F588" s="2">
        <v>26783</v>
      </c>
      <c r="G588" s="2">
        <v>26783</v>
      </c>
      <c r="I588" t="s">
        <v>161</v>
      </c>
      <c r="J588" t="s">
        <v>18</v>
      </c>
    </row>
    <row r="589" spans="1:10" x14ac:dyDescent="0.25">
      <c r="A589" t="s">
        <v>882</v>
      </c>
      <c r="B589" t="s">
        <v>883</v>
      </c>
      <c r="C589">
        <v>1</v>
      </c>
      <c r="D589" s="1">
        <v>44697</v>
      </c>
      <c r="E589" s="1">
        <v>44697</v>
      </c>
      <c r="F589" s="2">
        <v>1076</v>
      </c>
      <c r="G589" s="2">
        <v>1076</v>
      </c>
      <c r="I589" t="s">
        <v>161</v>
      </c>
      <c r="J589" t="s">
        <v>18</v>
      </c>
    </row>
    <row r="590" spans="1:10" x14ac:dyDescent="0.25">
      <c r="A590" t="s">
        <v>884</v>
      </c>
      <c r="B590" t="s">
        <v>885</v>
      </c>
      <c r="C590">
        <v>19</v>
      </c>
      <c r="D590" s="1">
        <v>44698</v>
      </c>
      <c r="E590" s="1">
        <v>44716</v>
      </c>
      <c r="F590" s="2">
        <v>26783</v>
      </c>
      <c r="G590" s="2">
        <v>26783</v>
      </c>
      <c r="I590" t="s">
        <v>161</v>
      </c>
      <c r="J590" t="s">
        <v>18</v>
      </c>
    </row>
    <row r="591" spans="1:10" x14ac:dyDescent="0.25">
      <c r="A591" t="s">
        <v>886</v>
      </c>
      <c r="B591" t="s">
        <v>887</v>
      </c>
      <c r="C591">
        <v>1</v>
      </c>
      <c r="D591" s="1">
        <v>44718</v>
      </c>
      <c r="E591" s="1">
        <v>44718</v>
      </c>
      <c r="F591" s="2">
        <v>1076</v>
      </c>
      <c r="G591" s="2">
        <v>1076</v>
      </c>
      <c r="I591" t="s">
        <v>161</v>
      </c>
      <c r="J591" t="s">
        <v>18</v>
      </c>
    </row>
  </sheetData>
  <pageMargins left="0.7" right="0.7" top="0.75" bottom="0.75" header="0.3" footer="0.3"/>
  <pageSetup orientation="portrait" r:id="rId1"/>
  <headerFooter>
    <oddFooter>&amp;L&amp;1#&amp;"Calibri"&amp;10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Desired format</vt:lpstr>
      <vt:lpstr>Final Format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M Guppy</dc:creator>
  <cp:lastModifiedBy>Viresh B Shah</cp:lastModifiedBy>
  <dcterms:created xsi:type="dcterms:W3CDTF">2019-02-01T16:12:37Z</dcterms:created>
  <dcterms:modified xsi:type="dcterms:W3CDTF">2019-02-04T00:13:58Z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Shah_Viresh_B@cat.com</vt:lpwstr>
  </property>
  <property fmtid="{D5CDD505-2E9C-101B-9397-08002B2CF9AE}" pid="5" name="MSIP_Label_fb5e2db6-eecf-4aa2-8fc3-174bf94bce19_SetDate">
    <vt:lpwstr>2019-02-01T21:15:56.5767993Z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