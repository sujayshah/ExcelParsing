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VB\Desktop\ExcelParsing\program_validation\"/>
    </mc:Choice>
  </mc:AlternateContent>
  <xr:revisionPtr revIDLastSave="0" documentId="10_ncr:100000_{95D23F53-BFC6-4C79-8339-BDB3AB942475}" xr6:coauthVersionLast="31" xr6:coauthVersionMax="31" xr10:uidLastSave="{00000000-0000-0000-0000-000000000000}"/>
  <bookViews>
    <workbookView xWindow="0" yWindow="0" windowWidth="23040" windowHeight="8496" xr2:uid="{6855A016-70B7-4948-B1D9-CF7E5BCCC7D4}"/>
  </bookViews>
  <sheets>
    <sheet name="Sheet1" sheetId="1" r:id="rId1"/>
    <sheet name="calendar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3" i="1" l="1"/>
  <c r="D74" i="1" s="1"/>
  <c r="D92" i="1"/>
  <c r="C76" i="1"/>
  <c r="D76" i="1" s="1"/>
  <c r="C77" i="1" s="1"/>
  <c r="D77" i="1" s="1"/>
  <c r="C78" i="1" s="1"/>
  <c r="D78" i="1" s="1"/>
  <c r="C79" i="1" s="1"/>
  <c r="D79" i="1" s="1"/>
  <c r="C80" i="1" s="1"/>
  <c r="D80" i="1" s="1"/>
  <c r="C81" i="1" s="1"/>
  <c r="D81" i="1" s="1"/>
  <c r="C82" i="1" s="1"/>
  <c r="D82" i="1" s="1"/>
  <c r="C83" i="1" s="1"/>
  <c r="D83" i="1" s="1"/>
  <c r="C84" i="1" s="1"/>
  <c r="D84" i="1" s="1"/>
  <c r="C85" i="1" s="1"/>
  <c r="D85" i="1" s="1"/>
  <c r="C86" i="1" s="1"/>
  <c r="D86" i="1" s="1"/>
  <c r="C87" i="1" s="1"/>
  <c r="D87" i="1" s="1"/>
  <c r="C88" i="1" s="1"/>
  <c r="D88" i="1" s="1"/>
  <c r="C89" i="1" s="1"/>
  <c r="D89" i="1" s="1"/>
  <c r="C90" i="1" s="1"/>
  <c r="D90" i="1" s="1"/>
  <c r="C91" i="1" s="1"/>
  <c r="D91" i="1" s="1"/>
  <c r="C64" i="1"/>
  <c r="D64" i="1" s="1"/>
  <c r="C43" i="1"/>
</calcChain>
</file>

<file path=xl/sharedStrings.xml><?xml version="1.0" encoding="utf-8"?>
<sst xmlns="http://schemas.openxmlformats.org/spreadsheetml/2006/main" count="231" uniqueCount="123">
  <si>
    <t>Activity ID</t>
  </si>
  <si>
    <t>Start</t>
  </si>
  <si>
    <t>Finish</t>
  </si>
  <si>
    <t xml:space="preserve">      962 TB2 Machine Build #2</t>
  </si>
  <si>
    <t>SW</t>
  </si>
  <si>
    <t xml:space="preserve">      S13 SW Checkout</t>
  </si>
  <si>
    <t>Machine</t>
  </si>
  <si>
    <t xml:space="preserve">      Machine Checkout STP64</t>
  </si>
  <si>
    <t>Hydraulics</t>
  </si>
  <si>
    <t xml:space="preserve">      Steering Tuning #2</t>
  </si>
  <si>
    <t>Steering Tuning- Knotch Filter</t>
  </si>
  <si>
    <t>Steering Tuning- Opr Eval Knotch Filter</t>
  </si>
  <si>
    <t>Steering Tuning - Perf Tuning</t>
  </si>
  <si>
    <t xml:space="preserve">Steering Tuning- Operator Eval </t>
  </si>
  <si>
    <t xml:space="preserve">      Failure Mode Response #1</t>
  </si>
  <si>
    <t xml:space="preserve">      STP 230/289 #2</t>
  </si>
  <si>
    <t>Transmission</t>
  </si>
  <si>
    <t xml:space="preserve">      XMSN Development</t>
  </si>
  <si>
    <t xml:space="preserve">      Implement Valve Tuning</t>
  </si>
  <si>
    <t xml:space="preserve">      S14 SW Update</t>
  </si>
  <si>
    <t>Performance</t>
  </si>
  <si>
    <t xml:space="preserve">      L5 Performance Dev/Tuning #1</t>
  </si>
  <si>
    <t>Safety and Regs</t>
  </si>
  <si>
    <t xml:space="preserve">      ISO 5010 Feasibility</t>
  </si>
  <si>
    <t>Technology</t>
  </si>
  <si>
    <t xml:space="preserve">      Cat Detect B Radar</t>
  </si>
  <si>
    <t>CAT E</t>
  </si>
  <si>
    <t xml:space="preserve">      Failure Mode Response #2</t>
  </si>
  <si>
    <t xml:space="preserve">      S15 SW Checkout</t>
  </si>
  <si>
    <t xml:space="preserve">      Implement Valve Tuning #2</t>
  </si>
  <si>
    <t xml:space="preserve">      S16 SW Checkout</t>
  </si>
  <si>
    <t xml:space="preserve">      L5 Performance Dev/Tuning #2</t>
  </si>
  <si>
    <t xml:space="preserve">      Stg V EMC Test</t>
  </si>
  <si>
    <t xml:space="preserve">      S17 SW Checkout</t>
  </si>
  <si>
    <t xml:space="preserve">      S17 SW Endurance - 50 Hrs</t>
  </si>
  <si>
    <t xml:space="preserve">      S18 SW Checkout</t>
  </si>
  <si>
    <t xml:space="preserve">      S19 SW Checkout</t>
  </si>
  <si>
    <t xml:space="preserve">      S20 SW Checkout</t>
  </si>
  <si>
    <t xml:space="preserve">      S20 SW Endurance - 50 Hrs</t>
  </si>
  <si>
    <t xml:space="preserve">    950 AU2020 Testbed2 (SN)</t>
  </si>
  <si>
    <t>Machine Key On</t>
  </si>
  <si>
    <t>Ship to PPG</t>
  </si>
  <si>
    <t xml:space="preserve">      Machine Checkout STP-64</t>
  </si>
  <si>
    <t xml:space="preserve">      Implement Valve Tuning #1</t>
  </si>
  <si>
    <t xml:space="preserve">      Rimpull/Response</t>
  </si>
  <si>
    <t>Cooling</t>
  </si>
  <si>
    <t xml:space="preserve">      STP-153 (Airflow Testing)</t>
  </si>
  <si>
    <t xml:space="preserve">      STP-155 (Water Flow Test)</t>
  </si>
  <si>
    <t xml:space="preserve">      STP-152 (Ambient Capability) &amp; STP-154 (IMT) w/ UHT</t>
  </si>
  <si>
    <t>Engine Installation</t>
  </si>
  <si>
    <t xml:space="preserve">      MER Engine Install test</t>
  </si>
  <si>
    <t xml:space="preserve">      Hydraulic Test</t>
  </si>
  <si>
    <t xml:space="preserve">      S15 SW Update</t>
  </si>
  <si>
    <t>NVH</t>
  </si>
  <si>
    <t xml:space="preserve">      950 Stage V  Machine Sound Dev</t>
  </si>
  <si>
    <t xml:space="preserve">      Cold Room Test</t>
  </si>
  <si>
    <t xml:space="preserve">      S16 SW Update</t>
  </si>
  <si>
    <t xml:space="preserve">      MER #2  Engine Install Test</t>
  </si>
  <si>
    <t xml:space="preserve">      Prelim ISO 5010 Steering</t>
  </si>
  <si>
    <t xml:space="preserve">      S17 SW Update</t>
  </si>
  <si>
    <t xml:space="preserve">      XMSN Auto Cal Dev</t>
  </si>
  <si>
    <t xml:space="preserve">      STP 407 Engine Installation Audit</t>
  </si>
  <si>
    <t xml:space="preserve">      XMSN Signature</t>
  </si>
  <si>
    <t xml:space="preserve">      L5 Issue Resolution</t>
  </si>
  <si>
    <t xml:space="preserve">      950 Stage V  Machine Sound Dev #2</t>
  </si>
  <si>
    <t xml:space="preserve">      Productivity</t>
  </si>
  <si>
    <t xml:space="preserve">    962 Stg V Testbed3 (SN)</t>
  </si>
  <si>
    <t>PPG Machine Build</t>
  </si>
  <si>
    <t xml:space="preserve">      SW &amp; Electrical Checkout</t>
  </si>
  <si>
    <t>Light Fab &amp; MER</t>
  </si>
  <si>
    <t xml:space="preserve">      Light Fab and Engine Install OMSA &amp; MER Test</t>
  </si>
  <si>
    <t>Heavy Structures</t>
  </si>
  <si>
    <t xml:space="preserve">      OMSA Heavy Fab</t>
  </si>
  <si>
    <t>ELI</t>
  </si>
  <si>
    <t xml:space="preserve">      Electrical Load Study &amp; Battery   Shielded Cable</t>
  </si>
  <si>
    <t>Product Support</t>
  </si>
  <si>
    <t xml:space="preserve">      Servicability Audit</t>
  </si>
  <si>
    <t xml:space="preserve">      Safety Audit</t>
  </si>
  <si>
    <t xml:space="preserve">      ISO 3450 Feasibility Checkout</t>
  </si>
  <si>
    <t xml:space="preserve">    962 T3 HMU Testbed 4 (SN)</t>
  </si>
  <si>
    <t xml:space="preserve">      Machine Update - Built in Aurora</t>
  </si>
  <si>
    <t xml:space="preserve">      962 T3 Muffler Sound Validation</t>
  </si>
  <si>
    <t>Endurance # 1</t>
  </si>
  <si>
    <t xml:space="preserve">      962 Endurance 0-500 hrs</t>
  </si>
  <si>
    <t>Endurance # 2</t>
  </si>
  <si>
    <t xml:space="preserve">      962 Endurance 501-1000 hrs</t>
  </si>
  <si>
    <t>Endurance # 3</t>
  </si>
  <si>
    <t xml:space="preserve">      962 Endurance 1001-1500 hrs</t>
  </si>
  <si>
    <t>Endurance # 4</t>
  </si>
  <si>
    <t xml:space="preserve">      962 Endurance 1501-2000 hrs</t>
  </si>
  <si>
    <t xml:space="preserve">      BOSCH Fuel System Eval</t>
  </si>
  <si>
    <t xml:space="preserve">      962 Final Inspection</t>
  </si>
  <si>
    <t xml:space="preserve">      962 Axle Pinion Bearing Inspection</t>
  </si>
  <si>
    <t xml:space="preserve">      962 T3 Sound Development</t>
  </si>
  <si>
    <t xml:space="preserve">      962 Altitude Test</t>
  </si>
  <si>
    <t xml:space="preserve">    962 HRC AU2020 Pilot #1 (SN)</t>
  </si>
  <si>
    <t xml:space="preserve">      Machine Checkout</t>
  </si>
  <si>
    <t xml:space="preserve">      L5 Checkout</t>
  </si>
  <si>
    <t xml:space="preserve">      SW Update</t>
  </si>
  <si>
    <t xml:space="preserve">      ISO 5010 Steering Certification</t>
  </si>
  <si>
    <t xml:space="preserve">      ISO 3450 Brake Certification</t>
  </si>
  <si>
    <t xml:space="preserve">      962 HRC EMC Test</t>
  </si>
  <si>
    <t xml:space="preserve">      962 Pilot HRC Endurance 0-500 hrs</t>
  </si>
  <si>
    <t xml:space="preserve">      962 Pilot HRC Endurance 501-1000 hrs</t>
  </si>
  <si>
    <t xml:space="preserve">      962 Pilot HRC Endurance 1001-1500 hrs</t>
  </si>
  <si>
    <t xml:space="preserve">    950 LRC AU2020 Endurance Pilot #2 (SN)</t>
  </si>
  <si>
    <t xml:space="preserve">      950 LRC ISO 5010 Steering Certification</t>
  </si>
  <si>
    <t xml:space="preserve">      950 Pilot LRC Endurance 0-500 hrs</t>
  </si>
  <si>
    <t xml:space="preserve">      950 Pilot LRC Endurance 501-1000 hrs</t>
  </si>
  <si>
    <t xml:space="preserve">      950 Pilot LRC Endurance 1001-1500 hrs</t>
  </si>
  <si>
    <t xml:space="preserve">      950 Pilot LRC Endurance 1501-2000 hrs</t>
  </si>
  <si>
    <t>Endurance # 5</t>
  </si>
  <si>
    <t xml:space="preserve">      950 Pilot LRC Endurance 2001-2500 hrs</t>
  </si>
  <si>
    <t>Endurance # 6</t>
  </si>
  <si>
    <t xml:space="preserve">      950 Pilot LRC Endurance 2501-3000 hrs</t>
  </si>
  <si>
    <t>Endurance # 7</t>
  </si>
  <si>
    <t xml:space="preserve">      950 Pilot LRC Endurance 3001-3500 hrs</t>
  </si>
  <si>
    <t>Endurance # 8</t>
  </si>
  <si>
    <t xml:space="preserve">      950 Pilot LRC Endurance 3501-4000 hrs</t>
  </si>
  <si>
    <t>Endurance # 9</t>
  </si>
  <si>
    <t xml:space="preserve">      950 Pilot LRC Endurance 4001-4500 hrs</t>
  </si>
  <si>
    <t>Endurance # 10</t>
  </si>
  <si>
    <t xml:space="preserve">      950 Pilot LRC Endurance 4501-5000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</si>
</sst>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9A4E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15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/>
    <xf numFmtId="15" fontId="0" fillId="3" borderId="1" xfId="0" applyNumberFormat="1" applyFill="1" applyBorder="1"/>
    <xf numFmtId="0" fontId="0" fillId="0" borderId="1" xfId="0" applyBorder="1" applyAlignment="1">
      <alignment horizontal="left" indent="2"/>
    </xf>
    <xf numFmtId="15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15" fontId="0" fillId="0" borderId="1" xfId="0" applyNumberFormat="1" applyBorder="1" applyAlignment="1">
      <alignment vertical="center"/>
    </xf>
    <xf numFmtId="0" fontId="1" fillId="4" borderId="1" xfId="0" applyFont="1" applyFill="1" applyBorder="1"/>
    <xf numFmtId="0" fontId="0" fillId="0" borderId="2" xfId="0" applyFill="1" applyBorder="1" applyAlignment="1">
      <alignment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1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horizontal="right" vertical="center"/>
    </xf>
    <xf numFmtId="0" fontId="0" fillId="5" borderId="1" xfId="0" applyFill="1" applyBorder="1"/>
    <xf numFmtId="15" fontId="0" fillId="5" borderId="1" xfId="0" applyNumberFormat="1" applyFill="1" applyBorder="1"/>
    <xf numFmtId="0" fontId="0" fillId="6" borderId="1" xfId="0" applyFill="1" applyBorder="1"/>
    <xf numFmtId="0" fontId="0" fillId="7" borderId="1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8E097-4187-4ACC-922C-5FC977C29374}">
  <dimension ref="A1:H118"/>
  <sheetViews>
    <sheetView tabSelected="1" workbookViewId="0">
      <selection sqref="A1:D118"/>
    </sheetView>
  </sheetViews>
  <sheetFormatPr defaultRowHeight="14.4" x14ac:dyDescent="0.3"/>
  <cols>
    <col min="1" max="1" width="15.77734375" bestFit="1" customWidth="1"/>
    <col min="2" max="2" width="38.44140625" bestFit="1" customWidth="1"/>
    <col min="3" max="4" width="9.77734375" bestFit="1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s="1"/>
      <c r="B2" s="2" t="s">
        <v>3</v>
      </c>
      <c r="C2" s="3">
        <v>43472</v>
      </c>
      <c r="D2" s="3">
        <v>43504</v>
      </c>
    </row>
    <row r="3" spans="1:4" x14ac:dyDescent="0.3">
      <c r="A3" s="4" t="s">
        <v>4</v>
      </c>
      <c r="B3" s="5" t="s">
        <v>5</v>
      </c>
      <c r="C3" s="6">
        <v>43531</v>
      </c>
      <c r="D3" s="6">
        <v>43537</v>
      </c>
    </row>
    <row r="4" spans="1:4" x14ac:dyDescent="0.3">
      <c r="A4" s="4" t="s">
        <v>6</v>
      </c>
      <c r="B4" s="5" t="s">
        <v>7</v>
      </c>
      <c r="C4" s="6">
        <v>43538</v>
      </c>
      <c r="D4" s="6">
        <v>43542</v>
      </c>
    </row>
    <row r="5" spans="1:4" x14ac:dyDescent="0.3">
      <c r="A5" s="4" t="s">
        <v>8</v>
      </c>
      <c r="B5" s="5" t="s">
        <v>9</v>
      </c>
      <c r="C5" s="6">
        <v>43543</v>
      </c>
      <c r="D5" s="6">
        <v>43570</v>
      </c>
    </row>
    <row r="6" spans="1:4" x14ac:dyDescent="0.3">
      <c r="A6" s="4" t="s">
        <v>8</v>
      </c>
      <c r="B6" s="5" t="s">
        <v>10</v>
      </c>
      <c r="C6" s="6">
        <v>43543</v>
      </c>
      <c r="D6" s="6">
        <v>43545</v>
      </c>
    </row>
    <row r="7" spans="1:4" x14ac:dyDescent="0.3">
      <c r="A7" s="4" t="s">
        <v>8</v>
      </c>
      <c r="B7" s="5" t="s">
        <v>11</v>
      </c>
      <c r="C7" s="6">
        <v>43546</v>
      </c>
      <c r="D7" s="6">
        <v>43549</v>
      </c>
    </row>
    <row r="8" spans="1:4" x14ac:dyDescent="0.3">
      <c r="A8" s="4" t="s">
        <v>8</v>
      </c>
      <c r="B8" s="5" t="s">
        <v>12</v>
      </c>
      <c r="C8" s="6">
        <v>43550</v>
      </c>
      <c r="D8" s="6">
        <v>43563</v>
      </c>
    </row>
    <row r="9" spans="1:4" x14ac:dyDescent="0.3">
      <c r="A9" s="4" t="s">
        <v>8</v>
      </c>
      <c r="B9" s="5" t="s">
        <v>13</v>
      </c>
      <c r="C9" s="6">
        <v>43564</v>
      </c>
      <c r="D9" s="6">
        <v>43570</v>
      </c>
    </row>
    <row r="10" spans="1:4" x14ac:dyDescent="0.3">
      <c r="A10" s="4" t="s">
        <v>8</v>
      </c>
      <c r="B10" s="5" t="s">
        <v>14</v>
      </c>
      <c r="C10" s="6">
        <v>43564</v>
      </c>
      <c r="D10" s="6">
        <v>43600</v>
      </c>
    </row>
    <row r="11" spans="1:4" x14ac:dyDescent="0.3">
      <c r="A11" s="4" t="s">
        <v>4</v>
      </c>
      <c r="B11" s="5" t="s">
        <v>15</v>
      </c>
      <c r="C11" s="6">
        <v>43601</v>
      </c>
      <c r="D11" s="6">
        <v>43607</v>
      </c>
    </row>
    <row r="12" spans="1:4" x14ac:dyDescent="0.3">
      <c r="A12" s="4" t="s">
        <v>16</v>
      </c>
      <c r="B12" s="5" t="s">
        <v>17</v>
      </c>
      <c r="C12" s="6">
        <v>43608</v>
      </c>
      <c r="D12" s="6">
        <v>43635</v>
      </c>
    </row>
    <row r="13" spans="1:4" x14ac:dyDescent="0.3">
      <c r="A13" s="4" t="s">
        <v>4</v>
      </c>
      <c r="B13" s="5" t="s">
        <v>18</v>
      </c>
      <c r="C13" s="6">
        <v>43636</v>
      </c>
      <c r="D13" s="6">
        <v>43657</v>
      </c>
    </row>
    <row r="14" spans="1:4" x14ac:dyDescent="0.3">
      <c r="A14" s="4" t="s">
        <v>4</v>
      </c>
      <c r="B14" s="5" t="s">
        <v>19</v>
      </c>
      <c r="C14" s="6">
        <v>43623</v>
      </c>
      <c r="D14" s="6">
        <v>43626</v>
      </c>
    </row>
    <row r="15" spans="1:4" x14ac:dyDescent="0.3">
      <c r="A15" s="4" t="s">
        <v>20</v>
      </c>
      <c r="B15" s="5" t="s">
        <v>21</v>
      </c>
      <c r="C15" s="6">
        <v>43658</v>
      </c>
      <c r="D15" s="6">
        <v>43671</v>
      </c>
    </row>
    <row r="16" spans="1:4" x14ac:dyDescent="0.3">
      <c r="A16" s="4" t="s">
        <v>22</v>
      </c>
      <c r="B16" s="5" t="s">
        <v>23</v>
      </c>
      <c r="C16" s="6">
        <v>43672</v>
      </c>
      <c r="D16" s="6">
        <v>43692</v>
      </c>
    </row>
    <row r="17" spans="1:8" x14ac:dyDescent="0.3">
      <c r="A17" s="4" t="s">
        <v>24</v>
      </c>
      <c r="B17" s="5" t="s">
        <v>25</v>
      </c>
      <c r="C17" s="6">
        <v>43692</v>
      </c>
      <c r="D17" s="6">
        <v>43696</v>
      </c>
    </row>
    <row r="18" spans="1:8" x14ac:dyDescent="0.3">
      <c r="A18" s="4" t="s">
        <v>26</v>
      </c>
      <c r="B18" s="5" t="s">
        <v>27</v>
      </c>
      <c r="C18" s="6">
        <v>43697</v>
      </c>
      <c r="D18" s="6">
        <v>43727</v>
      </c>
    </row>
    <row r="19" spans="1:8" x14ac:dyDescent="0.3">
      <c r="A19" s="4" t="s">
        <v>4</v>
      </c>
      <c r="B19" s="5" t="s">
        <v>28</v>
      </c>
      <c r="C19" s="6">
        <v>43728</v>
      </c>
      <c r="D19" s="6">
        <v>43741</v>
      </c>
    </row>
    <row r="20" spans="1:8" x14ac:dyDescent="0.3">
      <c r="A20" s="4" t="s">
        <v>4</v>
      </c>
      <c r="B20" s="5" t="s">
        <v>29</v>
      </c>
      <c r="C20" s="6">
        <v>43742</v>
      </c>
      <c r="D20" s="6">
        <v>43755</v>
      </c>
      <c r="H20" s="28"/>
    </row>
    <row r="21" spans="1:8" x14ac:dyDescent="0.3">
      <c r="A21" s="4" t="s">
        <v>4</v>
      </c>
      <c r="B21" s="5" t="s">
        <v>30</v>
      </c>
      <c r="C21" s="6">
        <v>43805</v>
      </c>
      <c r="D21" s="6">
        <v>43818</v>
      </c>
    </row>
    <row r="22" spans="1:8" x14ac:dyDescent="0.3">
      <c r="A22" s="4" t="s">
        <v>20</v>
      </c>
      <c r="B22" s="5" t="s">
        <v>31</v>
      </c>
      <c r="C22" s="6">
        <v>43832</v>
      </c>
      <c r="D22" s="6">
        <v>43853</v>
      </c>
    </row>
    <row r="23" spans="1:8" x14ac:dyDescent="0.3">
      <c r="A23" s="4" t="s">
        <v>22</v>
      </c>
      <c r="B23" s="5" t="s">
        <v>32</v>
      </c>
      <c r="C23" s="6">
        <v>43854</v>
      </c>
      <c r="D23" s="6">
        <v>43892</v>
      </c>
    </row>
    <row r="24" spans="1:8" x14ac:dyDescent="0.3">
      <c r="A24" s="4" t="s">
        <v>4</v>
      </c>
      <c r="B24" s="5" t="s">
        <v>33</v>
      </c>
      <c r="C24" s="6">
        <v>43881</v>
      </c>
      <c r="D24" s="6">
        <v>43894</v>
      </c>
    </row>
    <row r="25" spans="1:8" x14ac:dyDescent="0.3">
      <c r="A25" s="4" t="s">
        <v>4</v>
      </c>
      <c r="B25" s="5" t="s">
        <v>34</v>
      </c>
      <c r="C25" s="6">
        <v>43895</v>
      </c>
      <c r="D25" s="6">
        <v>43898</v>
      </c>
    </row>
    <row r="26" spans="1:8" x14ac:dyDescent="0.3">
      <c r="A26" s="4" t="s">
        <v>4</v>
      </c>
      <c r="B26" s="5" t="s">
        <v>35</v>
      </c>
      <c r="C26" s="6">
        <v>43892</v>
      </c>
      <c r="D26" s="6">
        <v>43903</v>
      </c>
    </row>
    <row r="27" spans="1:8" x14ac:dyDescent="0.3">
      <c r="A27" s="4" t="s">
        <v>4</v>
      </c>
      <c r="B27" s="5" t="s">
        <v>36</v>
      </c>
      <c r="C27" s="6">
        <v>43952</v>
      </c>
      <c r="D27" s="6">
        <v>43965</v>
      </c>
    </row>
    <row r="28" spans="1:8" x14ac:dyDescent="0.3">
      <c r="A28" s="4" t="s">
        <v>4</v>
      </c>
      <c r="B28" s="5" t="s">
        <v>37</v>
      </c>
      <c r="C28" s="6">
        <v>44046</v>
      </c>
      <c r="D28" s="6">
        <v>44057</v>
      </c>
    </row>
    <row r="29" spans="1:8" x14ac:dyDescent="0.3">
      <c r="A29" s="4" t="s">
        <v>4</v>
      </c>
      <c r="B29" s="5" t="s">
        <v>38</v>
      </c>
      <c r="C29" s="6">
        <v>44058</v>
      </c>
      <c r="D29" s="6">
        <v>44061</v>
      </c>
    </row>
    <row r="30" spans="1:8" x14ac:dyDescent="0.3">
      <c r="A30" s="7"/>
      <c r="B30" s="8" t="s">
        <v>39</v>
      </c>
      <c r="C30" s="9">
        <v>43592</v>
      </c>
      <c r="D30" s="9">
        <v>44027</v>
      </c>
    </row>
    <row r="31" spans="1:8" x14ac:dyDescent="0.3">
      <c r="A31" s="4" t="s">
        <v>6</v>
      </c>
      <c r="B31" s="10" t="s">
        <v>40</v>
      </c>
      <c r="C31" s="11">
        <v>43592</v>
      </c>
      <c r="D31" s="11">
        <v>43593</v>
      </c>
    </row>
    <row r="32" spans="1:8" x14ac:dyDescent="0.3">
      <c r="A32" s="4" t="s">
        <v>6</v>
      </c>
      <c r="B32" s="10" t="s">
        <v>41</v>
      </c>
      <c r="C32" s="11">
        <v>43594</v>
      </c>
      <c r="D32" s="11">
        <v>43594</v>
      </c>
    </row>
    <row r="33" spans="1:4" x14ac:dyDescent="0.3">
      <c r="A33" s="4" t="s">
        <v>4</v>
      </c>
      <c r="B33" s="7" t="s">
        <v>5</v>
      </c>
      <c r="C33" s="11">
        <v>43595</v>
      </c>
      <c r="D33" s="11">
        <v>43608</v>
      </c>
    </row>
    <row r="34" spans="1:4" x14ac:dyDescent="0.3">
      <c r="A34" s="4" t="s">
        <v>6</v>
      </c>
      <c r="B34" s="7" t="s">
        <v>42</v>
      </c>
      <c r="C34" s="11">
        <v>43609</v>
      </c>
      <c r="D34" s="11">
        <v>43614</v>
      </c>
    </row>
    <row r="35" spans="1:4" x14ac:dyDescent="0.3">
      <c r="A35" s="4" t="s">
        <v>8</v>
      </c>
      <c r="B35" s="7" t="s">
        <v>43</v>
      </c>
      <c r="C35" s="11">
        <v>43615</v>
      </c>
      <c r="D35" s="11">
        <v>43635</v>
      </c>
    </row>
    <row r="36" spans="1:4" x14ac:dyDescent="0.3">
      <c r="A36" s="4" t="s">
        <v>20</v>
      </c>
      <c r="B36" s="7" t="s">
        <v>21</v>
      </c>
      <c r="C36" s="11">
        <v>43636</v>
      </c>
      <c r="D36" s="11">
        <v>43649</v>
      </c>
    </row>
    <row r="37" spans="1:4" x14ac:dyDescent="0.3">
      <c r="A37" s="4" t="s">
        <v>4</v>
      </c>
      <c r="B37" s="7" t="s">
        <v>19</v>
      </c>
      <c r="C37" s="11">
        <v>43623</v>
      </c>
      <c r="D37" s="11">
        <v>43626</v>
      </c>
    </row>
    <row r="38" spans="1:4" x14ac:dyDescent="0.3">
      <c r="A38" s="4" t="s">
        <v>20</v>
      </c>
      <c r="B38" s="7" t="s">
        <v>44</v>
      </c>
      <c r="C38" s="11">
        <v>43651</v>
      </c>
      <c r="D38" s="11">
        <v>43663</v>
      </c>
    </row>
    <row r="39" spans="1:4" x14ac:dyDescent="0.3">
      <c r="A39" s="4" t="s">
        <v>45</v>
      </c>
      <c r="B39" s="7" t="s">
        <v>46</v>
      </c>
      <c r="C39" s="11">
        <v>43664</v>
      </c>
      <c r="D39" s="11">
        <v>43671</v>
      </c>
    </row>
    <row r="40" spans="1:4" x14ac:dyDescent="0.3">
      <c r="A40" s="4" t="s">
        <v>45</v>
      </c>
      <c r="B40" s="7" t="s">
        <v>47</v>
      </c>
      <c r="C40" s="11">
        <v>43672</v>
      </c>
      <c r="D40" s="11">
        <v>43677</v>
      </c>
    </row>
    <row r="41" spans="1:4" ht="28.8" x14ac:dyDescent="0.3">
      <c r="A41" s="12" t="s">
        <v>45</v>
      </c>
      <c r="B41" s="13" t="s">
        <v>48</v>
      </c>
      <c r="C41" s="14">
        <v>43678</v>
      </c>
      <c r="D41" s="14">
        <v>43699</v>
      </c>
    </row>
    <row r="42" spans="1:4" x14ac:dyDescent="0.3">
      <c r="A42" s="4" t="s">
        <v>49</v>
      </c>
      <c r="B42" s="7" t="s">
        <v>50</v>
      </c>
      <c r="C42" s="11">
        <v>43700</v>
      </c>
      <c r="D42" s="11">
        <v>43712</v>
      </c>
    </row>
    <row r="43" spans="1:4" x14ac:dyDescent="0.3">
      <c r="A43" s="4" t="s">
        <v>8</v>
      </c>
      <c r="B43" s="7" t="s">
        <v>51</v>
      </c>
      <c r="C43" s="11">
        <f>D42+1</f>
        <v>43713</v>
      </c>
      <c r="D43" s="11">
        <v>43741</v>
      </c>
    </row>
    <row r="44" spans="1:4" x14ac:dyDescent="0.3">
      <c r="A44" s="4" t="s">
        <v>4</v>
      </c>
      <c r="B44" s="7" t="s">
        <v>52</v>
      </c>
      <c r="C44" s="11">
        <v>43714</v>
      </c>
      <c r="D44" s="11">
        <v>43717</v>
      </c>
    </row>
    <row r="45" spans="1:4" x14ac:dyDescent="0.3">
      <c r="A45" s="4" t="s">
        <v>53</v>
      </c>
      <c r="B45" s="7" t="s">
        <v>54</v>
      </c>
      <c r="C45" s="11">
        <v>43742</v>
      </c>
      <c r="D45" s="11">
        <v>43746</v>
      </c>
    </row>
    <row r="46" spans="1:4" x14ac:dyDescent="0.3">
      <c r="A46" s="4" t="s">
        <v>20</v>
      </c>
      <c r="B46" s="7" t="s">
        <v>55</v>
      </c>
      <c r="C46" s="11">
        <v>43747</v>
      </c>
      <c r="D46" s="11">
        <v>43815</v>
      </c>
    </row>
    <row r="47" spans="1:4" x14ac:dyDescent="0.3">
      <c r="A47" s="4" t="s">
        <v>4</v>
      </c>
      <c r="B47" s="7" t="s">
        <v>56</v>
      </c>
      <c r="C47" s="11">
        <v>43805</v>
      </c>
      <c r="D47" s="11">
        <v>43808</v>
      </c>
    </row>
    <row r="48" spans="1:4" x14ac:dyDescent="0.3">
      <c r="A48" s="4" t="s">
        <v>20</v>
      </c>
      <c r="B48" s="7" t="s">
        <v>31</v>
      </c>
      <c r="C48" s="11">
        <v>43832</v>
      </c>
      <c r="D48" s="11">
        <v>43853</v>
      </c>
    </row>
    <row r="49" spans="1:4" x14ac:dyDescent="0.3">
      <c r="A49" s="4" t="s">
        <v>49</v>
      </c>
      <c r="B49" s="7" t="s">
        <v>57</v>
      </c>
      <c r="C49" s="11">
        <v>43854</v>
      </c>
      <c r="D49" s="11">
        <v>43887</v>
      </c>
    </row>
    <row r="50" spans="1:4" x14ac:dyDescent="0.3">
      <c r="A50" s="4" t="s">
        <v>22</v>
      </c>
      <c r="B50" s="7" t="s">
        <v>58</v>
      </c>
      <c r="C50" s="11">
        <v>43866</v>
      </c>
      <c r="D50" s="11">
        <v>43892</v>
      </c>
    </row>
    <row r="51" spans="1:4" x14ac:dyDescent="0.3">
      <c r="A51" s="4" t="s">
        <v>4</v>
      </c>
      <c r="B51" s="7" t="s">
        <v>59</v>
      </c>
      <c r="C51" s="11">
        <v>43880</v>
      </c>
      <c r="D51" s="11">
        <v>43881</v>
      </c>
    </row>
    <row r="52" spans="1:4" x14ac:dyDescent="0.3">
      <c r="A52" s="4" t="s">
        <v>16</v>
      </c>
      <c r="B52" s="7" t="s">
        <v>60</v>
      </c>
      <c r="C52" s="11">
        <v>43889</v>
      </c>
      <c r="D52" s="11">
        <v>43922</v>
      </c>
    </row>
    <row r="53" spans="1:4" x14ac:dyDescent="0.3">
      <c r="A53" s="4" t="s">
        <v>49</v>
      </c>
      <c r="B53" s="7" t="s">
        <v>61</v>
      </c>
      <c r="C53" s="11">
        <v>43923</v>
      </c>
      <c r="D53" s="11">
        <v>43934</v>
      </c>
    </row>
    <row r="54" spans="1:4" x14ac:dyDescent="0.3">
      <c r="A54" s="4" t="s">
        <v>16</v>
      </c>
      <c r="B54" s="7" t="s">
        <v>62</v>
      </c>
      <c r="C54" s="11">
        <v>43935</v>
      </c>
      <c r="D54" s="11">
        <v>43959</v>
      </c>
    </row>
    <row r="55" spans="1:4" x14ac:dyDescent="0.3">
      <c r="A55" s="4" t="s">
        <v>20</v>
      </c>
      <c r="B55" s="7" t="s">
        <v>63</v>
      </c>
      <c r="C55" s="11">
        <v>43962</v>
      </c>
      <c r="D55" s="11">
        <v>43973</v>
      </c>
    </row>
    <row r="56" spans="1:4" x14ac:dyDescent="0.3">
      <c r="A56" s="4" t="s">
        <v>53</v>
      </c>
      <c r="B56" s="7" t="s">
        <v>64</v>
      </c>
      <c r="C56" s="11">
        <v>43977</v>
      </c>
      <c r="D56" s="11">
        <v>43979</v>
      </c>
    </row>
    <row r="57" spans="1:4" x14ac:dyDescent="0.3">
      <c r="A57" s="4" t="s">
        <v>20</v>
      </c>
      <c r="B57" s="7" t="s">
        <v>65</v>
      </c>
      <c r="C57" s="11">
        <v>43980</v>
      </c>
      <c r="D57" s="11">
        <v>44000</v>
      </c>
    </row>
    <row r="58" spans="1:4" x14ac:dyDescent="0.3">
      <c r="A58" s="7"/>
      <c r="B58" s="15" t="s">
        <v>66</v>
      </c>
      <c r="C58" s="11">
        <v>43545</v>
      </c>
      <c r="D58" s="11">
        <v>43602</v>
      </c>
    </row>
    <row r="59" spans="1:4" x14ac:dyDescent="0.3">
      <c r="A59" s="12" t="s">
        <v>6</v>
      </c>
      <c r="B59" s="16" t="s">
        <v>67</v>
      </c>
      <c r="C59" s="17">
        <v>43570</v>
      </c>
      <c r="D59" s="17">
        <v>43602</v>
      </c>
    </row>
    <row r="60" spans="1:4" x14ac:dyDescent="0.3">
      <c r="A60" s="4" t="s">
        <v>4</v>
      </c>
      <c r="B60" s="18" t="s">
        <v>68</v>
      </c>
      <c r="C60" s="11">
        <v>43605</v>
      </c>
      <c r="D60" s="11">
        <v>43626</v>
      </c>
    </row>
    <row r="61" spans="1:4" x14ac:dyDescent="0.3">
      <c r="A61" s="4" t="s">
        <v>6</v>
      </c>
      <c r="B61" s="18" t="s">
        <v>42</v>
      </c>
      <c r="C61" s="11">
        <v>43627</v>
      </c>
      <c r="D61" s="11">
        <v>43629</v>
      </c>
    </row>
    <row r="62" spans="1:4" x14ac:dyDescent="0.3">
      <c r="A62" s="4" t="s">
        <v>8</v>
      </c>
      <c r="B62" s="18" t="s">
        <v>51</v>
      </c>
      <c r="C62" s="11">
        <v>43630</v>
      </c>
      <c r="D62" s="11">
        <v>43661</v>
      </c>
    </row>
    <row r="63" spans="1:4" ht="28.8" x14ac:dyDescent="0.3">
      <c r="A63" s="19" t="s">
        <v>69</v>
      </c>
      <c r="B63" s="20" t="s">
        <v>70</v>
      </c>
      <c r="C63" s="21">
        <v>43662</v>
      </c>
      <c r="D63" s="21">
        <v>43691</v>
      </c>
    </row>
    <row r="64" spans="1:4" x14ac:dyDescent="0.3">
      <c r="A64" s="4" t="s">
        <v>4</v>
      </c>
      <c r="B64" s="18" t="s">
        <v>19</v>
      </c>
      <c r="C64" s="11">
        <f>D63+1</f>
        <v>43692</v>
      </c>
      <c r="D64" s="11">
        <f>C64+H64</f>
        <v>43692</v>
      </c>
    </row>
    <row r="65" spans="1:4" x14ac:dyDescent="0.3">
      <c r="A65" s="4" t="s">
        <v>71</v>
      </c>
      <c r="B65" s="18" t="s">
        <v>72</v>
      </c>
      <c r="C65" s="11">
        <v>43692</v>
      </c>
      <c r="D65" s="11">
        <v>43733</v>
      </c>
    </row>
    <row r="66" spans="1:4" x14ac:dyDescent="0.3">
      <c r="A66" s="4" t="s">
        <v>4</v>
      </c>
      <c r="B66" s="18" t="s">
        <v>52</v>
      </c>
      <c r="C66" s="11">
        <v>43714</v>
      </c>
      <c r="D66" s="11">
        <v>43717</v>
      </c>
    </row>
    <row r="67" spans="1:4" x14ac:dyDescent="0.3">
      <c r="A67" s="4" t="s">
        <v>20</v>
      </c>
      <c r="B67" s="18" t="s">
        <v>21</v>
      </c>
      <c r="C67" s="11">
        <v>43734</v>
      </c>
      <c r="D67" s="11">
        <v>43754</v>
      </c>
    </row>
    <row r="68" spans="1:4" ht="28.8" x14ac:dyDescent="0.3">
      <c r="A68" s="12" t="s">
        <v>73</v>
      </c>
      <c r="B68" s="22" t="s">
        <v>74</v>
      </c>
      <c r="C68" s="23">
        <v>43776</v>
      </c>
      <c r="D68" s="23">
        <v>43782</v>
      </c>
    </row>
    <row r="69" spans="1:4" x14ac:dyDescent="0.3">
      <c r="A69" s="4" t="s">
        <v>75</v>
      </c>
      <c r="B69" s="18" t="s">
        <v>76</v>
      </c>
      <c r="C69" s="11">
        <v>43794</v>
      </c>
      <c r="D69" s="11">
        <v>43795</v>
      </c>
    </row>
    <row r="70" spans="1:4" x14ac:dyDescent="0.3">
      <c r="A70" s="4" t="s">
        <v>22</v>
      </c>
      <c r="B70" s="18" t="s">
        <v>77</v>
      </c>
      <c r="C70" s="11">
        <v>43796</v>
      </c>
      <c r="D70" s="11">
        <v>43801</v>
      </c>
    </row>
    <row r="71" spans="1:4" x14ac:dyDescent="0.3">
      <c r="A71" s="4" t="s">
        <v>4</v>
      </c>
      <c r="B71" s="18" t="s">
        <v>56</v>
      </c>
      <c r="C71" s="11">
        <v>43805</v>
      </c>
      <c r="D71" s="11">
        <v>43808</v>
      </c>
    </row>
    <row r="72" spans="1:4" x14ac:dyDescent="0.3">
      <c r="A72" s="4" t="s">
        <v>22</v>
      </c>
      <c r="B72" s="18" t="s">
        <v>78</v>
      </c>
      <c r="C72" s="11">
        <v>43832</v>
      </c>
      <c r="D72" s="11">
        <v>43857</v>
      </c>
    </row>
    <row r="73" spans="1:4" x14ac:dyDescent="0.3">
      <c r="A73" s="4" t="s">
        <v>4</v>
      </c>
      <c r="B73" s="18" t="s">
        <v>59</v>
      </c>
      <c r="C73" s="11">
        <v>43880</v>
      </c>
      <c r="D73" s="11">
        <v>43881</v>
      </c>
    </row>
    <row r="74" spans="1:4" x14ac:dyDescent="0.3">
      <c r="A74" s="7"/>
      <c r="B74" s="24" t="s">
        <v>79</v>
      </c>
      <c r="C74" s="25">
        <v>43552</v>
      </c>
      <c r="D74" s="25">
        <f>D93</f>
        <v>43948</v>
      </c>
    </row>
    <row r="75" spans="1:4" x14ac:dyDescent="0.3">
      <c r="A75" s="4" t="s">
        <v>6</v>
      </c>
      <c r="B75" s="7" t="s">
        <v>80</v>
      </c>
      <c r="C75" s="11">
        <v>43586</v>
      </c>
      <c r="D75" s="11">
        <v>43631</v>
      </c>
    </row>
    <row r="76" spans="1:4" x14ac:dyDescent="0.3">
      <c r="A76" s="4" t="s">
        <v>6</v>
      </c>
      <c r="B76" s="10" t="s">
        <v>40</v>
      </c>
      <c r="C76" s="11">
        <f>D75+1</f>
        <v>43632</v>
      </c>
      <c r="D76" s="11">
        <f t="shared" ref="D76:D87" si="0">C76+H76</f>
        <v>43632</v>
      </c>
    </row>
    <row r="77" spans="1:4" x14ac:dyDescent="0.3">
      <c r="A77" s="4" t="s">
        <v>6</v>
      </c>
      <c r="B77" s="10" t="s">
        <v>41</v>
      </c>
      <c r="C77" s="11">
        <f>D76</f>
        <v>43632</v>
      </c>
      <c r="D77" s="11">
        <f t="shared" si="0"/>
        <v>43632</v>
      </c>
    </row>
    <row r="78" spans="1:4" x14ac:dyDescent="0.3">
      <c r="A78" s="4" t="s">
        <v>6</v>
      </c>
      <c r="B78" s="7" t="s">
        <v>42</v>
      </c>
      <c r="C78" s="11">
        <f>D77+1</f>
        <v>43633</v>
      </c>
      <c r="D78" s="11">
        <f t="shared" si="0"/>
        <v>43633</v>
      </c>
    </row>
    <row r="79" spans="1:4" x14ac:dyDescent="0.3">
      <c r="A79" s="4" t="s">
        <v>75</v>
      </c>
      <c r="B79" s="7" t="s">
        <v>76</v>
      </c>
      <c r="C79" s="11">
        <f t="shared" ref="C79:C88" si="1">D78+1</f>
        <v>43634</v>
      </c>
      <c r="D79" s="11">
        <f t="shared" si="0"/>
        <v>43634</v>
      </c>
    </row>
    <row r="80" spans="1:4" x14ac:dyDescent="0.3">
      <c r="A80" s="4" t="s">
        <v>53</v>
      </c>
      <c r="B80" s="7" t="s">
        <v>81</v>
      </c>
      <c r="C80" s="11">
        <f t="shared" si="1"/>
        <v>43635</v>
      </c>
      <c r="D80" s="11">
        <f t="shared" si="0"/>
        <v>43635</v>
      </c>
    </row>
    <row r="81" spans="1:4" x14ac:dyDescent="0.3">
      <c r="A81" s="4" t="s">
        <v>82</v>
      </c>
      <c r="B81" s="7" t="s">
        <v>83</v>
      </c>
      <c r="C81" s="11">
        <f t="shared" si="1"/>
        <v>43636</v>
      </c>
      <c r="D81" s="11">
        <f t="shared" si="0"/>
        <v>43636</v>
      </c>
    </row>
    <row r="82" spans="1:4" x14ac:dyDescent="0.3">
      <c r="A82" s="4" t="s">
        <v>4</v>
      </c>
      <c r="B82" s="7" t="s">
        <v>19</v>
      </c>
      <c r="C82" s="11">
        <f t="shared" si="1"/>
        <v>43637</v>
      </c>
      <c r="D82" s="11">
        <f t="shared" si="0"/>
        <v>43637</v>
      </c>
    </row>
    <row r="83" spans="1:4" x14ac:dyDescent="0.3">
      <c r="A83" s="4" t="s">
        <v>84</v>
      </c>
      <c r="B83" s="7" t="s">
        <v>85</v>
      </c>
      <c r="C83" s="11">
        <f t="shared" si="1"/>
        <v>43638</v>
      </c>
      <c r="D83" s="11">
        <f t="shared" si="0"/>
        <v>43638</v>
      </c>
    </row>
    <row r="84" spans="1:4" x14ac:dyDescent="0.3">
      <c r="A84" s="4" t="s">
        <v>86</v>
      </c>
      <c r="B84" s="7" t="s">
        <v>87</v>
      </c>
      <c r="C84" s="11">
        <f t="shared" si="1"/>
        <v>43639</v>
      </c>
      <c r="D84" s="11">
        <f t="shared" si="0"/>
        <v>43639</v>
      </c>
    </row>
    <row r="85" spans="1:4" x14ac:dyDescent="0.3">
      <c r="A85" s="4" t="s">
        <v>4</v>
      </c>
      <c r="B85" s="7" t="s">
        <v>52</v>
      </c>
      <c r="C85" s="11">
        <f t="shared" si="1"/>
        <v>43640</v>
      </c>
      <c r="D85" s="11">
        <f t="shared" si="0"/>
        <v>43640</v>
      </c>
    </row>
    <row r="86" spans="1:4" x14ac:dyDescent="0.3">
      <c r="A86" s="4" t="s">
        <v>88</v>
      </c>
      <c r="B86" s="7" t="s">
        <v>89</v>
      </c>
      <c r="C86" s="11">
        <f t="shared" si="1"/>
        <v>43641</v>
      </c>
      <c r="D86" s="11">
        <f t="shared" si="0"/>
        <v>43641</v>
      </c>
    </row>
    <row r="87" spans="1:4" x14ac:dyDescent="0.3">
      <c r="A87" s="4" t="s">
        <v>49</v>
      </c>
      <c r="B87" s="7" t="s">
        <v>90</v>
      </c>
      <c r="C87" s="11">
        <f t="shared" si="1"/>
        <v>43642</v>
      </c>
      <c r="D87" s="11">
        <f t="shared" si="0"/>
        <v>43642</v>
      </c>
    </row>
    <row r="88" spans="1:4" x14ac:dyDescent="0.3">
      <c r="A88" s="4" t="s">
        <v>6</v>
      </c>
      <c r="B88" s="7" t="s">
        <v>91</v>
      </c>
      <c r="C88" s="11">
        <f t="shared" si="1"/>
        <v>43643</v>
      </c>
      <c r="D88" s="11">
        <f>C88+13</f>
        <v>43656</v>
      </c>
    </row>
    <row r="89" spans="1:4" x14ac:dyDescent="0.3">
      <c r="A89" s="4" t="s">
        <v>6</v>
      </c>
      <c r="B89" s="7" t="s">
        <v>92</v>
      </c>
      <c r="C89" s="11">
        <f>D88+1</f>
        <v>43657</v>
      </c>
      <c r="D89" s="11">
        <f>C89+H89</f>
        <v>43657</v>
      </c>
    </row>
    <row r="90" spans="1:4" x14ac:dyDescent="0.3">
      <c r="A90" s="4" t="s">
        <v>4</v>
      </c>
      <c r="B90" s="7" t="s">
        <v>56</v>
      </c>
      <c r="C90" s="11">
        <f>D89+1</f>
        <v>43658</v>
      </c>
      <c r="D90" s="11">
        <f>C90+H90</f>
        <v>43658</v>
      </c>
    </row>
    <row r="91" spans="1:4" x14ac:dyDescent="0.3">
      <c r="A91" s="4" t="s">
        <v>53</v>
      </c>
      <c r="B91" s="7" t="s">
        <v>93</v>
      </c>
      <c r="C91" s="11">
        <f t="shared" ref="C91" si="2">D90+1</f>
        <v>43659</v>
      </c>
      <c r="D91" s="11">
        <f>C91+H91</f>
        <v>43659</v>
      </c>
    </row>
    <row r="92" spans="1:4" x14ac:dyDescent="0.3">
      <c r="A92" s="4" t="s">
        <v>4</v>
      </c>
      <c r="B92" s="7" t="s">
        <v>59</v>
      </c>
      <c r="C92" s="11">
        <v>43880</v>
      </c>
      <c r="D92" s="11">
        <f>C92+H92</f>
        <v>43880</v>
      </c>
    </row>
    <row r="93" spans="1:4" x14ac:dyDescent="0.3">
      <c r="A93" s="4" t="s">
        <v>20</v>
      </c>
      <c r="B93" s="7" t="s">
        <v>94</v>
      </c>
      <c r="C93" s="11">
        <v>43948</v>
      </c>
      <c r="D93" s="11">
        <f>C93+H93</f>
        <v>43948</v>
      </c>
    </row>
    <row r="94" spans="1:4" x14ac:dyDescent="0.3">
      <c r="A94" s="7"/>
      <c r="B94" s="26" t="s">
        <v>95</v>
      </c>
      <c r="C94" s="11">
        <v>44221</v>
      </c>
      <c r="D94" s="11">
        <v>44438</v>
      </c>
    </row>
    <row r="95" spans="1:4" x14ac:dyDescent="0.3">
      <c r="A95" s="4" t="s">
        <v>6</v>
      </c>
      <c r="B95" s="7" t="s">
        <v>96</v>
      </c>
      <c r="C95" s="11">
        <v>44235</v>
      </c>
      <c r="D95" s="11">
        <v>44237</v>
      </c>
    </row>
    <row r="96" spans="1:4" x14ac:dyDescent="0.3">
      <c r="A96" s="4" t="s">
        <v>20</v>
      </c>
      <c r="B96" s="7" t="s">
        <v>97</v>
      </c>
      <c r="C96" s="11">
        <v>44238</v>
      </c>
      <c r="D96" s="11">
        <v>44244</v>
      </c>
    </row>
    <row r="97" spans="1:4" x14ac:dyDescent="0.3">
      <c r="A97" s="4" t="s">
        <v>4</v>
      </c>
      <c r="B97" s="7" t="s">
        <v>98</v>
      </c>
      <c r="C97" s="11">
        <v>44245</v>
      </c>
      <c r="D97" s="11">
        <v>44251</v>
      </c>
    </row>
    <row r="98" spans="1:4" x14ac:dyDescent="0.3">
      <c r="A98" s="4" t="s">
        <v>22</v>
      </c>
      <c r="B98" s="7" t="s">
        <v>99</v>
      </c>
      <c r="C98" s="11">
        <v>44252</v>
      </c>
      <c r="D98" s="11">
        <v>44274</v>
      </c>
    </row>
    <row r="99" spans="1:4" x14ac:dyDescent="0.3">
      <c r="A99" s="4" t="s">
        <v>22</v>
      </c>
      <c r="B99" s="7" t="s">
        <v>100</v>
      </c>
      <c r="C99" s="11">
        <v>44277</v>
      </c>
      <c r="D99" s="11">
        <v>44301</v>
      </c>
    </row>
    <row r="100" spans="1:4" x14ac:dyDescent="0.3">
      <c r="A100" s="4" t="s">
        <v>22</v>
      </c>
      <c r="B100" s="7" t="s">
        <v>101</v>
      </c>
      <c r="C100" s="11">
        <v>44302</v>
      </c>
      <c r="D100" s="11">
        <v>44313</v>
      </c>
    </row>
    <row r="101" spans="1:4" x14ac:dyDescent="0.3">
      <c r="A101" s="4" t="s">
        <v>82</v>
      </c>
      <c r="B101" s="7" t="s">
        <v>102</v>
      </c>
      <c r="C101" s="11">
        <v>44258</v>
      </c>
      <c r="D101" s="11">
        <v>44355</v>
      </c>
    </row>
    <row r="102" spans="1:4" x14ac:dyDescent="0.3">
      <c r="A102" s="4" t="s">
        <v>84</v>
      </c>
      <c r="B102" s="7" t="s">
        <v>103</v>
      </c>
      <c r="C102" s="11">
        <v>44356</v>
      </c>
      <c r="D102" s="11">
        <v>44396</v>
      </c>
    </row>
    <row r="103" spans="1:4" x14ac:dyDescent="0.3">
      <c r="A103" s="4" t="s">
        <v>86</v>
      </c>
      <c r="B103" s="7" t="s">
        <v>104</v>
      </c>
      <c r="C103" s="11">
        <v>44397</v>
      </c>
      <c r="D103" s="11">
        <v>44438</v>
      </c>
    </row>
    <row r="104" spans="1:4" x14ac:dyDescent="0.3">
      <c r="A104" s="7"/>
      <c r="B104" s="27" t="s">
        <v>105</v>
      </c>
      <c r="C104" s="11">
        <v>44235</v>
      </c>
      <c r="D104" s="11">
        <v>44718</v>
      </c>
    </row>
    <row r="105" spans="1:4" x14ac:dyDescent="0.3">
      <c r="A105" s="4" t="s">
        <v>6</v>
      </c>
      <c r="B105" s="7" t="s">
        <v>96</v>
      </c>
      <c r="C105" s="11">
        <v>44249</v>
      </c>
      <c r="D105" s="11">
        <v>44251</v>
      </c>
    </row>
    <row r="106" spans="1:4" x14ac:dyDescent="0.3">
      <c r="A106" s="4" t="s">
        <v>20</v>
      </c>
      <c r="B106" s="7" t="s">
        <v>97</v>
      </c>
      <c r="C106" s="11">
        <v>44252</v>
      </c>
      <c r="D106" s="11">
        <v>44265</v>
      </c>
    </row>
    <row r="107" spans="1:4" x14ac:dyDescent="0.3">
      <c r="A107" s="4" t="s">
        <v>4</v>
      </c>
      <c r="B107" s="7" t="s">
        <v>98</v>
      </c>
      <c r="C107" s="11">
        <v>44266</v>
      </c>
      <c r="D107" s="11">
        <v>44272</v>
      </c>
    </row>
    <row r="108" spans="1:4" x14ac:dyDescent="0.3">
      <c r="A108" s="4" t="s">
        <v>22</v>
      </c>
      <c r="B108" s="7" t="s">
        <v>106</v>
      </c>
      <c r="C108" s="11">
        <v>44273</v>
      </c>
      <c r="D108" s="11">
        <v>44295</v>
      </c>
    </row>
    <row r="109" spans="1:4" x14ac:dyDescent="0.3">
      <c r="A109" s="4" t="s">
        <v>82</v>
      </c>
      <c r="B109" s="7" t="s">
        <v>107</v>
      </c>
      <c r="C109" s="11">
        <v>44296</v>
      </c>
      <c r="D109" s="11">
        <v>44340</v>
      </c>
    </row>
    <row r="110" spans="1:4" x14ac:dyDescent="0.3">
      <c r="A110" s="4" t="s">
        <v>84</v>
      </c>
      <c r="B110" s="7" t="s">
        <v>108</v>
      </c>
      <c r="C110" s="11">
        <v>44341</v>
      </c>
      <c r="D110" s="11">
        <v>44383</v>
      </c>
    </row>
    <row r="111" spans="1:4" x14ac:dyDescent="0.3">
      <c r="A111" s="4" t="s">
        <v>86</v>
      </c>
      <c r="B111" s="7" t="s">
        <v>109</v>
      </c>
      <c r="C111" s="11">
        <v>44384</v>
      </c>
      <c r="D111" s="11">
        <v>44424</v>
      </c>
    </row>
    <row r="112" spans="1:4" x14ac:dyDescent="0.3">
      <c r="A112" s="4" t="s">
        <v>88</v>
      </c>
      <c r="B112" s="7" t="s">
        <v>110</v>
      </c>
      <c r="C112" s="11">
        <v>44425</v>
      </c>
      <c r="D112" s="11">
        <v>44466</v>
      </c>
    </row>
    <row r="113" spans="1:4" x14ac:dyDescent="0.3">
      <c r="A113" s="4" t="s">
        <v>111</v>
      </c>
      <c r="B113" s="7" t="s">
        <v>112</v>
      </c>
      <c r="C113" s="11">
        <v>44467</v>
      </c>
      <c r="D113" s="11">
        <v>44508</v>
      </c>
    </row>
    <row r="114" spans="1:4" x14ac:dyDescent="0.3">
      <c r="A114" s="4" t="s">
        <v>113</v>
      </c>
      <c r="B114" s="7" t="s">
        <v>114</v>
      </c>
      <c r="C114" s="11">
        <v>44509</v>
      </c>
      <c r="D114" s="11">
        <v>44550</v>
      </c>
    </row>
    <row r="115" spans="1:4" x14ac:dyDescent="0.3">
      <c r="A115" s="4" t="s">
        <v>115</v>
      </c>
      <c r="B115" s="7" t="s">
        <v>116</v>
      </c>
      <c r="C115" s="11">
        <v>44551</v>
      </c>
      <c r="D115" s="11">
        <v>44592</v>
      </c>
    </row>
    <row r="116" spans="1:4" x14ac:dyDescent="0.3">
      <c r="A116" s="4" t="s">
        <v>117</v>
      </c>
      <c r="B116" s="7" t="s">
        <v>118</v>
      </c>
      <c r="C116" s="11">
        <v>44593</v>
      </c>
      <c r="D116" s="11">
        <v>44634</v>
      </c>
    </row>
    <row r="117" spans="1:4" x14ac:dyDescent="0.3">
      <c r="A117" s="4" t="s">
        <v>119</v>
      </c>
      <c r="B117" s="7" t="s">
        <v>120</v>
      </c>
      <c r="C117" s="11">
        <v>44635</v>
      </c>
      <c r="D117" s="11">
        <v>44676</v>
      </c>
    </row>
    <row r="118" spans="1:4" x14ac:dyDescent="0.3">
      <c r="A118" s="4" t="s">
        <v>121</v>
      </c>
      <c r="B118" s="7" t="s">
        <v>122</v>
      </c>
      <c r="C118" s="11">
        <v>44677</v>
      </c>
      <c r="D118" s="11">
        <v>44718</v>
      </c>
    </row>
  </sheetData>
  <pageMargins left="0.7" right="0.7" top="0.75" bottom="0.75" header="0.3" footer="0.3"/>
  <pageSetup orientation="portrait" r:id="rId1"/>
  <headerFooter>
    <oddFooter>&amp;L&amp;1#&amp;"Calibri"&amp;10 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420D-63B2-489B-BBFD-685FF2B95527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  <headerFooter>
    <oddFooter>&amp;L&amp;1#&amp;"Calibri"&amp;10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Viresh B Shah</dc:creator>
  <cp:lastModifiedBy>Viresh B Shah</cp:lastModifiedBy>
  <dcterms:created xsi:type="dcterms:W3CDTF">2019-02-04T03:10:32Z</dcterms:created>
  <dcterms:modified xsi:type="dcterms:W3CDTF">2019-02-04T03:27:46Z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Shah_Viresh_B@cat.com</vt:lpwstr>
  </property>
  <property fmtid="{D5CDD505-2E9C-101B-9397-08002B2CF9AE}" pid="5" name="MSIP_Label_fb5e2db6-eecf-4aa2-8fc3-174bf94bce19_SetDate">
    <vt:lpwstr>2019-02-04T03:11:48.9551673Z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Extended_MSFT_Method">
    <vt:lpwstr>Automatic</vt:lpwstr>
  </property>
  <property fmtid="{D5CDD505-2E9C-101B-9397-08002B2CF9AE}" pid="9" name="Sensitivity">
    <vt:lpwstr>Cat Confidential Green</vt:lpwstr>
  </property>
</Properties>
</file>