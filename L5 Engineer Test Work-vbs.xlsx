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ahVB\Desktop\"/>
    </mc:Choice>
  </mc:AlternateContent>
  <xr:revisionPtr revIDLastSave="0" documentId="10_ncr:100000_{0CC4FB9D-D1D3-4E8C-A48C-FE9613F05867}" xr6:coauthVersionLast="31" xr6:coauthVersionMax="31" xr10:uidLastSave="{00000000-0000-0000-0000-000000000000}"/>
  <bookViews>
    <workbookView xWindow="120" yWindow="156" windowWidth="20736" windowHeight="11760" xr2:uid="{00000000-000D-0000-FFFF-FFFF00000000}"/>
  </bookViews>
  <sheets>
    <sheet name="Week Summary" sheetId="11" r:id="rId1"/>
    <sheet name="Sheet1" sheetId="12" r:id="rId2"/>
    <sheet name="Week Detail" sheetId="9" r:id="rId3"/>
    <sheet name="Data by Wk" sheetId="7" r:id="rId4"/>
  </sheets>
  <definedNames>
    <definedName name="_xlnm._FilterDatabase" localSheetId="3" hidden="1">'Data by Wk'!$A$1:$CC$118</definedName>
  </definedNames>
  <calcPr calcId="179017"/>
  <pivotCaches>
    <pivotCache cacheId="0" r:id="rId5"/>
  </pivotCaches>
</workbook>
</file>

<file path=xl/calcChain.xml><?xml version="1.0" encoding="utf-8"?>
<calcChain xmlns="http://schemas.openxmlformats.org/spreadsheetml/2006/main"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2" i="7"/>
</calcChain>
</file>

<file path=xl/sharedStrings.xml><?xml version="1.0" encoding="utf-8"?>
<sst xmlns="http://schemas.openxmlformats.org/spreadsheetml/2006/main" count="1994" uniqueCount="327">
  <si>
    <t>Project</t>
  </si>
  <si>
    <t>PDGT Charge Number</t>
  </si>
  <si>
    <t>Division</t>
  </si>
  <si>
    <t>Section</t>
  </si>
  <si>
    <t>WBS Name</t>
  </si>
  <si>
    <t>Activity Name</t>
  </si>
  <si>
    <t>Role</t>
  </si>
  <si>
    <t>Resource Name</t>
  </si>
  <si>
    <t>Price / Unit</t>
  </si>
  <si>
    <t>Original Duration</t>
  </si>
  <si>
    <t>Budgeted Units</t>
  </si>
  <si>
    <t>Remaining Units / Time</t>
  </si>
  <si>
    <t>Cold Room Test</t>
  </si>
  <si>
    <t>Run</t>
  </si>
  <si>
    <t>Grand Total</t>
  </si>
  <si>
    <t>Values</t>
  </si>
  <si>
    <t>05 980 XE</t>
  </si>
  <si>
    <t>05 980 XE Total</t>
  </si>
  <si>
    <t>05 BDL 2019</t>
  </si>
  <si>
    <t>05 BDL 2019 Total</t>
  </si>
  <si>
    <t>05 980/982 AU2020</t>
  </si>
  <si>
    <t>05 950/962 AU2020</t>
  </si>
  <si>
    <t>05 966/972 AU2020</t>
  </si>
  <si>
    <t>05 980/982 AU2020 Total</t>
  </si>
  <si>
    <t>05 950/962 AU2020 Total</t>
  </si>
  <si>
    <t>05 966/972 AU2020 Total</t>
  </si>
  <si>
    <t>05 966GC</t>
  </si>
  <si>
    <t>05 966GC Total</t>
  </si>
  <si>
    <t>Spreadsheet Field</t>
  </si>
  <si>
    <t>PPG</t>
  </si>
  <si>
    <t>Remaining Units</t>
  </si>
  <si>
    <t>8/d</t>
  </si>
  <si>
    <t>L5 Tuning w/Response Test #2</t>
  </si>
  <si>
    <t>Rimpull Test</t>
  </si>
  <si>
    <t>Rimpull/Response</t>
  </si>
  <si>
    <t>972 LRC Cold System Performance Testing (Baudette Mn)</t>
  </si>
  <si>
    <t>92-L5</t>
  </si>
  <si>
    <t>Performance/Controls Engineer</t>
  </si>
  <si>
    <t>Anderson Kirk E</t>
  </si>
  <si>
    <t>$0.00/h</t>
  </si>
  <si>
    <t>Operator Eval #3</t>
  </si>
  <si>
    <t>Altitude Performance - C93B</t>
  </si>
  <si>
    <t>Run - Machine Checkout</t>
  </si>
  <si>
    <t>Run Response at Denver (5000 ft)</t>
  </si>
  <si>
    <t>Field</t>
  </si>
  <si>
    <t>Run Response at Leadville (10000 ft)</t>
  </si>
  <si>
    <t>Run Baseline</t>
  </si>
  <si>
    <t>L5 Performance Development/Tuning</t>
  </si>
  <si>
    <t>972XE Productivity Study (XE, LRC, Powershift)</t>
  </si>
  <si>
    <t>Altitude Performance C93B</t>
  </si>
  <si>
    <t>L5 Performance Development/Tuning #2</t>
  </si>
  <si>
    <t>Machine Checkout</t>
  </si>
  <si>
    <t>972 HRC Productivity Study (XE, LRC, Powershift)</t>
  </si>
  <si>
    <t>Cold Weather Thermal Mgmt</t>
  </si>
  <si>
    <t>Altitude Performance</t>
  </si>
  <si>
    <t>972 Productivity Study (XE, LRC, Powershift)</t>
  </si>
  <si>
    <t>Operator Eval</t>
  </si>
  <si>
    <t>Operator Eval #2</t>
  </si>
  <si>
    <t>Cold Room Test (Baudette)</t>
  </si>
  <si>
    <t>Sharp Jeremy T</t>
  </si>
  <si>
    <t>Productivity</t>
  </si>
  <si>
    <t>Leaders Royce E</t>
  </si>
  <si>
    <t>950M Stage 5 - L5 Checkout #2</t>
  </si>
  <si>
    <t>950M Stage 5 - L5 Checkout - Preprods</t>
  </si>
  <si>
    <t>UPT ETCA Steady State Performance Analysis</t>
  </si>
  <si>
    <t>Run - Cameron Jensen</t>
  </si>
  <si>
    <t>L5 Tuning #2</t>
  </si>
  <si>
    <t>TC-L.I6Val.UNASSIGN</t>
  </si>
  <si>
    <t>L5 IPS Engineer</t>
  </si>
  <si>
    <t xml:space="preserve">Goli Suman </t>
  </si>
  <si>
    <t>Dig Assist Development</t>
  </si>
  <si>
    <t>Run (Tinker)</t>
  </si>
  <si>
    <t>Tinker Matt M</t>
  </si>
  <si>
    <t>Dig Assist Operator Eval</t>
  </si>
  <si>
    <t>Frederick Chris C</t>
  </si>
  <si>
    <t>S11 SW Checkout</t>
  </si>
  <si>
    <t>Run - L5 Checkout</t>
  </si>
  <si>
    <t>SCL Verification Operator Eval</t>
  </si>
  <si>
    <t>WBS Path</t>
  </si>
  <si>
    <t>Testbed2.SM200101.7</t>
  </si>
  <si>
    <t>Testbed2.SM200101.Altitude</t>
  </si>
  <si>
    <t>Testbed2.MBY00100.L5</t>
  </si>
  <si>
    <t>Testbed2.MBY00100.Prod</t>
  </si>
  <si>
    <t>Testbed2.MBY00100.Altitude</t>
  </si>
  <si>
    <t>Testbed2.SM200102.L51</t>
  </si>
  <si>
    <t>Testbed2.SM200102.11-68635</t>
  </si>
  <si>
    <t>Testbed2.SM200102.Prod</t>
  </si>
  <si>
    <t>Testbed2.SM200102.6</t>
  </si>
  <si>
    <t>Testbed2.W9900100.Altitude</t>
  </si>
  <si>
    <t>Testbed2.W9900100.11-68635</t>
  </si>
  <si>
    <t>Testbed2.W9900100.Prod</t>
  </si>
  <si>
    <t>Testbed2.WLW00100.L5</t>
  </si>
  <si>
    <t>Testbed2.WLW00100.RP</t>
  </si>
  <si>
    <t>Testbed2.MK700100.49</t>
  </si>
  <si>
    <t>Testbed2.MK800100.RP</t>
  </si>
  <si>
    <t>Testbed2.MK800100.3</t>
  </si>
  <si>
    <t>Testbed2.MK800100.49</t>
  </si>
  <si>
    <t>Testbed2.MK900100.RP</t>
  </si>
  <si>
    <t>1.EMB00251.23</t>
  </si>
  <si>
    <t>1.EMB00251.28</t>
  </si>
  <si>
    <t>EP.SGW00201.17</t>
  </si>
  <si>
    <t>EP.SGW00201.9</t>
  </si>
  <si>
    <t>EP.SGW00201.20</t>
  </si>
  <si>
    <t>EP.SGW00201.Altitude</t>
  </si>
  <si>
    <t>Testbed2.MBY00100.12</t>
  </si>
  <si>
    <t>Testbed2.MBY00100.9</t>
  </si>
  <si>
    <t>Testbed2.MBY00100.11</t>
  </si>
  <si>
    <t>EP.SGW00201.4</t>
  </si>
  <si>
    <t>Serial #</t>
  </si>
  <si>
    <t>WL900100</t>
  </si>
  <si>
    <t>MBY00100</t>
  </si>
  <si>
    <t>SM200101</t>
  </si>
  <si>
    <t>SM200102</t>
  </si>
  <si>
    <t>W9900100</t>
  </si>
  <si>
    <t>WLW00100</t>
  </si>
  <si>
    <t>SGW00201</t>
  </si>
  <si>
    <t>MK700100</t>
  </si>
  <si>
    <t>MK800100</t>
  </si>
  <si>
    <t>MK900100</t>
  </si>
  <si>
    <t>EMB00251</t>
  </si>
  <si>
    <t>(blank)</t>
  </si>
  <si>
    <t>(blank) Total</t>
  </si>
  <si>
    <t>Sum of 21-Oct-18</t>
  </si>
  <si>
    <t>Sum of 28-Oct-18</t>
  </si>
  <si>
    <t>Sum of 4-Nov-18</t>
  </si>
  <si>
    <t>Sum of 11-Nov-18</t>
  </si>
  <si>
    <t>Sum of 18-Nov-18</t>
  </si>
  <si>
    <t>Sum of 25-Nov-18</t>
  </si>
  <si>
    <t>Sum of 9-Dec-18</t>
  </si>
  <si>
    <t>Sum of 2-Dec-18</t>
  </si>
  <si>
    <t>Sum of 16-Dec-18</t>
  </si>
  <si>
    <t>Sum of 23-Dec-18</t>
  </si>
  <si>
    <t xml:space="preserve">Jensen Cameron </t>
  </si>
  <si>
    <t>972XE TB Cold System Performance Testing (Baudette Mn)</t>
  </si>
  <si>
    <t>Testbed2.MBY00100.11-68635</t>
  </si>
  <si>
    <t>Activity ID</t>
  </si>
  <si>
    <t>Start</t>
  </si>
  <si>
    <t>Finish</t>
  </si>
  <si>
    <t>GPM Location</t>
  </si>
  <si>
    <t>966/972 AU20-4140</t>
  </si>
  <si>
    <t>966/972 AU20-13335</t>
  </si>
  <si>
    <t>966/972 AU20-15550</t>
  </si>
  <si>
    <t>966/972 AU20-23817</t>
  </si>
  <si>
    <t>966/972 AU20-16150</t>
  </si>
  <si>
    <t>966/972 AU20-16210</t>
  </si>
  <si>
    <t>966/972 AU20-16230</t>
  </si>
  <si>
    <t>966/972 AU20-16240</t>
  </si>
  <si>
    <t>966/972 AU20-24182</t>
  </si>
  <si>
    <t>966/972 AU20-24252</t>
  </si>
  <si>
    <t>966/972 AU20-24217</t>
  </si>
  <si>
    <t>966/972 AU20-23787</t>
  </si>
  <si>
    <t>966/972 AU20-24692</t>
  </si>
  <si>
    <t>966/972 AU20-14090</t>
  </si>
  <si>
    <t>966/972 AU2020-1035</t>
  </si>
  <si>
    <t>966/972 AU2020-1000</t>
  </si>
  <si>
    <t>966/972 AU20-23781</t>
  </si>
  <si>
    <t>966/972 AU20-25152</t>
  </si>
  <si>
    <t>966/972 AU20-23715</t>
  </si>
  <si>
    <t>980XE-11460</t>
  </si>
  <si>
    <t>980/982 AU20-24320</t>
  </si>
  <si>
    <t>980/982 AU20-25125</t>
  </si>
  <si>
    <t>980/982 AU20-24520</t>
  </si>
  <si>
    <t>980/982 AU20-25485</t>
  </si>
  <si>
    <t>980/982 AU20-24700</t>
  </si>
  <si>
    <t>980/982 AU20-6490</t>
  </si>
  <si>
    <t>980/982 AU20-7330</t>
  </si>
  <si>
    <t>BDL19-1780</t>
  </si>
  <si>
    <t>BDL19-1850</t>
  </si>
  <si>
    <t>966GC-106540</t>
  </si>
  <si>
    <t>966GC-1445</t>
  </si>
  <si>
    <t>966GC-106400</t>
  </si>
  <si>
    <t>966GC-105130</t>
  </si>
  <si>
    <t>966GC-106290</t>
  </si>
  <si>
    <t>966GC-106350</t>
  </si>
  <si>
    <t>966GC-106370</t>
  </si>
  <si>
    <t>966GC-106390</t>
  </si>
  <si>
    <t>966/972 AU20-8010</t>
  </si>
  <si>
    <t>966/972 AU20-8080</t>
  </si>
  <si>
    <t>966/972 AU20-25480</t>
  </si>
  <si>
    <t>966/972 AU20-25490</t>
  </si>
  <si>
    <t>980XE-11350</t>
  </si>
  <si>
    <t>980XE-11360</t>
  </si>
  <si>
    <t>966/972 AU20-24482</t>
  </si>
  <si>
    <t>966GC-1536</t>
  </si>
  <si>
    <t>WBS</t>
  </si>
  <si>
    <t>05 966/972 AU2020.Testbed2.SM200101.7</t>
  </si>
  <si>
    <t>05 966/972 AU2020.Testbed2.SM200101.Altitude</t>
  </si>
  <si>
    <t>05 966/972 AU2020.Testbed2.MBY00100.L5</t>
  </si>
  <si>
    <t>05 966/972 AU2020.Testbed2.MBY00100.Prod</t>
  </si>
  <si>
    <t>05 966/972 AU2020.Testbed2.MBY00100.Altitude</t>
  </si>
  <si>
    <t>05 966/972 AU2020.Testbed2.SM200102.L51</t>
  </si>
  <si>
    <t>05 966/972 AU2020.Testbed2.SM200102.11-68635</t>
  </si>
  <si>
    <t>05 966/972 AU2020.Testbed2.SM200102.Prod</t>
  </si>
  <si>
    <t>05 966/972 AU2020.Testbed2.SM200102.6</t>
  </si>
  <si>
    <t>05 966/972 AU2020.Testbed2.W9900100.Altitude</t>
  </si>
  <si>
    <t>05 966/972 AU2020.Testbed2.W9900100.11-68635</t>
  </si>
  <si>
    <t>05 966/972 AU2020.Testbed2.W9900100.Prod</t>
  </si>
  <si>
    <t>05 966/972 AU2020.Testbed2.WLW00100.L5</t>
  </si>
  <si>
    <t>05 966/972 AU2020.Testbed2.WLW00100.RP</t>
  </si>
  <si>
    <t>05 980/982 AU2020.Testbed2.MK700100.49</t>
  </si>
  <si>
    <t>05 980/982 AU2020.Testbed2.MK800100.RP</t>
  </si>
  <si>
    <t>05 980/982 AU2020.Testbed2.MK800100.3</t>
  </si>
  <si>
    <t>05 980/982 AU2020.Testbed2.MK800100.49</t>
  </si>
  <si>
    <t>05 980/982 AU2020.Testbed2.MK900100.RP</t>
  </si>
  <si>
    <t>05 BDL 2019.1.EMB00251.23</t>
  </si>
  <si>
    <t>05 BDL 2019.1.EMB00251.28</t>
  </si>
  <si>
    <t>05 966GC.EP.SGW00201.17</t>
  </si>
  <si>
    <t>05 966GC.EP.SGW00201.9</t>
  </si>
  <si>
    <t>05 966GC.EP.SGW00201.20</t>
  </si>
  <si>
    <t>05 966GC.EP.SGW00201.Altitude</t>
  </si>
  <si>
    <t>05 966/972 AU2020.Testbed2.MBY00100.11-68635</t>
  </si>
  <si>
    <t>05 966/972 AU2020.Testbed2.MBY00100.11</t>
  </si>
  <si>
    <t>05 966/972 AU2020.Testbed2.MBY00100.12</t>
  </si>
  <si>
    <t>05 966/972 AU2020.Testbed2.MBY00100.9</t>
  </si>
  <si>
    <t>05 966GC.EP.SGW00201.4</t>
  </si>
  <si>
    <t>Proto.XE400100.18</t>
  </si>
  <si>
    <t>Proto.XE300100.21</t>
  </si>
  <si>
    <t>Proto.XE300100.20</t>
  </si>
  <si>
    <t>05 980 XE.Proto.XE400100.18</t>
  </si>
  <si>
    <t>05 980 XE.Proto.XE300100.21</t>
  </si>
  <si>
    <t>05 980 XE.Proto.XE300100.20</t>
  </si>
  <si>
    <t>XE400100</t>
  </si>
  <si>
    <t>966 HRC Rimpull/Response C93B #2</t>
  </si>
  <si>
    <t>05 966/972 AU2020.Testbed2.WLW00100.RP1</t>
  </si>
  <si>
    <t>966 HRC Rimpull/Response C93B #1</t>
  </si>
  <si>
    <t>Testbed2.WLW00100.RP1</t>
  </si>
  <si>
    <t>966/972 AU20-26300</t>
  </si>
  <si>
    <t>972 HRC Cold System Performance Testing (Eglin)</t>
  </si>
  <si>
    <t>05 980/982 AU2020.Testbed2.MK800100.21</t>
  </si>
  <si>
    <t>Testbed2.MK800100.21</t>
  </si>
  <si>
    <t>980/982 AU20-26440</t>
  </si>
  <si>
    <t>05 MWL CPI/M</t>
  </si>
  <si>
    <t>05 MWL CPI/M.5.M5T00101.6</t>
  </si>
  <si>
    <t>L5 Checkout</t>
  </si>
  <si>
    <t>5.M5T00101.6</t>
  </si>
  <si>
    <t>MWLMaintI-27340</t>
  </si>
  <si>
    <t>M5T00101</t>
  </si>
  <si>
    <t>05 MWL CPI/M Total</t>
  </si>
  <si>
    <t>05 966GC.EP.SGW00201.34</t>
  </si>
  <si>
    <t>EP.SGW00201.34</t>
  </si>
  <si>
    <t>05 950/962 AU2020.Testbed2.WL900100.41</t>
  </si>
  <si>
    <t>L5 Performance Dev/Tuning #1</t>
  </si>
  <si>
    <t>Testbed2.WL900100.41</t>
  </si>
  <si>
    <t>950/962 AU20-21790</t>
  </si>
  <si>
    <t>05 950/962 AU2020.Testbed2.TB2.41</t>
  </si>
  <si>
    <t>Testbed2.TB2.41</t>
  </si>
  <si>
    <t>950/962 AU20-24140</t>
  </si>
  <si>
    <t>05 950/962 AU2020.Testbed2.TB2.RP</t>
  </si>
  <si>
    <t>Testbed2.TB2.RP</t>
  </si>
  <si>
    <t>950/962 AU20-22410</t>
  </si>
  <si>
    <t>05 950/962 AU2020.Testbed2.TB2.ColdRoom</t>
  </si>
  <si>
    <t>Testbed2.TB2.ColdRoom</t>
  </si>
  <si>
    <t>950/962 AU20-22580</t>
  </si>
  <si>
    <t>950/962 AU20-24830</t>
  </si>
  <si>
    <t>TB2.41</t>
  </si>
  <si>
    <t>TB2.RP</t>
  </si>
  <si>
    <t>TB2.Cold</t>
  </si>
  <si>
    <t>05 980/982 AU2020.Pilot.P1.10</t>
  </si>
  <si>
    <t>Pilot.P1.10</t>
  </si>
  <si>
    <t>05 980/982 AU2020.Pilot.P1.6</t>
  </si>
  <si>
    <t>Pilot.P1.6</t>
  </si>
  <si>
    <t>05 950/962 AU2020.Testbed2.TB3.41</t>
  </si>
  <si>
    <t>Testbed2.TB3.41</t>
  </si>
  <si>
    <t>TB.EJB00166.RP</t>
  </si>
  <si>
    <t>950 Drive-1455</t>
  </si>
  <si>
    <t>TB.EJB00166.23</t>
  </si>
  <si>
    <t>950 Drive-1490</t>
  </si>
  <si>
    <t>05 980GC</t>
  </si>
  <si>
    <t>05 980GC.PD.PD2.20</t>
  </si>
  <si>
    <t>PD.PD2.20</t>
  </si>
  <si>
    <t>980GC-106400</t>
  </si>
  <si>
    <t>05 980GC.TB.W7K00288.20</t>
  </si>
  <si>
    <t>TB.W7K00288.20</t>
  </si>
  <si>
    <t>980GC-108320</t>
  </si>
  <si>
    <t>EJB00166</t>
  </si>
  <si>
    <t>TB3.41</t>
  </si>
  <si>
    <t>P1.10</t>
  </si>
  <si>
    <t>P1.6</t>
  </si>
  <si>
    <t>PD2.20</t>
  </si>
  <si>
    <t>W7K00288</t>
  </si>
  <si>
    <t>05 980GC Total</t>
  </si>
  <si>
    <t>05 966GC.EP.SGW00201.11</t>
  </si>
  <si>
    <t>L5 Tuning w/ Operator</t>
  </si>
  <si>
    <t>EP.SGW00201.11</t>
  </si>
  <si>
    <t>966GC-108370</t>
  </si>
  <si>
    <t>Run (11/2-15)</t>
  </si>
  <si>
    <t>Run (1/14-25)</t>
  </si>
  <si>
    <t>05 966/972 AU2020.Testbed2.SM200102.Altitude</t>
  </si>
  <si>
    <t>972 HRC Altitude Test #2</t>
  </si>
  <si>
    <t>Testbed2.SM200102.Altitude</t>
  </si>
  <si>
    <t>966/972 AU20-26515</t>
  </si>
  <si>
    <t>966/972 AU20-26545</t>
  </si>
  <si>
    <t>Run Response at Denver (5000 ft) (7/15-19)</t>
  </si>
  <si>
    <t>966/972 AU20-26555</t>
  </si>
  <si>
    <t>966/972 AU20-26565</t>
  </si>
  <si>
    <t>05 980GC.PD.PD2.3</t>
  </si>
  <si>
    <t>L5 Tuning and Performance Check #1</t>
  </si>
  <si>
    <t>PD.PD2.3</t>
  </si>
  <si>
    <t>980GC-110200</t>
  </si>
  <si>
    <t>05 980GC.PD.PD2.RP</t>
  </si>
  <si>
    <t>Rimpull and Response Test</t>
  </si>
  <si>
    <t>PD.PD2.RP</t>
  </si>
  <si>
    <t>980GC-110230</t>
  </si>
  <si>
    <t>05 966GC 2020</t>
  </si>
  <si>
    <t>05 966GC 2020.TB.SGW00201.RP</t>
  </si>
  <si>
    <t>TB.SGW00201.RP</t>
  </si>
  <si>
    <t>966GC 2020-1525</t>
  </si>
  <si>
    <t>05 966GC 2020.TB.SGW00201.11</t>
  </si>
  <si>
    <t>TB.SGW00201.11</t>
  </si>
  <si>
    <t>966GC 2020-1590</t>
  </si>
  <si>
    <t>PD2.3</t>
  </si>
  <si>
    <t>PD2.RP</t>
  </si>
  <si>
    <t>05 966GC 2020 Total</t>
  </si>
  <si>
    <t>Run (Goli)</t>
  </si>
  <si>
    <t>XE300100</t>
  </si>
  <si>
    <t>22-Oct-18 A</t>
  </si>
  <si>
    <t>05 950XE</t>
  </si>
  <si>
    <t>05 950XE.TB.EJB00166.RP</t>
  </si>
  <si>
    <t>05 950XE.TB.EJB00166.23</t>
  </si>
  <si>
    <t>05 980 XE.Proto.XE300100.25</t>
  </si>
  <si>
    <t>L4/L5 Development</t>
  </si>
  <si>
    <t>Proto.XE300100.25</t>
  </si>
  <si>
    <t>980XE-12460</t>
  </si>
  <si>
    <t>980XE-11090</t>
  </si>
  <si>
    <t>Machine Checkout - L4/L5</t>
  </si>
  <si>
    <t>05 950XE Total</t>
  </si>
  <si>
    <t>40 hr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</si>
</sst>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vertical="top" wrapText="1"/>
    </xf>
    <xf numFmtId="0" fontId="0" fillId="3" borderId="0" xfId="0" applyFill="1"/>
    <xf numFmtId="0" fontId="0" fillId="0" borderId="0" xfId="0" applyAlignment="1">
      <alignment vertical="top" wrapText="1"/>
    </xf>
    <xf numFmtId="0" fontId="0" fillId="2" borderId="0" xfId="0" applyFill="1"/>
    <xf numFmtId="0" fontId="0" fillId="2" borderId="0" xfId="0" applyNumberFormat="1" applyFill="1"/>
    <xf numFmtId="15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wrapText="1"/>
    </xf>
    <xf numFmtId="0" fontId="0" fillId="3" borderId="0" xfId="0" applyNumberForma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3">
    <dxf>
      <alignment wrapText="1"/>
    </dxf>
    <dxf>
      <alignment wrapText="1"/>
    </dxf>
    <dxf>
      <alignment wrapText="1"/>
    </dxf>
    <dxf>
      <alignment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ill>
        <patternFill patternType="solid">
          <bgColor rgb="FFFFC000"/>
        </patternFill>
      </fill>
    </dxf>
    <dxf>
      <alignment vertical="top" wrapText="1"/>
    </dxf>
    <dxf>
      <alignment vertical="top" wrapText="1"/>
    </dxf>
    <dxf>
      <alignment vertical="top" wrapText="1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y M Guppy" refreshedDate="43397.427048148151" createdVersion="6" refreshedVersion="6" minRefreshableVersion="3" recordCount="110" xr:uid="{00000000-000A-0000-FFFF-FFFF18000000}">
  <cacheSource type="worksheet">
    <worksheetSource ref="A1:CC1048576" sheet="Data by Wk"/>
  </cacheSource>
  <cacheFields count="81">
    <cacheField name="Serial #" numFmtId="0">
      <sharedItems containsBlank="1" count="36">
        <s v="SM200101"/>
        <s v="MBY00100"/>
        <s v="SM200102"/>
        <s v="W9900100"/>
        <s v="WLW00100"/>
        <s v="XE400100"/>
        <s v="MK700100"/>
        <s v="MK800100"/>
        <s v="MK900100"/>
        <s v="P1.10"/>
        <s v="P1.6"/>
        <s v="EMB00251"/>
        <s v="SGW00201"/>
        <s v="WL900100"/>
        <s v="TB2.41"/>
        <s v="TB2.RP"/>
        <s v="TB2.Cold"/>
        <s v="TB3.41"/>
        <s v="EJB00166"/>
        <s v="PD2.20"/>
        <s v="W7K00288"/>
        <s v="PD2.3"/>
        <s v="PD2.RP"/>
        <s v="XE300100"/>
        <s v="M5T00101"/>
        <m/>
        <s v="3.4" u="1"/>
        <s v="3.6" u="1"/>
        <s v="K1Y00225" u="1"/>
        <s v="SGW00208" u="1"/>
        <s v="1.41" u="1"/>
        <s v="2.1" u="1"/>
        <s v="SN972SO1" u="1"/>
        <s v="SN980SO2" u="1"/>
        <s v="SN972XE4" u="1"/>
        <s v="2.6" u="1"/>
      </sharedItems>
    </cacheField>
    <cacheField name="Project" numFmtId="0">
      <sharedItems containsBlank="1" count="13">
        <s v="05 966/972 AU2020"/>
        <s v="05 980 XE"/>
        <s v="05 980/982 AU2020"/>
        <s v="05 BDL 2019"/>
        <s v="05 966GC"/>
        <s v="05 950/962 AU2020"/>
        <s v="05 950XE"/>
        <s v="05 980GC"/>
        <s v="05 966GC 2020"/>
        <s v="05 MWL CPI/M"/>
        <m/>
        <s v="05 950 Drive" u="1"/>
        <s v="05 CRCPNTIACON" u="1"/>
      </sharedItems>
    </cacheField>
    <cacheField name="PDGT Charge Number" numFmtId="0">
      <sharedItems containsBlank="1"/>
    </cacheField>
    <cacheField name="Division" numFmtId="0">
      <sharedItems containsString="0" containsBlank="1" containsNumber="1" containsInteger="1" minValue="70" maxValue="314"/>
    </cacheField>
    <cacheField name="Section" numFmtId="0">
      <sharedItems containsString="0" containsBlank="1" containsNumber="1" containsInteger="1" minValue="2" maxValue="16"/>
    </cacheField>
    <cacheField name="WBS" numFmtId="0">
      <sharedItems containsBlank="1"/>
    </cacheField>
    <cacheField name="WBS Name" numFmtId="0">
      <sharedItems containsBlank="1" count="59">
        <s v="Operator Eval #3"/>
        <s v="Altitude Performance - C93B"/>
        <s v="L5 Performance Development/Tuning"/>
        <s v="972XE Productivity Study (XE, LRC, Powershift)"/>
        <s v="Altitude Performance C93B"/>
        <s v="L5 Performance Development/Tuning #2"/>
        <s v="972 HRC Cold System Performance Testing (Eglin)"/>
        <s v="972 HRC Productivity Study (XE, LRC, Powershift)"/>
        <s v="Cold Weather Thermal Mgmt"/>
        <s v="Altitude Performance"/>
        <s v="972 LRC Cold System Performance Testing (Baudette Mn)"/>
        <s v="972 Productivity Study (XE, LRC, Powershift)"/>
        <s v="966 HRC Rimpull/Response C93B #2"/>
        <s v="Cold Room Test (Baudette)"/>
        <s v="Productivity"/>
        <s v="Rimpull Test"/>
        <s v="L5 Tuning w/Response Test #2"/>
        <s v="Operator Eval"/>
        <s v="Operator Eval #2"/>
        <s v="950M Stage 5 - L5 Checkout #2"/>
        <s v="950M Stage 5 - L5 Checkout - Preprods"/>
        <s v="UPT ETCA Steady State Performance Analysis"/>
        <s v="L5 Tuning #2"/>
        <s v="Cold Room Test"/>
        <s v="972XE TB Cold System Performance Testing (Baudette Mn)"/>
        <s v="S11 SW Checkout"/>
        <s v="966 HRC Rimpull/Response C93B #1"/>
        <s v="L5 Performance Dev/Tuning #1"/>
        <s v="Rimpull/Response"/>
        <s v="L5 Tuning w/ Operator"/>
        <s v="972 HRC Altitude Test #2"/>
        <s v="L5 Tuning and Performance Check #1"/>
        <s v="Rimpull and Response Test"/>
        <s v="L4/L5 Development"/>
        <s v="SCL Verification Operator Eval"/>
        <s v="L5 Checkout"/>
        <s v="Dig Assist Development"/>
        <s v="Dig Assist Operator Eval"/>
        <m/>
        <s v="966M Stage 5 - L5 Checkout #1" u="1"/>
        <s v="ET55 Turbo Surge" u="1"/>
        <s v="L5 Performance Functionality Test" u="1"/>
        <s v="950M Stage 5 - Altitude Testing" u="1"/>
        <s v="966 HRC Rimpull/Response C93B" u="1"/>
        <s v="972 High Lift Grapple - L5 Tuning" u="1"/>
        <s v="972 Turbo Surge Check C93B" u="1"/>
        <s v="L5 Checkout (L5 Feature Chec, Cycle Time Ck, STP-041, Op Eval)" u="1"/>
        <s v="Operator Eval - Go / No Go" u="1"/>
        <s v="L5 Tuning" u="1"/>
        <s v="972TB Altitude Performance" u="1"/>
        <s v="L5 Peformance SW Check" u="1"/>
        <s v="980 High Lift Grapple - L5 Tuning" u="1"/>
        <s v="Turbo Surge Check C93B #2" u="1"/>
        <s v="L5 Tuning #1" u="1"/>
        <s v="L5 Tuning w/ Response" u="1"/>
        <s v="972 HRC Cold System Performance Testing (Baudette Mn)" u="1"/>
        <s v="980M Stage 5 - L5 Checkout #1" u="1"/>
        <s v="Turbo Surge Check C93B" u="1"/>
        <s v="L5 Tuning/Response Test" u="1"/>
      </sharedItems>
    </cacheField>
    <cacheField name="WBS Path" numFmtId="0">
      <sharedItems containsBlank="1"/>
    </cacheField>
    <cacheField name="Activity ID" numFmtId="0">
      <sharedItems containsBlank="1" count="112">
        <s v="966/972 AU20-4140"/>
        <s v="966/972 AU20-13335"/>
        <s v="966/972 AU20-15550"/>
        <s v="966/972 AU20-23817"/>
        <s v="966/972 AU20-16150"/>
        <s v="966/972 AU20-16210"/>
        <s v="966/972 AU20-16230"/>
        <s v="966/972 AU20-16240"/>
        <s v="966/972 AU20-24182"/>
        <s v="966/972 AU20-24252"/>
        <s v="966/972 AU20-24217"/>
        <s v="966/972 AU20-23787"/>
        <s v="966/972 AU20-24692"/>
        <s v="966/972 AU20-14090"/>
        <s v="966/972 AU2020-1035"/>
        <s v="966/972 AU2020-1000"/>
        <s v="966/972 AU20-23781"/>
        <s v="966/972 AU20-25152"/>
        <s v="966/972 AU20-23715"/>
        <s v="980XE-11460"/>
        <s v="980/982 AU20-24320"/>
        <s v="980/982 AU20-25125"/>
        <s v="980/982 AU20-24520"/>
        <s v="980/982 AU20-25485"/>
        <s v="980/982 AU20-24700"/>
        <s v="980/982 AU20-6490"/>
        <s v="980/982 AU20-7330"/>
        <s v="BDL19-1780"/>
        <s v="BDL19-1850"/>
        <s v="966GC-106540"/>
        <s v="966GC-1445"/>
        <s v="966GC-106400"/>
        <s v="966GC-105130"/>
        <s v="966GC-106290"/>
        <s v="966GC-106350"/>
        <s v="966GC-106370"/>
        <s v="966GC-106390"/>
        <s v="966/972 AU20-8010"/>
        <s v="966/972 AU20-8080"/>
        <s v="966/972 AU20-24482"/>
        <s v="966/972 AU20-26300"/>
        <s v="950/962 AU20-21790"/>
        <s v="950/962 AU20-24140"/>
        <s v="950/962 AU20-22410"/>
        <s v="950/962 AU20-22580"/>
        <s v="950/962 AU20-24830"/>
        <s v="950 Drive-1455"/>
        <s v="950 Drive-1490"/>
        <s v="980GC-106400"/>
        <s v="980GC-108320"/>
        <s v="966GC-108370"/>
        <s v="966/972 AU20-26515"/>
        <s v="966/972 AU20-26545"/>
        <s v="966/972 AU20-26555"/>
        <s v="966/972 AU20-26565"/>
        <s v="980GC-110200"/>
        <s v="980GC-110230"/>
        <s v="966GC 2020-1525"/>
        <s v="966GC 2020-1590"/>
        <s v="980XE-12460"/>
        <s v="980XE-11090"/>
        <s v="966GC-1536"/>
        <s v="MWLMaintI-27340"/>
        <s v="966/972 AU20-25480"/>
        <s v="966/972 AU20-25490"/>
        <s v="980XE-11350"/>
        <s v="980XE-11360"/>
        <s v="980/982 AU20-26440"/>
        <m/>
        <s v="966/972 AU20-24047" u="1"/>
        <s v="966GC-1280" u="1"/>
        <s v="966GC-25950" u="1"/>
        <s v="BLD19-1040" u="1"/>
        <s v="BDL19-1480" u="1"/>
        <s v="966/972 AU20-13635" u="1"/>
        <s v="966/972 AU20-13340" u="1"/>
        <s v="966/972 AU20-25500" u="1"/>
        <s v="966/972 AU20-25650" u="1"/>
        <s v="966/972 AU20-26440" u="1"/>
        <s v="966/972 AU20-8860" u="1"/>
        <s v="950/962 AU20-24040" u="1"/>
        <s v="966/972 AU20-24792" u="1"/>
        <s v="966/972 AU20-12980" u="1"/>
        <s v="980/982 AU20-24280" u="1"/>
        <s v="980/982 AU20-25825" u="1"/>
        <s v="966GC-105960" u="1"/>
        <s v="966/972 AU20-13735" u="1"/>
        <s v="BDL19-1500" u="1"/>
        <s v="980/982 AU20-25645" u="1"/>
        <s v="966/972 AU20-24852" u="1"/>
        <s v="966GC-107660" u="1"/>
        <s v="966/972 AU20-25570" u="1"/>
        <s v="980/982 AU20-25815" u="1"/>
        <s v="966/972 AU20-14050" u="1"/>
        <s v="966/972 AU20-14095" u="1"/>
        <s v="BLD19-1020" u="1"/>
        <s v="966/972 AU20-24882" u="1"/>
        <s v="966/972 AU20-26185" u="1"/>
        <s v="966/972 AU20-5770" u="1"/>
        <s v="966/972 AU20-13325" u="1"/>
        <s v="966/972 AU20-14080" u="1"/>
        <s v="980/982 AU20-12415" u="1"/>
        <s v="BDL CP-10810" u="1"/>
        <s v="966/972 AU20-13295" u="1"/>
        <s v="966GC-1160" u="1"/>
        <s v="BDL CP-10815" u="1"/>
        <s v="980/982 AU20-24430" u="1"/>
        <s v="966/972 AU20-15370" u="1"/>
        <s v="966/972 AU20-24872" u="1"/>
        <s v="966/972 AU20-8670" u="1"/>
        <s v="950/962 AU20-24050" u="1"/>
        <s v="950 Drive-1400" u="1"/>
      </sharedItems>
    </cacheField>
    <cacheField name="Activity Name" numFmtId="0">
      <sharedItems containsBlank="1" count="23">
        <s v="Run"/>
        <s v="Run Response at Leadville (10000 ft)"/>
        <s v="Run - Machine Checkout"/>
        <s v="Run Response at Denver (5000 ft)"/>
        <s v="Run Baseline"/>
        <s v="Machine Checkout"/>
        <s v="Run (11/2-15)"/>
        <s v="Run - Cameron Jensen"/>
        <s v="Run (1/14-25)"/>
        <s v="Run - L5 Checkout"/>
        <s v="Run Response at Denver (5000 ft) (7/15-19)"/>
        <s v="Machine Checkout - L4/L5"/>
        <s v="Run (Tinker)"/>
        <s v="Run (Goli)"/>
        <m/>
        <s v="Run (10/5-25)" u="1"/>
        <s v="Run Operator Eval" u="1"/>
        <s v="Run #1" u="1"/>
        <s v="Run (11/5-16)" u="1"/>
        <s v="Run (9/17)" u="1"/>
        <s v="Run #2" u="1"/>
        <s v="Run (10/5-26)" u="1"/>
        <s v="Run Response at Denver (5000 ft) (10/15)" u="1"/>
      </sharedItems>
    </cacheField>
    <cacheField name="Start" numFmtId="0">
      <sharedItems containsDate="1" containsBlank="1" containsMixedTypes="1" minDate="2018-06-22T00:00:00" maxDate="2019-12-17T00:00:00" count="268">
        <d v="2018-12-21T00:00:00"/>
        <s v="22-Oct-18 A"/>
        <d v="2019-03-07T00:00:00"/>
        <d v="2019-06-12T00:00:00"/>
        <d v="2019-11-15T00:00:00"/>
        <d v="2019-11-26T00:00:00"/>
        <d v="2019-12-06T00:00:00"/>
        <d v="2019-11-19T00:00:00"/>
        <d v="2018-12-14T00:00:00"/>
        <d v="2018-10-25T00:00:00"/>
        <d v="2018-11-02T00:00:00"/>
        <d v="2019-05-09T00:00:00"/>
        <d v="2019-02-19T00:00:00"/>
        <d v="2019-03-08T00:00:00"/>
        <d v="2019-03-15T00:00:00"/>
        <d v="2018-12-18T00:00:00"/>
        <d v="2019-04-25T00:00:00"/>
        <d v="2019-03-05T00:00:00"/>
        <d v="2019-10-11T00:00:00"/>
        <d v="2018-11-05T00:00:00"/>
        <d v="2018-12-13T00:00:00"/>
        <d v="2018-12-06T00:00:00"/>
        <d v="2019-08-05T00:00:00"/>
        <d v="2019-10-31T00:00:00"/>
        <d v="2018-10-29T00:00:00"/>
        <d v="2019-05-06T00:00:00"/>
        <d v="2019-03-11T00:00:00"/>
        <d v="2019-04-01T00:00:00"/>
        <d v="2019-04-12T00:00:00"/>
        <d v="2019-02-20T00:00:00"/>
        <d v="2019-05-16T00:00:00"/>
        <d v="2019-05-24T00:00:00"/>
        <d v="2019-06-05T00:00:00"/>
        <d v="2019-05-07T00:00:00"/>
        <d v="2019-04-30T00:00:00"/>
        <d v="2018-11-14T00:00:00"/>
        <d v="2019-01-14T00:00:00"/>
        <d v="2019-07-05T00:00:00"/>
        <d v="2019-06-20T00:00:00"/>
        <d v="2019-07-11T00:00:00"/>
        <d v="2019-10-28T00:00:00"/>
        <d v="2019-09-26T00:00:00"/>
        <d v="2019-03-13T00:00:00"/>
        <d v="2019-04-10T00:00:00"/>
        <d v="2019-11-14T00:00:00"/>
        <d v="2019-02-08T00:00:00"/>
        <d v="2018-11-09T00:00:00"/>
        <d v="2019-07-03T00:00:00"/>
        <d v="2019-07-15T00:00:00"/>
        <d v="2019-07-22T00:00:00"/>
        <d v="2019-07-08T00:00:00"/>
        <d v="2019-05-29T00:00:00"/>
        <d v="2019-01-24T00:00:00"/>
        <d v="2019-02-25T00:00:00"/>
        <d v="2019-06-27T00:00:00"/>
        <d v="2019-07-12T00:00:00"/>
        <d v="2018-11-16T00:00:00"/>
        <d v="2018-12-10T00:00:00"/>
        <d v="2019-01-07T00:00:00"/>
        <m/>
        <d v="2019-11-11T00:00:00" u="1"/>
        <d v="2018-08-08T00:00:00" u="1"/>
        <d v="2018-11-30T00:00:00" u="1"/>
        <d v="2019-01-30T00:00:00" u="1"/>
        <d v="2019-03-21T00:00:00" u="1"/>
        <d v="2019-10-25T00:00:00" u="1"/>
        <d v="2019-12-16T00:00:00" u="1"/>
        <d v="2018-09-13T00:00:00" u="1"/>
        <d v="2019-01-04T00:00:00" u="1"/>
        <d v="2019-04-26T00:00:00" u="1"/>
        <d v="2019-06-17T00:00:00" u="1"/>
        <d v="2018-08-27T00:00:00" u="1"/>
        <d v="2018-10-18T00:00:00" u="1"/>
        <d v="2019-11-04T00:00:00" u="1"/>
        <d v="2019-01-23T00:00:00" u="1"/>
        <d v="2019-10-18T00:00:00" u="1"/>
        <d v="2018-09-06T00:00:00" u="1"/>
        <d v="2019-06-10T00:00:00" u="1"/>
        <d v="2018-06-29T00:00:00" u="1"/>
        <d v="2018-08-20T00:00:00" u="1"/>
        <d v="2018-10-11T00:00:00" u="1"/>
        <d v="2018-09-25T00:00:00" u="1"/>
        <d v="2019-01-16T00:00:00" u="1"/>
        <d v="2019-12-02T00:00:00" u="1"/>
        <d v="2018-10-30T00:00:00" u="1"/>
        <d v="2019-02-21T00:00:00" u="1"/>
        <d v="2019-06-03T00:00:00" u="1"/>
        <d v="2018-06-22T00:00:00" u="1"/>
        <d v="2018-08-13T00:00:00" u="1"/>
        <d v="2018-10-04T00:00:00" u="1"/>
        <d v="2019-03-26T00:00:00" u="1"/>
        <d v="2019-05-17T00:00:00" u="1"/>
        <d v="2018-07-27T00:00:00" u="1"/>
        <d v="2018-09-18T00:00:00" u="1"/>
        <d v="2019-10-04T00:00:00" u="1"/>
        <d v="2018-10-23T00:00:00" u="1"/>
        <d v="2019-04-05T00:00:00" u="1"/>
        <d v="2018-08-06T00:00:00" u="1"/>
        <d v="2018-11-28T00:00:00" u="1"/>
        <d v="2019-03-19T00:00:00" u="1"/>
        <d v="2019-07-01T00:00:00" u="1"/>
        <d v="2018-07-20T00:00:00" u="1"/>
        <d v="2018-09-11T00:00:00" u="1"/>
        <d v="2019-04-24T00:00:00" u="1"/>
        <d v="2018-10-16T00:00:00" u="1"/>
        <d v="2018-12-07T00:00:00" u="1"/>
        <d v="2018-11-21T00:00:00" u="1"/>
        <d v="2019-03-12T00:00:00" u="1"/>
        <d v="2019-05-03T00:00:00" u="1"/>
        <d v="2019-10-16T00:00:00" u="1"/>
        <d v="2018-07-13T00:00:00" u="1"/>
        <d v="2018-09-04T00:00:00" u="1"/>
        <d v="2019-04-17T00:00:00" u="1"/>
        <d v="2019-11-21T00:00:00" u="1"/>
        <d v="2018-10-09T00:00:00" u="1"/>
        <d v="2019-05-22T00:00:00" u="1"/>
        <d v="2018-12-19T00:00:00" u="1"/>
        <d v="2018-10-02T00:00:00" u="1"/>
        <d v="2019-05-15T00:00:00" u="1"/>
        <d v="2018-07-25T00:00:00" u="1"/>
        <d v="2018-11-07T00:00:00" u="1"/>
        <d v="2019-04-29T00:00:00" u="1"/>
        <d v="2019-10-02T00:00:00" u="1"/>
        <d v="2018-12-12T00:00:00" u="1"/>
        <d v="2019-02-12T00:00:00" u="1"/>
        <d v="2019-04-03T00:00:00" u="1"/>
        <d v="2019-11-07T00:00:00" u="1"/>
        <d v="2018-11-26T00:00:00" u="1"/>
        <d v="2019-05-08T00:00:00" u="1"/>
        <d v="2019-10-21T00:00:00" u="1"/>
        <d v="2019-04-22T00:00:00" u="1"/>
        <d v="2019-06-13T00:00:00" u="1"/>
        <d v="2018-08-23T00:00:00" u="1"/>
        <d v="2018-12-05T00:00:00" u="1"/>
        <d v="2019-02-05T00:00:00" u="1"/>
        <d v="2019-07-18T00:00:00" u="1"/>
        <d v="2018-09-28T00:00:00" u="1"/>
        <d v="2018-11-19T00:00:00" u="1"/>
        <d v="2019-05-01T00:00:00" u="1"/>
        <d v="2019-10-14T00:00:00" u="1"/>
        <d v="2018-07-11T00:00:00" u="1"/>
        <d v="2019-04-15T00:00:00" u="1"/>
        <d v="2019-06-06T00:00:00" u="1"/>
        <d v="2018-08-16T00:00:00" u="1"/>
        <d v="2019-03-29T00:00:00" u="1"/>
        <d v="2019-05-20T00:00:00" u="1"/>
        <d v="2018-07-30T00:00:00" u="1"/>
        <d v="2018-09-21T00:00:00" u="1"/>
        <d v="2018-11-12T00:00:00" u="1"/>
        <d v="2018-10-26T00:00:00" u="1"/>
        <d v="2018-12-17T00:00:00" u="1"/>
        <d v="2019-04-08T00:00:00" u="1"/>
        <d v="2019-11-12T00:00:00" u="1"/>
        <d v="2018-08-09T00:00:00" u="1"/>
        <d v="2019-03-22T00:00:00" u="1"/>
        <d v="2019-05-13T00:00:00" u="1"/>
        <d v="2018-07-23T00:00:00" u="1"/>
        <d v="2018-09-14T00:00:00" u="1"/>
        <d v="2019-06-18T00:00:00" u="1"/>
        <d v="2018-08-28T00:00:00" u="1"/>
        <d v="2018-10-19T00:00:00" u="1"/>
        <d v="2019-11-05T00:00:00" u="1"/>
        <d v="2018-08-02T00:00:00" u="1"/>
        <d v="2018-07-16T00:00:00" u="1"/>
        <d v="2018-09-07T00:00:00" u="1"/>
        <d v="2019-06-11T00:00:00" u="1"/>
        <d v="2018-08-21T00:00:00" u="1"/>
        <d v="2018-10-12T00:00:00" u="1"/>
        <d v="2018-12-03T00:00:00" u="1"/>
        <d v="2018-09-26T00:00:00" u="1"/>
        <d v="2018-10-31T00:00:00" u="1"/>
        <d v="2019-02-22T00:00:00" u="1"/>
        <d v="2019-06-04T00:00:00" u="1"/>
        <d v="2018-10-05T00:00:00" u="1"/>
        <d v="2019-03-27T00:00:00" u="1"/>
        <d v="2018-09-19T00:00:00" u="1"/>
        <d v="2019-03-01T00:00:00" u="1"/>
        <d v="2018-07-02T00:00:00" u="1"/>
        <d v="2018-10-24T00:00:00" u="1"/>
        <d v="2019-02-15T00:00:00" u="1"/>
        <d v="2018-11-29T00:00:00" u="1"/>
        <d v="2019-01-29T00:00:00" u="1"/>
        <d v="2019-03-20T00:00:00" u="1"/>
        <d v="2019-07-02T00:00:00" u="1"/>
        <d v="2019-10-24T00:00:00" u="1"/>
        <d v="2018-09-12T00:00:00" u="1"/>
        <d v="2019-01-03T00:00:00" u="1"/>
        <d v="2018-10-17T00:00:00" u="1"/>
        <d v="2019-05-30T00:00:00" u="1"/>
        <d v="2019-09-12T00:00:00" u="1"/>
        <d v="2019-01-22T00:00:00" u="1"/>
        <d v="2018-09-05T00:00:00" u="1"/>
        <d v="2019-04-18T00:00:00" u="1"/>
        <d v="2019-11-22T00:00:00" u="1"/>
        <d v="2018-10-10T00:00:00" u="1"/>
        <d v="2019-02-01T00:00:00" u="1"/>
        <d v="2019-05-23T00:00:00" u="1"/>
        <s v="15-Oct-18 A" u="1"/>
        <d v="2018-09-24T00:00:00" u="1"/>
        <d v="2018-11-15T00:00:00" u="1"/>
        <d v="2019-03-06T00:00:00" u="1"/>
        <d v="2019-06-28T00:00:00" u="1"/>
        <d v="2019-10-10T00:00:00" u="1"/>
        <d v="2019-04-11T00:00:00" u="1"/>
        <d v="2018-10-03T00:00:00" u="1"/>
        <d v="2019-03-25T00:00:00" u="1"/>
        <d v="2018-07-26T00:00:00" u="1"/>
        <d v="2018-09-17T00:00:00" u="1"/>
        <d v="2018-11-08T00:00:00" u="1"/>
        <d v="2019-01-08T00:00:00" u="1"/>
        <d v="2019-06-21T00:00:00" u="1"/>
        <d v="2019-10-03T00:00:00" u="1"/>
        <d v="2018-08-31T00:00:00" u="1"/>
        <d v="2018-10-22T00:00:00" u="1"/>
        <d v="2019-02-13T00:00:00" u="1"/>
        <d v="2019-04-04T00:00:00" u="1"/>
        <d v="2018-11-27T00:00:00" u="1"/>
        <d v="2019-03-18T00:00:00" u="1"/>
        <d v="2018-07-19T00:00:00" u="1"/>
        <d v="2018-09-10T00:00:00" u="1"/>
        <d v="2018-11-01T00:00:00" u="1"/>
        <d v="2019-04-23T00:00:00" u="1"/>
        <d v="2019-06-14T00:00:00" u="1"/>
        <d v="2019-11-27T00:00:00" u="1"/>
        <d v="2018-08-24T00:00:00" u="1"/>
        <d v="2018-10-15T00:00:00" u="1"/>
        <d v="2019-02-06T00:00:00" u="1"/>
        <d v="2019-05-28T00:00:00" u="1"/>
        <d v="2019-07-19T00:00:00" u="1"/>
        <d v="2019-11-01T00:00:00" u="1"/>
        <d v="2018-11-20T00:00:00" u="1"/>
        <d v="2019-05-02T00:00:00" u="1"/>
        <d v="2019-04-16T00:00:00" u="1"/>
        <d v="2019-06-07T00:00:00" u="1"/>
        <d v="2019-11-20T00:00:00" u="1"/>
        <d v="2018-08-17T00:00:00" u="1"/>
        <d v="2018-10-08T00:00:00" u="1"/>
        <d v="2019-05-21T00:00:00" u="1"/>
        <d v="2018-07-31T00:00:00" u="1"/>
        <d v="2018-11-13T00:00:00" u="1"/>
        <d v="2019-03-04T00:00:00" u="1"/>
        <d v="2019-02-18T00:00:00" u="1"/>
        <d v="2019-04-09T00:00:00" u="1"/>
        <d v="2019-11-13T00:00:00" u="1"/>
        <d v="2018-08-10T00:00:00" u="1"/>
        <d v="2018-10-01T00:00:00" u="1"/>
        <d v="2018-07-24T00:00:00" u="1"/>
        <d v="2018-11-06T00:00:00" u="1"/>
        <d v="2019-10-01T00:00:00" u="1"/>
        <d v="2018-08-29T00:00:00" u="1"/>
        <d v="2019-02-11T00:00:00" u="1"/>
        <d v="2019-04-02T00:00:00" u="1"/>
        <d v="2019-11-06T00:00:00" u="1"/>
        <d v="2018-08-03T00:00:00" u="1"/>
        <d v="2018-07-17T00:00:00" u="1"/>
        <d v="2019-11-25T00:00:00" u="1"/>
        <d v="2018-08-22T00:00:00" u="1"/>
        <d v="2018-12-04T00:00:00" u="1"/>
        <d v="2019-02-04T00:00:00" u="1"/>
        <d v="2018-09-27T00:00:00" u="1"/>
        <d v="2019-08-22T00:00:00" u="1"/>
        <d v="2019-12-04T00:00:00" u="1"/>
        <d v="2019-11-18T00:00:00" u="1"/>
        <d v="2018-08-15T00:00:00" u="1"/>
        <d v="2019-03-28T00:00:00" u="1"/>
        <d v="2019-07-10T00:00:00" u="1"/>
        <d v="2018-09-20T00:00:00" u="1"/>
        <d v="2019-06-24T00:00:00" u="1"/>
      </sharedItems>
    </cacheField>
    <cacheField name="Finish" numFmtId="0">
      <sharedItems containsNonDate="0" containsDate="1" containsString="0" containsBlank="1" minDate="2018-10-25T00:00:00" maxDate="2019-12-17T00:00:00"/>
    </cacheField>
    <cacheField name="Role" numFmtId="0">
      <sharedItems containsBlank="1"/>
    </cacheField>
    <cacheField name="Resource Name" numFmtId="0">
      <sharedItems containsBlank="1" count="8">
        <s v="Anderson Kirk E"/>
        <s v="Goli Suman "/>
        <s v="Sharp Jeremy T"/>
        <s v="Leaders Royce E"/>
        <s v="Jensen Cameron "/>
        <s v="Frederick Chris C"/>
        <s v="Tinker Matt M"/>
        <m/>
      </sharedItems>
    </cacheField>
    <cacheField name="Price / Unit" numFmtId="0">
      <sharedItems containsBlank="1"/>
    </cacheField>
    <cacheField name="Original Duration" numFmtId="0">
      <sharedItems containsString="0" containsBlank="1" containsNumber="1" containsInteger="1" minValue="1" maxValue="30" count="16">
        <n v="3"/>
        <n v="4"/>
        <n v="13"/>
        <n v="10"/>
        <n v="2"/>
        <n v="5"/>
        <n v="15"/>
        <n v="7"/>
        <n v="6"/>
        <n v="8"/>
        <n v="9"/>
        <n v="14"/>
        <n v="30"/>
        <m/>
        <n v="17" u="1"/>
        <n v="1" u="1"/>
      </sharedItems>
    </cacheField>
    <cacheField name="Budgeted Units" numFmtId="0">
      <sharedItems containsString="0" containsBlank="1" containsNumber="1" containsInteger="1" minValue="8" maxValue="240" count="16">
        <n v="24"/>
        <n v="32"/>
        <n v="104"/>
        <n v="80"/>
        <n v="16"/>
        <n v="40"/>
        <n v="120"/>
        <n v="56"/>
        <n v="48"/>
        <n v="64"/>
        <n v="72"/>
        <n v="112"/>
        <n v="240"/>
        <m/>
        <n v="136" u="1"/>
        <n v="8" u="1"/>
      </sharedItems>
    </cacheField>
    <cacheField name="Remaining Units / Time" numFmtId="0">
      <sharedItems containsBlank="1" count="2">
        <s v="8/d"/>
        <m/>
      </sharedItems>
    </cacheField>
    <cacheField name="GPM Location" numFmtId="0">
      <sharedItems containsBlank="1"/>
    </cacheField>
    <cacheField name="Spreadsheet Field" numFmtId="0">
      <sharedItems containsBlank="1"/>
    </cacheField>
    <cacheField name="21-Oct-18" numFmtId="0">
      <sharedItems containsString="0" containsBlank="1" containsNumber="1" containsInteger="1" minValue="16" maxValue="32"/>
    </cacheField>
    <cacheField name="28-Oct-18" numFmtId="0">
      <sharedItems containsString="0" containsBlank="1" containsNumber="1" containsInteger="1" minValue="8" maxValue="40"/>
    </cacheField>
    <cacheField name="4-Nov-18" numFmtId="0">
      <sharedItems containsString="0" containsBlank="1" containsNumber="1" containsInteger="1" minValue="8" maxValue="40"/>
    </cacheField>
    <cacheField name="11-Nov-18" numFmtId="0">
      <sharedItems containsString="0" containsBlank="1" containsNumber="1" containsInteger="1" minValue="8" maxValue="32"/>
    </cacheField>
    <cacheField name="18-Nov-18" numFmtId="0">
      <sharedItems containsString="0" containsBlank="1" containsNumber="1" containsInteger="1" minValue="24" maxValue="24"/>
    </cacheField>
    <cacheField name="25-Nov-18" numFmtId="0">
      <sharedItems containsString="0" containsBlank="1" containsNumber="1" containsInteger="1" minValue="40" maxValue="40"/>
    </cacheField>
    <cacheField name="2-Dec-18" numFmtId="0">
      <sharedItems containsString="0" containsBlank="1" containsNumber="1" containsInteger="1" minValue="8" maxValue="24"/>
    </cacheField>
    <cacheField name="9-Dec-18" numFmtId="0">
      <sharedItems containsString="0" containsBlank="1" containsNumber="1" containsInteger="1" minValue="8" maxValue="24"/>
    </cacheField>
    <cacheField name="16-Dec-18" numFmtId="0">
      <sharedItems containsString="0" containsBlank="1" containsNumber="1" containsInteger="1" minValue="8" maxValue="40"/>
    </cacheField>
    <cacheField name="23-Dec-18" numFmtId="0">
      <sharedItems containsNonDate="0" containsString="0" containsBlank="1"/>
    </cacheField>
    <cacheField name="30-Dec-18" numFmtId="0">
      <sharedItems containsString="0" containsBlank="1" containsNumber="1" containsInteger="1" minValue="16" maxValue="24"/>
    </cacheField>
    <cacheField name="6-Jan-19" numFmtId="0">
      <sharedItems containsString="0" containsBlank="1" containsNumber="1" containsInteger="1" minValue="24" maxValue="24"/>
    </cacheField>
    <cacheField name="13-Jan-19" numFmtId="0">
      <sharedItems containsString="0" containsBlank="1" containsNumber="1" containsInteger="1" minValue="32" maxValue="32"/>
    </cacheField>
    <cacheField name="20-Jan-19" numFmtId="0">
      <sharedItems containsString="0" containsBlank="1" containsNumber="1" containsInteger="1" minValue="16" maxValue="16"/>
    </cacheField>
    <cacheField name="27-Jan-19" numFmtId="0">
      <sharedItems containsString="0" containsBlank="1" containsNumber="1" containsInteger="1" minValue="40" maxValue="40"/>
    </cacheField>
    <cacheField name="3-Feb-19" numFmtId="0">
      <sharedItems containsString="0" containsBlank="1" containsNumber="1" containsInteger="1" minValue="8" maxValue="40"/>
    </cacheField>
    <cacheField name="10-Feb-19" numFmtId="0">
      <sharedItems containsString="0" containsBlank="1" containsNumber="1" containsInteger="1" minValue="16" maxValue="24"/>
    </cacheField>
    <cacheField name="17-Feb-19" numFmtId="0">
      <sharedItems containsString="0" containsBlank="1" containsNumber="1" containsInteger="1" minValue="24" maxValue="32"/>
    </cacheField>
    <cacheField name="24-Feb-19" numFmtId="0">
      <sharedItems containsString="0" containsBlank="1" containsNumber="1" containsInteger="1" minValue="16" maxValue="40"/>
    </cacheField>
    <cacheField name="3-Mar-19" numFmtId="0">
      <sharedItems containsString="0" containsBlank="1" containsNumber="1" containsInteger="1" minValue="8" maxValue="40"/>
    </cacheField>
    <cacheField name="10-Mar-19" numFmtId="0">
      <sharedItems containsString="0" containsBlank="1" containsNumber="1" containsInteger="1" minValue="8" maxValue="40"/>
    </cacheField>
    <cacheField name="17-Mar-19" numFmtId="0">
      <sharedItems containsString="0" containsBlank="1" containsNumber="1" containsInteger="1" minValue="40" maxValue="40"/>
    </cacheField>
    <cacheField name="24-Mar-19" numFmtId="0">
      <sharedItems containsString="0" containsBlank="1" containsNumber="1" containsInteger="1" minValue="8" maxValue="32"/>
    </cacheField>
    <cacheField name="31-Mar-19" numFmtId="0">
      <sharedItems containsString="0" containsBlank="1" containsNumber="1" containsInteger="1" minValue="40" maxValue="40"/>
    </cacheField>
    <cacheField name="7-Apr-19" numFmtId="0">
      <sharedItems containsString="0" containsBlank="1" containsNumber="1" containsInteger="1" minValue="8" maxValue="24"/>
    </cacheField>
    <cacheField name="14-Apr-19" numFmtId="0">
      <sharedItems containsString="0" containsBlank="1" containsNumber="1" containsInteger="1" minValue="16" maxValue="32"/>
    </cacheField>
    <cacheField name="21-Apr-19" numFmtId="0">
      <sharedItems containsString="0" containsBlank="1" containsNumber="1" containsInteger="1" minValue="16" maxValue="16"/>
    </cacheField>
    <cacheField name="28-Apr-19" numFmtId="0">
      <sharedItems containsString="0" containsBlank="1" containsNumber="1" containsInteger="1" minValue="16" maxValue="32"/>
    </cacheField>
    <cacheField name="5-May-19" numFmtId="0">
      <sharedItems containsString="0" containsBlank="1" containsNumber="1" containsInteger="1" minValue="16" maxValue="32"/>
    </cacheField>
    <cacheField name="12-May-19" numFmtId="0">
      <sharedItems containsString="0" containsBlank="1" containsNumber="1" containsInteger="1" minValue="16" maxValue="40"/>
    </cacheField>
    <cacheField name="19-May-19" numFmtId="0">
      <sharedItems containsString="0" containsBlank="1" containsNumber="1" containsInteger="1" minValue="8" maxValue="40"/>
    </cacheField>
    <cacheField name="26-May-19" numFmtId="0">
      <sharedItems containsString="0" containsBlank="1" containsNumber="1" containsInteger="1" minValue="8" maxValue="24"/>
    </cacheField>
    <cacheField name="2-Jun-19" numFmtId="0">
      <sharedItems containsString="0" containsBlank="1" containsNumber="1" containsInteger="1" minValue="16" maxValue="40"/>
    </cacheField>
    <cacheField name="9-Jun-19" numFmtId="0">
      <sharedItems containsString="0" containsBlank="1" containsNumber="1" containsInteger="1" minValue="24" maxValue="24"/>
    </cacheField>
    <cacheField name="16-Jun-19" numFmtId="0">
      <sharedItems containsString="0" containsBlank="1" containsNumber="1" containsInteger="1" minValue="16" maxValue="40"/>
    </cacheField>
    <cacheField name="23-Jun-19" numFmtId="0">
      <sharedItems containsString="0" containsBlank="1" containsNumber="1" containsInteger="1" minValue="16" maxValue="40"/>
    </cacheField>
    <cacheField name="30-Jun-19" numFmtId="0">
      <sharedItems containsString="0" containsBlank="1" containsNumber="1" containsInteger="1" minValue="8" maxValue="32"/>
    </cacheField>
    <cacheField name="7-Jul-19" numFmtId="0">
      <sharedItems containsString="0" containsBlank="1" containsNumber="1" containsInteger="1" minValue="8" maxValue="40"/>
    </cacheField>
    <cacheField name="14-Jul-19" numFmtId="0">
      <sharedItems containsString="0" containsBlank="1" containsNumber="1" containsInteger="1" minValue="16" maxValue="40"/>
    </cacheField>
    <cacheField name="21-Jul-19" numFmtId="0">
      <sharedItems containsString="0" containsBlank="1" containsNumber="1" containsInteger="1" minValue="32" maxValue="32"/>
    </cacheField>
    <cacheField name="28-Jul-19" numFmtId="0">
      <sharedItems containsNonDate="0" containsString="0" containsBlank="1"/>
    </cacheField>
    <cacheField name="4-Aug-19" numFmtId="0">
      <sharedItems containsString="0" containsBlank="1" containsNumber="1" containsInteger="1" minValue="24" maxValue="24"/>
    </cacheField>
    <cacheField name="11-Aug-19" numFmtId="0">
      <sharedItems containsNonDate="0" containsString="0" containsBlank="1"/>
    </cacheField>
    <cacheField name="18-Aug-19" numFmtId="0">
      <sharedItems containsNonDate="0" containsString="0" containsBlank="1"/>
    </cacheField>
    <cacheField name="25-Aug-19" numFmtId="0">
      <sharedItems containsNonDate="0" containsString="0" containsBlank="1"/>
    </cacheField>
    <cacheField name="1-Sep-19" numFmtId="0">
      <sharedItems containsNonDate="0" containsString="0" containsBlank="1"/>
    </cacheField>
    <cacheField name="8-Sep-19" numFmtId="0">
      <sharedItems containsNonDate="0" containsString="0" containsBlank="1"/>
    </cacheField>
    <cacheField name="15-Sep-19" numFmtId="0">
      <sharedItems containsNonDate="0" containsString="0" containsBlank="1"/>
    </cacheField>
    <cacheField name="22-Sep-19" numFmtId="0">
      <sharedItems containsString="0" containsBlank="1" containsNumber="1" containsInteger="1" minValue="16" maxValue="16"/>
    </cacheField>
    <cacheField name="29-Sep-19" numFmtId="0">
      <sharedItems containsString="0" containsBlank="1" containsNumber="1" containsInteger="1" minValue="40" maxValue="40"/>
    </cacheField>
    <cacheField name="6-Oct-19" numFmtId="0">
      <sharedItems containsString="0" containsBlank="1" containsNumber="1" containsInteger="1" minValue="8" maxValue="40"/>
    </cacheField>
    <cacheField name="13-Oct-19" numFmtId="0">
      <sharedItems containsString="0" containsBlank="1" containsNumber="1" containsInteger="1" minValue="24" maxValue="40"/>
    </cacheField>
    <cacheField name="20-Oct-19" numFmtId="0">
      <sharedItems containsString="0" containsBlank="1" containsNumber="1" containsInteger="1" minValue="32" maxValue="32"/>
    </cacheField>
    <cacheField name="27-Oct-19" numFmtId="0">
      <sharedItems containsString="0" containsBlank="1" containsNumber="1" containsInteger="1" minValue="16" maxValue="40"/>
    </cacheField>
    <cacheField name="3-Nov-19" numFmtId="0">
      <sharedItems containsString="0" containsBlank="1" containsNumber="1" containsInteger="1" minValue="8" maxValue="40"/>
    </cacheField>
    <cacheField name="10-Nov-19" numFmtId="0">
      <sharedItems containsString="0" containsBlank="1" containsNumber="1" containsInteger="1" minValue="8" maxValue="40"/>
    </cacheField>
    <cacheField name="17-Nov-19" numFmtId="0">
      <sharedItems containsString="0" containsBlank="1" containsNumber="1" containsInteger="1" minValue="8" maxValue="40"/>
    </cacheField>
    <cacheField name="24-Nov-19" numFmtId="0">
      <sharedItems containsString="0" containsBlank="1" containsNumber="1" containsInteger="1" minValue="16" maxValue="24"/>
    </cacheField>
    <cacheField name="1-Dec-19" numFmtId="0">
      <sharedItems containsString="0" containsBlank="1" containsNumber="1" containsInteger="1" minValue="8" maxValue="40"/>
    </cacheField>
    <cacheField name="8-Dec-19" numFmtId="0">
      <sharedItems containsString="0" containsBlank="1" containsNumber="1" containsInteger="1" minValue="16" maxValue="40"/>
    </cacheField>
    <cacheField name="15-Dec-19" numFmtId="0">
      <sharedItems containsString="0" containsBlank="1" containsNumber="1" containsInteger="1" minValue="8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x v="0"/>
    <x v="0"/>
    <s v="92-L5"/>
    <n v="70"/>
    <n v="16"/>
    <s v="05 966/972 AU2020.Testbed2.SM200101.7"/>
    <x v="0"/>
    <s v="Testbed2.SM200101.7"/>
    <x v="0"/>
    <x v="0"/>
    <x v="0"/>
    <d v="2019-01-03T00:00:00"/>
    <s v="Performance/Controls Engineer"/>
    <x v="0"/>
    <s v="$0.00/h"/>
    <x v="0"/>
    <x v="0"/>
    <x v="0"/>
    <s v="PPG"/>
    <s v="Remaining Units"/>
    <m/>
    <m/>
    <m/>
    <m/>
    <m/>
    <m/>
    <m/>
    <m/>
    <n v="8"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s v="92-L5"/>
    <n v="70"/>
    <n v="16"/>
    <s v="05 966/972 AU2020.Testbed2.SM200101.Altitude"/>
    <x v="1"/>
    <s v="Testbed2.SM200101.Altitude"/>
    <x v="1"/>
    <x v="1"/>
    <x v="1"/>
    <d v="2018-10-25T00:00:00"/>
    <s v="Performance/Controls Engineer"/>
    <x v="0"/>
    <s v="$0.00/h"/>
    <x v="1"/>
    <x v="1"/>
    <x v="0"/>
    <s v="Field"/>
    <s v="Remaining Units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L5"/>
    <x v="2"/>
    <s v="Testbed2.MBY00100.L5"/>
    <x v="2"/>
    <x v="0"/>
    <x v="2"/>
    <d v="2019-03-25T00:00:00"/>
    <s v="Performance/Controls Engineer"/>
    <x v="0"/>
    <s v="$0.00/h"/>
    <x v="2"/>
    <x v="2"/>
    <x v="0"/>
    <s v="PPG"/>
    <s v="Remaining Units"/>
    <m/>
    <m/>
    <m/>
    <m/>
    <m/>
    <m/>
    <m/>
    <m/>
    <m/>
    <m/>
    <m/>
    <m/>
    <m/>
    <m/>
    <m/>
    <m/>
    <m/>
    <m/>
    <m/>
    <n v="16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L5"/>
    <x v="2"/>
    <s v="Testbed2.MBY00100.L5"/>
    <x v="2"/>
    <x v="0"/>
    <x v="2"/>
    <d v="2019-03-25T00:00:00"/>
    <s v="L5 IPS Engineer"/>
    <x v="1"/>
    <s v="$0.00/h"/>
    <x v="2"/>
    <x v="2"/>
    <x v="0"/>
    <s v="PPG"/>
    <s v="Remaining Units"/>
    <m/>
    <m/>
    <m/>
    <m/>
    <m/>
    <m/>
    <m/>
    <m/>
    <m/>
    <m/>
    <m/>
    <m/>
    <m/>
    <m/>
    <m/>
    <m/>
    <m/>
    <m/>
    <m/>
    <n v="16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Prod"/>
    <x v="3"/>
    <s v="Testbed2.MBY00100.Prod"/>
    <x v="3"/>
    <x v="0"/>
    <x v="3"/>
    <d v="2019-06-25T00:00:00"/>
    <s v="L5 IPS Engineer"/>
    <x v="1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40"/>
    <n v="16"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Prod"/>
    <x v="3"/>
    <s v="Testbed2.MBY00100.Prod"/>
    <x v="3"/>
    <x v="0"/>
    <x v="3"/>
    <d v="2019-06-25T00:00:00"/>
    <s v="Performance/Controls Engineer"/>
    <x v="0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40"/>
    <n v="16"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Altitude"/>
    <x v="4"/>
    <s v="Testbed2.MBY00100.Altitude"/>
    <x v="4"/>
    <x v="2"/>
    <x v="4"/>
    <d v="2019-11-18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8"/>
    <m/>
    <m/>
    <m/>
    <m/>
  </r>
  <r>
    <x v="1"/>
    <x v="0"/>
    <s v="92-L5"/>
    <n v="70"/>
    <n v="16"/>
    <s v="05 966/972 AU2020.Testbed2.MBY00100.Altitude"/>
    <x v="4"/>
    <s v="Testbed2.MBY00100.Altitude"/>
    <x v="5"/>
    <x v="3"/>
    <x v="5"/>
    <d v="2019-12-04T00:00:00"/>
    <s v="Performance/Controls Engineer"/>
    <x v="0"/>
    <s v="$0.00/h"/>
    <x v="5"/>
    <x v="5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4"/>
    <m/>
    <m/>
  </r>
  <r>
    <x v="1"/>
    <x v="0"/>
    <s v="92-L5"/>
    <n v="70"/>
    <n v="16"/>
    <s v="05 966/972 AU2020.Testbed2.MBY00100.Altitude"/>
    <x v="4"/>
    <s v="Testbed2.MBY00100.Altitude"/>
    <x v="6"/>
    <x v="1"/>
    <x v="6"/>
    <d v="2019-12-11T00:00:00"/>
    <s v="Performance/Controls Engineer"/>
    <x v="0"/>
    <s v="$0.00/h"/>
    <x v="1"/>
    <x v="1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24"/>
    <m/>
  </r>
  <r>
    <x v="1"/>
    <x v="0"/>
    <s v="92-L5"/>
    <n v="70"/>
    <n v="16"/>
    <s v="05 966/972 AU2020.Testbed2.MBY00100.Altitude"/>
    <x v="4"/>
    <s v="Testbed2.MBY00100.Altitude"/>
    <x v="7"/>
    <x v="4"/>
    <x v="7"/>
    <d v="2019-11-20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</r>
  <r>
    <x v="2"/>
    <x v="0"/>
    <s v="92-L5"/>
    <n v="70"/>
    <n v="16"/>
    <s v="05 966/972 AU2020.Testbed2.SM200102.L51"/>
    <x v="5"/>
    <s v="Testbed2.SM200102.L51"/>
    <x v="8"/>
    <x v="0"/>
    <x v="8"/>
    <d v="2018-12-18T00:00:00"/>
    <s v="Performance/Controls Engineer"/>
    <x v="0"/>
    <s v="$0.00/h"/>
    <x v="0"/>
    <x v="0"/>
    <x v="0"/>
    <s v="PPG"/>
    <s v="Remaining Units"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11-68635"/>
    <x v="6"/>
    <s v="Testbed2.SM200102.11-68635"/>
    <x v="9"/>
    <x v="5"/>
    <x v="9"/>
    <d v="2018-10-26T00:00:00"/>
    <s v="Performance/Controls Engineer"/>
    <x v="0"/>
    <s v="$0.00/h"/>
    <x v="4"/>
    <x v="4"/>
    <x v="0"/>
    <s v="PPG"/>
    <s v="Remaining Units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11-68635"/>
    <x v="6"/>
    <s v="Testbed2.SM200102.11-68635"/>
    <x v="10"/>
    <x v="6"/>
    <x v="10"/>
    <d v="2018-11-15T00:00:00"/>
    <s v="Performance/Controls Engineer"/>
    <x v="0"/>
    <s v="$0.00/h"/>
    <x v="3"/>
    <x v="3"/>
    <x v="0"/>
    <s v="Field"/>
    <s v="Remaining Units"/>
    <m/>
    <n v="8"/>
    <n v="40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Prod"/>
    <x v="7"/>
    <s v="Testbed2.SM200102.Prod"/>
    <x v="11"/>
    <x v="0"/>
    <x v="11"/>
    <d v="2019-05-22T00:00:00"/>
    <s v="Performance/Controls Engineer"/>
    <x v="0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6"/>
    <x v="8"/>
    <s v="Testbed2.SM200102.6"/>
    <x v="12"/>
    <x v="0"/>
    <x v="12"/>
    <d v="2019-03-11T00:00:00"/>
    <s v="Performance/Controls Engineer"/>
    <x v="0"/>
    <s v="$0.00/h"/>
    <x v="6"/>
    <x v="6"/>
    <x v="0"/>
    <s v="PPG"/>
    <s v="Remaining Units"/>
    <m/>
    <m/>
    <m/>
    <m/>
    <m/>
    <m/>
    <m/>
    <m/>
    <m/>
    <m/>
    <m/>
    <m/>
    <m/>
    <m/>
    <m/>
    <m/>
    <m/>
    <n v="32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Altitude"/>
    <x v="9"/>
    <s v="Testbed2.W9900100.Altitude"/>
    <x v="13"/>
    <x v="1"/>
    <x v="1"/>
    <d v="2018-10-25T00:00:00"/>
    <s v="Performance/Controls Engineer"/>
    <x v="0"/>
    <s v="$0.00/h"/>
    <x v="1"/>
    <x v="1"/>
    <x v="0"/>
    <s v="Field"/>
    <s v="Remaining Units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11-68635"/>
    <x v="10"/>
    <s v="Testbed2.W9900100.11-68635"/>
    <x v="14"/>
    <x v="5"/>
    <x v="13"/>
    <d v="2019-03-11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11-68635"/>
    <x v="10"/>
    <s v="Testbed2.W9900100.11-68635"/>
    <x v="15"/>
    <x v="0"/>
    <x v="14"/>
    <d v="2019-03-28T00:00:00"/>
    <s v="Performance/Controls Engineer"/>
    <x v="0"/>
    <s v="$0.00/h"/>
    <x v="3"/>
    <x v="3"/>
    <x v="0"/>
    <s v="Field"/>
    <s v="Remaining Units"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Prod"/>
    <x v="11"/>
    <s v="Testbed2.W9900100.Prod"/>
    <x v="16"/>
    <x v="0"/>
    <x v="11"/>
    <d v="2019-05-22T00:00:00"/>
    <s v="Performance/Controls Engineer"/>
    <x v="0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L5"/>
    <x v="2"/>
    <s v="Testbed2.WLW00100.L5"/>
    <x v="17"/>
    <x v="0"/>
    <x v="15"/>
    <d v="2019-01-04T00:00:00"/>
    <s v="Performance/Controls Engineer"/>
    <x v="0"/>
    <s v="$0.00/h"/>
    <x v="7"/>
    <x v="7"/>
    <x v="0"/>
    <s v="PPG"/>
    <s v="Remaining Units"/>
    <m/>
    <m/>
    <m/>
    <m/>
    <m/>
    <m/>
    <m/>
    <m/>
    <n v="32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RP"/>
    <x v="12"/>
    <s v="Testbed2.WLW00100.RP"/>
    <x v="18"/>
    <x v="0"/>
    <x v="16"/>
    <d v="2019-05-02T00:00:00"/>
    <s v="Performance/Controls Engineer"/>
    <x v="0"/>
    <s v="$0.00/h"/>
    <x v="8"/>
    <x v="8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n v="16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x v="1"/>
    <s v="92-L5"/>
    <n v="70"/>
    <n v="16"/>
    <s v="05 980 XE.Proto.XE400100.18"/>
    <x v="13"/>
    <s v="Proto.XE400100.18"/>
    <x v="19"/>
    <x v="0"/>
    <x v="17"/>
    <d v="2019-03-25T00:00:00"/>
    <s v="Performance/Controls Engineer"/>
    <x v="2"/>
    <s v="$0.00/h"/>
    <x v="6"/>
    <x v="6"/>
    <x v="0"/>
    <s v="Field"/>
    <s v="Remaining Units"/>
    <m/>
    <m/>
    <m/>
    <m/>
    <m/>
    <m/>
    <m/>
    <m/>
    <m/>
    <m/>
    <m/>
    <m/>
    <m/>
    <m/>
    <m/>
    <m/>
    <m/>
    <m/>
    <m/>
    <n v="32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x v="2"/>
    <s v="92-L5"/>
    <n v="70"/>
    <n v="16"/>
    <s v="05 980/982 AU2020.Testbed2.MK700100.49"/>
    <x v="14"/>
    <s v="Testbed2.MK700100.49"/>
    <x v="20"/>
    <x v="0"/>
    <x v="18"/>
    <d v="2019-10-24T00:00:00"/>
    <s v="Performance/Controls Engineer"/>
    <x v="2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</r>
  <r>
    <x v="7"/>
    <x v="2"/>
    <s v="92-L5"/>
    <n v="70"/>
    <n v="16"/>
    <s v="05 980/982 AU2020.Testbed2.MK800100.RP"/>
    <x v="15"/>
    <s v="Testbed2.MK800100.RP"/>
    <x v="21"/>
    <x v="0"/>
    <x v="19"/>
    <d v="2018-11-08T00:00:00"/>
    <s v="Performance/Controls Engineer"/>
    <x v="2"/>
    <s v="$0.00/h"/>
    <x v="1"/>
    <x v="1"/>
    <x v="0"/>
    <s v="PPG"/>
    <s v="Remaining Units"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70"/>
    <n v="16"/>
    <s v="05 980/982 AU2020.Testbed2.MK800100.3"/>
    <x v="16"/>
    <s v="Testbed2.MK800100.3"/>
    <x v="22"/>
    <x v="0"/>
    <x v="20"/>
    <d v="2019-01-04T00:00:00"/>
    <s v="Performance/Controls Engineer"/>
    <x v="2"/>
    <s v="$0.00/h"/>
    <x v="3"/>
    <x v="3"/>
    <x v="0"/>
    <s v="PPG"/>
    <s v="Remaining Units"/>
    <m/>
    <m/>
    <m/>
    <m/>
    <m/>
    <m/>
    <m/>
    <n v="16"/>
    <n v="40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70"/>
    <n v="16"/>
    <s v="05 980/982 AU2020.Testbed2.MK800100.49"/>
    <x v="14"/>
    <s v="Testbed2.MK800100.49"/>
    <x v="23"/>
    <x v="0"/>
    <x v="18"/>
    <d v="2019-10-24T00:00:00"/>
    <s v="Performance/Controls Engineer"/>
    <x v="2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</r>
  <r>
    <x v="8"/>
    <x v="2"/>
    <s v="92-L5"/>
    <n v="70"/>
    <n v="16"/>
    <s v="05 980/982 AU2020.Testbed2.MK900100.RP"/>
    <x v="15"/>
    <s v="Testbed2.MK900100.RP"/>
    <x v="24"/>
    <x v="0"/>
    <x v="21"/>
    <d v="2018-12-11T00:00:00"/>
    <s v="Performance/Controls Engineer"/>
    <x v="2"/>
    <s v="$0.00/h"/>
    <x v="1"/>
    <x v="1"/>
    <x v="0"/>
    <s v="PPG"/>
    <s v="Remaining Units"/>
    <m/>
    <m/>
    <m/>
    <m/>
    <m/>
    <m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x v="2"/>
    <s v="92-L5"/>
    <n v="70"/>
    <n v="16"/>
    <s v="05 980/982 AU2020.Pilot.P1.10"/>
    <x v="17"/>
    <s v="Pilot.P1.10"/>
    <x v="25"/>
    <x v="0"/>
    <x v="22"/>
    <d v="2019-08-07T00:00:00"/>
    <s v="Performance/Controls Engineer"/>
    <x v="2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</r>
  <r>
    <x v="10"/>
    <x v="2"/>
    <s v="92-L5"/>
    <n v="70"/>
    <n v="16"/>
    <s v="05 980/982 AU2020.Pilot.P1.6"/>
    <x v="18"/>
    <s v="Pilot.P1.6"/>
    <x v="26"/>
    <x v="0"/>
    <x v="23"/>
    <d v="2019-11-04T00:00:00"/>
    <s v="Performance/Controls Engineer"/>
    <x v="2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8"/>
    <m/>
    <m/>
    <m/>
    <m/>
    <m/>
    <m/>
  </r>
  <r>
    <x v="11"/>
    <x v="3"/>
    <s v="92-L5"/>
    <n v="70"/>
    <n v="16"/>
    <s v="05 BDL 2019.1.EMB00251.23"/>
    <x v="19"/>
    <s v="1.EMB00251.23"/>
    <x v="27"/>
    <x v="0"/>
    <x v="24"/>
    <d v="2018-11-02T00:00:00"/>
    <s v="Performance/Controls Engineer"/>
    <x v="3"/>
    <s v="$0.00/h"/>
    <x v="5"/>
    <x v="5"/>
    <x v="0"/>
    <s v="PPG"/>
    <s v="Remaining Units"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3"/>
    <s v="92-L5"/>
    <n v="70"/>
    <n v="16"/>
    <s v="05 BDL 2019.1.EMB00251.28"/>
    <x v="20"/>
    <s v="1.EMB00251.28"/>
    <x v="28"/>
    <x v="0"/>
    <x v="25"/>
    <d v="2019-05-09T00:00:00"/>
    <s v="Performance/Controls Engineer"/>
    <x v="3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17"/>
    <x v="21"/>
    <s v="EP.SGW00201.17"/>
    <x v="29"/>
    <x v="7"/>
    <x v="26"/>
    <d v="2019-03-15T00:00:00"/>
    <s v="Performance/Controls Engineer"/>
    <x v="4"/>
    <s v="$0.00/h"/>
    <x v="5"/>
    <x v="5"/>
    <x v="0"/>
    <s v="PPG"/>
    <s v="Remaining Units"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9"/>
    <x v="22"/>
    <s v="EP.SGW00201.9"/>
    <x v="30"/>
    <x v="0"/>
    <x v="27"/>
    <d v="2019-04-10T00:00:00"/>
    <s v="Performance/Controls Engineer"/>
    <x v="4"/>
    <s v="$0.00/h"/>
    <x v="9"/>
    <x v="9"/>
    <x v="0"/>
    <s v="PPG"/>
    <s v="Remaining Units"/>
    <m/>
    <m/>
    <m/>
    <m/>
    <m/>
    <m/>
    <m/>
    <m/>
    <m/>
    <m/>
    <m/>
    <m/>
    <m/>
    <m/>
    <m/>
    <m/>
    <m/>
    <m/>
    <m/>
    <m/>
    <m/>
    <m/>
    <m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20"/>
    <x v="17"/>
    <s v="EP.SGW00201.20"/>
    <x v="31"/>
    <x v="0"/>
    <x v="28"/>
    <d v="2019-04-16T00:00:00"/>
    <s v="Performance/Controls Engineer"/>
    <x v="4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34"/>
    <x v="23"/>
    <s v="EP.SGW00201.34"/>
    <x v="32"/>
    <x v="8"/>
    <x v="29"/>
    <d v="2019-03-04T00:00:00"/>
    <s v="Performance/Controls Engineer"/>
    <x v="4"/>
    <s v="$0.00/h"/>
    <x v="10"/>
    <x v="10"/>
    <x v="0"/>
    <s v="TC-L.I6Val.UNASSIGN"/>
    <s v="Remaining Units"/>
    <m/>
    <m/>
    <m/>
    <m/>
    <m/>
    <m/>
    <m/>
    <m/>
    <m/>
    <m/>
    <m/>
    <m/>
    <m/>
    <m/>
    <m/>
    <m/>
    <m/>
    <n v="24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3"/>
    <x v="2"/>
    <x v="11"/>
    <d v="2019-05-10T00:00:00"/>
    <s v="Performance/Controls Engineer"/>
    <x v="4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4"/>
    <x v="3"/>
    <x v="30"/>
    <d v="2019-05-22T00:00:00"/>
    <s v="Performance/Controls Engineer"/>
    <x v="4"/>
    <s v="$0.00/h"/>
    <x v="5"/>
    <x v="5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5"/>
    <x v="1"/>
    <x v="31"/>
    <d v="2019-05-30T00:00:00"/>
    <s v="Performance/Controls Engineer"/>
    <x v="4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6"/>
    <x v="4"/>
    <x v="32"/>
    <d v="2019-06-06T00:00:00"/>
    <s v="Performance/Controls Engineer"/>
    <x v="4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-68635"/>
    <x v="24"/>
    <s v="Testbed2.MBY00100.11-68635"/>
    <x v="37"/>
    <x v="0"/>
    <x v="33"/>
    <d v="2019-05-28T00:00:00"/>
    <s v="Performance/Controls Engineer"/>
    <x v="0"/>
    <s v="$0.00/h"/>
    <x v="6"/>
    <x v="6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-68635"/>
    <x v="24"/>
    <s v="Testbed2.MBY00100.11-68635"/>
    <x v="38"/>
    <x v="5"/>
    <x v="34"/>
    <d v="2019-05-01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-68635"/>
    <x v="24"/>
    <s v="Testbed2.MBY00100.11-68635"/>
    <x v="37"/>
    <x v="0"/>
    <x v="33"/>
    <d v="2019-05-28T00:00:00"/>
    <s v="L5 IPS Engineer"/>
    <x v="1"/>
    <s v="$0.00/h"/>
    <x v="6"/>
    <x v="6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40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-68635"/>
    <x v="24"/>
    <s v="Testbed2.MBY00100.11-68635"/>
    <x v="38"/>
    <x v="5"/>
    <x v="34"/>
    <d v="2019-05-01T00:00:00"/>
    <s v="L5 IPS Engineer"/>
    <x v="1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"/>
    <x v="25"/>
    <s v="Testbed2.MBY00100.11"/>
    <x v="39"/>
    <x v="9"/>
    <x v="35"/>
    <d v="2018-12-05T00:00:00"/>
    <s v="L5 IPS Engineer"/>
    <x v="1"/>
    <s v="$0.00/h"/>
    <x v="11"/>
    <x v="11"/>
    <x v="0"/>
    <s v="PPG"/>
    <s v="Remaining Units"/>
    <m/>
    <m/>
    <m/>
    <n v="24"/>
    <n v="24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11"/>
    <x v="25"/>
    <s v="Testbed2.MBY00100.11"/>
    <x v="39"/>
    <x v="9"/>
    <x v="35"/>
    <d v="2018-12-05T00:00:00"/>
    <s v="Performance/Controls Engineer"/>
    <x v="0"/>
    <s v="$0.00/h"/>
    <x v="11"/>
    <x v="11"/>
    <x v="0"/>
    <s v="PPG"/>
    <s v="Remaining Units"/>
    <m/>
    <m/>
    <m/>
    <n v="24"/>
    <n v="24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70"/>
    <n v="16"/>
    <s v="05 966/972 AU2020.Testbed2.MBY00100.Altitude"/>
    <x v="4"/>
    <s v="Testbed2.MBY00100.Altitude"/>
    <x v="4"/>
    <x v="2"/>
    <x v="4"/>
    <d v="2019-11-18T00:00:00"/>
    <s v="L5 IPS Engineer"/>
    <x v="1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8"/>
    <m/>
    <m/>
    <m/>
    <m/>
  </r>
  <r>
    <x v="1"/>
    <x v="0"/>
    <s v="92-L5"/>
    <n v="70"/>
    <n v="16"/>
    <s v="05 966/972 AU2020.Testbed2.MBY00100.Altitude"/>
    <x v="4"/>
    <s v="Testbed2.MBY00100.Altitude"/>
    <x v="7"/>
    <x v="4"/>
    <x v="7"/>
    <d v="2019-11-20T00:00:00"/>
    <s v="L5 IPS Engineer"/>
    <x v="1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</r>
  <r>
    <x v="1"/>
    <x v="0"/>
    <s v="92-L5"/>
    <n v="70"/>
    <n v="16"/>
    <s v="05 966/972 AU2020.Testbed2.MBY00100.Altitude"/>
    <x v="4"/>
    <s v="Testbed2.MBY00100.Altitude"/>
    <x v="5"/>
    <x v="3"/>
    <x v="5"/>
    <d v="2019-12-04T00:00:00"/>
    <s v="L5 IPS Engineer"/>
    <x v="1"/>
    <s v="$0.00/h"/>
    <x v="5"/>
    <x v="5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4"/>
    <m/>
    <m/>
  </r>
  <r>
    <x v="1"/>
    <x v="0"/>
    <s v="92-L5"/>
    <n v="70"/>
    <n v="16"/>
    <s v="05 966/972 AU2020.Testbed2.MBY00100.Altitude"/>
    <x v="4"/>
    <s v="Testbed2.MBY00100.Altitude"/>
    <x v="6"/>
    <x v="1"/>
    <x v="6"/>
    <d v="2019-12-11T00:00:00"/>
    <s v="L5 IPS Engineer"/>
    <x v="1"/>
    <s v="$0.00/h"/>
    <x v="1"/>
    <x v="1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24"/>
    <m/>
  </r>
  <r>
    <x v="4"/>
    <x v="0"/>
    <s v="92-L5"/>
    <n v="70"/>
    <n v="16"/>
    <s v="05 966/972 AU2020.Testbed2.WLW00100.RP1"/>
    <x v="26"/>
    <s v="Testbed2.WLW00100.RP1"/>
    <x v="40"/>
    <x v="0"/>
    <x v="36"/>
    <d v="2019-01-17T00:00:00"/>
    <s v="Performance/Controls Engineer"/>
    <x v="0"/>
    <s v="$0.00/h"/>
    <x v="1"/>
    <x v="1"/>
    <x v="0"/>
    <s v="PPG"/>
    <s v="Remaining Units"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5"/>
    <s v="92-L5"/>
    <n v="70"/>
    <n v="16"/>
    <s v="05 950/962 AU2020.Testbed2.WL900100.41"/>
    <x v="27"/>
    <s v="Testbed2.WL900100.41"/>
    <x v="41"/>
    <x v="0"/>
    <x v="37"/>
    <d v="2019-07-18T00:00:00"/>
    <s v="Performance/Controls Engineer"/>
    <x v="3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  <m/>
    <m/>
    <m/>
    <m/>
    <m/>
    <m/>
    <m/>
    <m/>
    <m/>
    <m/>
    <m/>
    <m/>
    <m/>
    <m/>
  </r>
  <r>
    <x v="14"/>
    <x v="5"/>
    <s v="92-L5"/>
    <n v="70"/>
    <n v="16"/>
    <s v="05 950/962 AU2020.Testbed2.TB2.41"/>
    <x v="27"/>
    <s v="Testbed2.TB2.41"/>
    <x v="42"/>
    <x v="0"/>
    <x v="38"/>
    <d v="2019-07-03T00:00:00"/>
    <s v="Performance/Controls Engineer"/>
    <x v="3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24"/>
    <m/>
    <m/>
    <m/>
    <m/>
    <m/>
    <m/>
    <m/>
    <m/>
    <m/>
    <m/>
    <m/>
    <m/>
    <m/>
    <m/>
    <m/>
    <m/>
    <m/>
    <m/>
    <m/>
    <m/>
    <m/>
    <m/>
    <m/>
    <m/>
  </r>
  <r>
    <x v="15"/>
    <x v="5"/>
    <s v="92-L5"/>
    <n v="70"/>
    <n v="16"/>
    <s v="05 950/962 AU2020.Testbed2.TB2.RP"/>
    <x v="28"/>
    <s v="Testbed2.TB2.RP"/>
    <x v="43"/>
    <x v="0"/>
    <x v="39"/>
    <d v="2019-07-16T00:00:00"/>
    <s v="Performance/Controls Engineer"/>
    <x v="3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16"/>
    <m/>
    <m/>
    <m/>
    <m/>
    <m/>
    <m/>
    <m/>
    <m/>
    <m/>
    <m/>
    <m/>
    <m/>
    <m/>
    <m/>
    <m/>
    <m/>
    <m/>
    <m/>
    <m/>
    <m/>
    <m/>
    <m/>
  </r>
  <r>
    <x v="16"/>
    <x v="5"/>
    <s v="92-L5"/>
    <n v="70"/>
    <n v="16"/>
    <s v="05 950/962 AU2020.Testbed2.TB2.ColdRoom"/>
    <x v="23"/>
    <s v="Testbed2.TB2.ColdRoom"/>
    <x v="44"/>
    <x v="0"/>
    <x v="40"/>
    <d v="2019-12-10T00:00:00"/>
    <s v="Performance/Controls Engineer"/>
    <x v="3"/>
    <s v="$0.00/h"/>
    <x v="12"/>
    <x v="12"/>
    <x v="0"/>
    <s v="TC-L.I6Val.UNASSIGN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40"/>
    <n v="40"/>
    <n v="40"/>
    <n v="24"/>
    <n v="40"/>
    <n v="16"/>
    <m/>
  </r>
  <r>
    <x v="17"/>
    <x v="5"/>
    <s v="92-L5"/>
    <n v="70"/>
    <n v="16"/>
    <s v="05 950/962 AU2020.Testbed2.TB3.41"/>
    <x v="27"/>
    <s v="Testbed2.TB3.41"/>
    <x v="45"/>
    <x v="0"/>
    <x v="41"/>
    <d v="2019-10-16T00:00:00"/>
    <s v="Performance/Controls Engineer"/>
    <x v="3"/>
    <s v="$0.00/h"/>
    <x v="6"/>
    <x v="6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40"/>
    <n v="24"/>
    <m/>
    <m/>
    <m/>
    <m/>
    <m/>
    <m/>
    <m/>
    <m/>
    <m/>
  </r>
  <r>
    <x v="18"/>
    <x v="6"/>
    <s v="92-L5"/>
    <n v="70"/>
    <n v="16"/>
    <s v="05 950XE.TB.EJB00166.RP"/>
    <x v="28"/>
    <s v="TB.EJB00166.RP"/>
    <x v="46"/>
    <x v="0"/>
    <x v="42"/>
    <d v="2019-03-26T00:00:00"/>
    <s v="Performance/Controls Engineer"/>
    <x v="3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n v="24"/>
    <n v="40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6"/>
    <s v="92-L5"/>
    <n v="70"/>
    <n v="16"/>
    <s v="05 950XE.TB.EJB00166.23"/>
    <x v="14"/>
    <s v="TB.EJB00166.23"/>
    <x v="47"/>
    <x v="0"/>
    <x v="43"/>
    <d v="2019-04-18T00:00:00"/>
    <s v="Performance/Controls Engineer"/>
    <x v="3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n v="24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7"/>
    <s v="92-L5"/>
    <n v="70"/>
    <n v="16"/>
    <s v="05 980GC.PD.PD2.20"/>
    <x v="17"/>
    <s v="PD.PD2.20"/>
    <x v="48"/>
    <x v="0"/>
    <x v="44"/>
    <d v="2019-11-18T00:00:00"/>
    <s v="Performance/Controls Engineer"/>
    <x v="4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8"/>
    <m/>
    <m/>
    <m/>
    <m/>
  </r>
  <r>
    <x v="20"/>
    <x v="7"/>
    <s v="92-L5"/>
    <n v="70"/>
    <n v="16"/>
    <s v="05 980GC.TB.W7K00288.20"/>
    <x v="17"/>
    <s v="TB.W7K00288.20"/>
    <x v="49"/>
    <x v="0"/>
    <x v="45"/>
    <d v="2019-02-12T00:00:00"/>
    <s v="Performance/Controls Engineer"/>
    <x v="4"/>
    <s v="$0.00/h"/>
    <x v="0"/>
    <x v="0"/>
    <x v="0"/>
    <s v="PPG"/>
    <s v="Remaining Units"/>
    <m/>
    <m/>
    <m/>
    <m/>
    <m/>
    <m/>
    <m/>
    <m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11"/>
    <x v="29"/>
    <s v="EP.SGW00201.11"/>
    <x v="50"/>
    <x v="0"/>
    <x v="46"/>
    <d v="2018-11-13T00:00:00"/>
    <s v="Performance/Controls Engineer"/>
    <x v="4"/>
    <s v="$0.00/h"/>
    <x v="0"/>
    <x v="0"/>
    <x v="0"/>
    <s v="PPG"/>
    <s v="Remaining Units"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1"/>
    <x v="2"/>
    <x v="47"/>
    <d v="2019-07-05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2"/>
    <x v="10"/>
    <x v="48"/>
    <d v="2019-07-19T00:00:00"/>
    <s v="Performance/Controls Engineer"/>
    <x v="0"/>
    <s v="$0.00/h"/>
    <x v="5"/>
    <x v="5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3"/>
    <x v="1"/>
    <x v="49"/>
    <d v="2019-07-25T00:00:00"/>
    <s v="Performance/Controls Engineer"/>
    <x v="0"/>
    <s v="$0.00/h"/>
    <x v="1"/>
    <x v="1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4"/>
    <x v="4"/>
    <x v="50"/>
    <d v="2019-07-09T00:00:00"/>
    <s v="Performance/Controls Engineer"/>
    <x v="0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</r>
  <r>
    <x v="21"/>
    <x v="7"/>
    <s v="92-L5"/>
    <n v="70"/>
    <n v="16"/>
    <s v="05 980GC.PD.PD2.3"/>
    <x v="31"/>
    <s v="PD.PD2.3"/>
    <x v="55"/>
    <x v="0"/>
    <x v="7"/>
    <d v="2019-11-27T00:00:00"/>
    <s v="Performance/Controls Engineer"/>
    <x v="2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24"/>
    <m/>
    <m/>
    <m/>
  </r>
  <r>
    <x v="22"/>
    <x v="7"/>
    <s v="92-L5"/>
    <n v="70"/>
    <n v="16"/>
    <s v="05 980GC.PD.PD2.RP"/>
    <x v="32"/>
    <s v="PD.PD2.RP"/>
    <x v="56"/>
    <x v="0"/>
    <x v="6"/>
    <d v="2019-12-16T00:00:00"/>
    <s v="Performance/Controls Engineer"/>
    <x v="2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8"/>
  </r>
  <r>
    <x v="12"/>
    <x v="8"/>
    <s v="92-L5"/>
    <n v="70"/>
    <n v="16"/>
    <s v="05 966GC 2020.TB.SGW00201.RP"/>
    <x v="28"/>
    <s v="TB.SGW00201.RP"/>
    <x v="57"/>
    <x v="0"/>
    <x v="51"/>
    <d v="2019-06-07T00:00:00"/>
    <s v="Performance/Controls Engineer"/>
    <x v="4"/>
    <s v="$0.00/h"/>
    <x v="9"/>
    <x v="9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4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8"/>
    <s v="92-L5"/>
    <n v="70"/>
    <n v="16"/>
    <s v="05 966GC 2020.TB.SGW00201.11"/>
    <x v="29"/>
    <s v="TB.SGW00201.11"/>
    <x v="58"/>
    <x v="0"/>
    <x v="3"/>
    <d v="2019-06-14T00:00:00"/>
    <s v="Performance/Controls Engineer"/>
    <x v="4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x v="1"/>
    <s v="92-L5"/>
    <n v="70"/>
    <n v="16"/>
    <s v="05 980 XE.Proto.XE300100.25"/>
    <x v="33"/>
    <s v="Proto.XE300100.25"/>
    <x v="59"/>
    <x v="0"/>
    <x v="52"/>
    <d v="2019-02-13T00:00:00"/>
    <s v="Performance/Controls Engineer"/>
    <x v="2"/>
    <s v="$0.00/h"/>
    <x v="6"/>
    <x v="6"/>
    <x v="0"/>
    <s v="PPG"/>
    <s v="Remaining Units"/>
    <m/>
    <m/>
    <m/>
    <m/>
    <m/>
    <m/>
    <m/>
    <m/>
    <m/>
    <m/>
    <m/>
    <m/>
    <m/>
    <n v="16"/>
    <n v="40"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x v="1"/>
    <s v="92-L5"/>
    <n v="70"/>
    <n v="16"/>
    <s v="05 980 XE.Proto.XE400100.18"/>
    <x v="13"/>
    <s v="Proto.XE400100.18"/>
    <x v="60"/>
    <x v="11"/>
    <x v="53"/>
    <d v="2019-02-26T00:00:00"/>
    <s v="Performance/Controls Engineer"/>
    <x v="2"/>
    <s v="$0.00/h"/>
    <x v="4"/>
    <x v="4"/>
    <x v="0"/>
    <m/>
    <s v="Remaining Units"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9"/>
    <x v="22"/>
    <s v="EP.SGW00201.9"/>
    <x v="30"/>
    <x v="0"/>
    <x v="27"/>
    <d v="2019-04-10T00:00:00"/>
    <s v="L5 IPS Engineer"/>
    <x v="5"/>
    <s v="$0.00/h"/>
    <x v="9"/>
    <x v="9"/>
    <x v="0"/>
    <s v="PPG"/>
    <s v="Remaining Units"/>
    <m/>
    <m/>
    <m/>
    <m/>
    <m/>
    <m/>
    <m/>
    <m/>
    <m/>
    <m/>
    <m/>
    <m/>
    <m/>
    <m/>
    <m/>
    <m/>
    <m/>
    <m/>
    <m/>
    <m/>
    <m/>
    <m/>
    <m/>
    <n v="4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s v="92-L5"/>
    <n v="70"/>
    <n v="16"/>
    <s v="05 966/972 AU2020.Testbed2.SM200101.Altitude"/>
    <x v="1"/>
    <s v="Testbed2.SM200101.Altitude"/>
    <x v="1"/>
    <x v="1"/>
    <x v="1"/>
    <d v="2018-10-25T00:00:00"/>
    <s v="L5 IPS Engineer"/>
    <x v="5"/>
    <s v="$0.00/h"/>
    <x v="1"/>
    <x v="1"/>
    <x v="0"/>
    <s v="Field"/>
    <s v="Remaining Units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L51"/>
    <x v="5"/>
    <s v="Testbed2.SM200102.L51"/>
    <x v="8"/>
    <x v="0"/>
    <x v="8"/>
    <d v="2018-12-18T00:00:00"/>
    <s v="L5 IPS Engineer"/>
    <x v="5"/>
    <s v="$0.00/h"/>
    <x v="0"/>
    <x v="0"/>
    <x v="0"/>
    <s v="PPG"/>
    <s v="Remaining Units"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s v="92-L5"/>
    <n v="70"/>
    <n v="16"/>
    <s v="05 966/972 AU2020.Testbed2.W9900100.Altitude"/>
    <x v="9"/>
    <s v="Testbed2.W9900100.Altitude"/>
    <x v="13"/>
    <x v="1"/>
    <x v="1"/>
    <d v="2018-10-25T00:00:00"/>
    <s v="L5 IPS Engineer"/>
    <x v="5"/>
    <s v="$0.00/h"/>
    <x v="1"/>
    <x v="1"/>
    <x v="0"/>
    <s v="Field"/>
    <s v="Remaining Units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L5"/>
    <x v="2"/>
    <s v="Testbed2.WLW00100.L5"/>
    <x v="17"/>
    <x v="0"/>
    <x v="15"/>
    <d v="2019-01-04T00:00:00"/>
    <s v="L5 IPS Engineer"/>
    <x v="5"/>
    <s v="$0.00/h"/>
    <x v="7"/>
    <x v="7"/>
    <x v="0"/>
    <s v="PPG"/>
    <s v="Remaining Units"/>
    <m/>
    <m/>
    <m/>
    <m/>
    <m/>
    <m/>
    <m/>
    <m/>
    <n v="32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RP"/>
    <x v="12"/>
    <s v="Testbed2.WLW00100.RP"/>
    <x v="18"/>
    <x v="0"/>
    <x v="16"/>
    <d v="2019-05-02T00:00:00"/>
    <s v="L5 IPS Engineer"/>
    <x v="5"/>
    <s v="$0.00/h"/>
    <x v="8"/>
    <x v="8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n v="16"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70"/>
    <n v="16"/>
    <s v="05 980/982 AU2020.Testbed2.MK800100.3"/>
    <x v="16"/>
    <s v="Testbed2.MK800100.3"/>
    <x v="22"/>
    <x v="0"/>
    <x v="20"/>
    <d v="2019-01-04T00:00:00"/>
    <s v="L5 IPS Engineer"/>
    <x v="5"/>
    <s v="$0.00/h"/>
    <x v="3"/>
    <x v="3"/>
    <x v="0"/>
    <s v="PPG"/>
    <s v="Remaining Units"/>
    <m/>
    <m/>
    <m/>
    <m/>
    <m/>
    <m/>
    <m/>
    <n v="16"/>
    <n v="40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x v="2"/>
    <s v="92-L5"/>
    <n v="70"/>
    <n v="16"/>
    <s v="05 980/982 AU2020.Testbed2.MK900100.RP"/>
    <x v="15"/>
    <s v="Testbed2.MK900100.RP"/>
    <x v="24"/>
    <x v="0"/>
    <x v="21"/>
    <d v="2018-12-11T00:00:00"/>
    <s v="L5 IPS Engineer"/>
    <x v="5"/>
    <s v="$0.00/h"/>
    <x v="1"/>
    <x v="1"/>
    <x v="0"/>
    <s v="PPG"/>
    <s v="Remaining Units"/>
    <m/>
    <m/>
    <m/>
    <m/>
    <m/>
    <m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3"/>
    <s v="92-L5"/>
    <n v="70"/>
    <n v="16"/>
    <s v="05 BDL 2019.1.EMB00251.23"/>
    <x v="19"/>
    <s v="1.EMB00251.23"/>
    <x v="27"/>
    <x v="0"/>
    <x v="24"/>
    <d v="2018-11-02T00:00:00"/>
    <s v="L5 IPS Engineer"/>
    <x v="5"/>
    <s v="$0.00/h"/>
    <x v="5"/>
    <x v="5"/>
    <x v="0"/>
    <s v="PPG"/>
    <s v="Remaining Units"/>
    <m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3"/>
    <s v="92-L5"/>
    <n v="70"/>
    <n v="16"/>
    <s v="05 BDL 2019.1.EMB00251.28"/>
    <x v="20"/>
    <s v="1.EMB00251.28"/>
    <x v="28"/>
    <x v="0"/>
    <x v="25"/>
    <d v="2019-05-09T00:00:00"/>
    <s v="L5 IPS Engineer"/>
    <x v="5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4"/>
    <x v="34"/>
    <s v="EP.SGW00201.4"/>
    <x v="61"/>
    <x v="0"/>
    <x v="39"/>
    <d v="2019-07-12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3"/>
    <x v="2"/>
    <x v="11"/>
    <d v="2019-05-10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4"/>
    <x v="3"/>
    <x v="30"/>
    <d v="2019-05-22T00:00:00"/>
    <s v="L5 IPS Engineer"/>
    <x v="5"/>
    <s v="$0.00/h"/>
    <x v="5"/>
    <x v="5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5"/>
    <x v="1"/>
    <x v="31"/>
    <d v="2019-05-30T00:00:00"/>
    <s v="L5 IPS Engineer"/>
    <x v="5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Altitude"/>
    <x v="9"/>
    <s v="EP.SGW00201.Altitude"/>
    <x v="36"/>
    <x v="4"/>
    <x v="32"/>
    <d v="2019-06-06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70"/>
    <n v="16"/>
    <s v="05 980/982 AU2020.Testbed2.MK800100.RP"/>
    <x v="15"/>
    <s v="Testbed2.MK800100.RP"/>
    <x v="21"/>
    <x v="0"/>
    <x v="19"/>
    <d v="2018-11-08T00:00:00"/>
    <s v="L5 IPS Engineer"/>
    <x v="5"/>
    <s v="$0.00/h"/>
    <x v="1"/>
    <x v="1"/>
    <x v="0"/>
    <s v="PPG"/>
    <s v="Remaining Units"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s v="92-L5"/>
    <n v="70"/>
    <n v="16"/>
    <s v="05 966/972 AU2020.Testbed2.WLW00100.RP1"/>
    <x v="26"/>
    <s v="Testbed2.WLW00100.RP1"/>
    <x v="40"/>
    <x v="0"/>
    <x v="36"/>
    <d v="2019-01-17T00:00:00"/>
    <s v="L5 IPS Engineer"/>
    <x v="5"/>
    <s v="$0.00/h"/>
    <x v="1"/>
    <x v="1"/>
    <x v="0"/>
    <s v="PPG"/>
    <s v="Remaining Units"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x v="9"/>
    <s v="92-L5"/>
    <n v="70"/>
    <n v="16"/>
    <s v="05 MWL CPI/M.5.M5T00101.6"/>
    <x v="35"/>
    <s v="5.M5T00101.6"/>
    <x v="62"/>
    <x v="0"/>
    <x v="24"/>
    <d v="2018-10-31T00:00:00"/>
    <s v="L5 IPS Engineer"/>
    <x v="5"/>
    <s v="$0.00/h"/>
    <x v="0"/>
    <x v="0"/>
    <x v="0"/>
    <s v="PPG"/>
    <s v="Remaining Units"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5"/>
    <s v="92-L5"/>
    <n v="70"/>
    <n v="16"/>
    <s v="05 950/962 AU2020.Testbed2.WL900100.41"/>
    <x v="27"/>
    <s v="Testbed2.WL900100.41"/>
    <x v="41"/>
    <x v="0"/>
    <x v="37"/>
    <d v="2019-07-18T00:00:00"/>
    <s v="L5 IPS Engineer"/>
    <x v="5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32"/>
    <m/>
    <m/>
    <m/>
    <m/>
    <m/>
    <m/>
    <m/>
    <m/>
    <m/>
    <m/>
    <m/>
    <m/>
    <m/>
    <m/>
    <m/>
    <m/>
    <m/>
    <m/>
    <m/>
    <m/>
    <m/>
    <m/>
  </r>
  <r>
    <x v="14"/>
    <x v="5"/>
    <s v="92-L5"/>
    <n v="70"/>
    <n v="16"/>
    <s v="05 950/962 AU2020.Testbed2.TB2.41"/>
    <x v="27"/>
    <s v="Testbed2.TB2.41"/>
    <x v="42"/>
    <x v="0"/>
    <x v="38"/>
    <d v="2019-07-03T00:00:00"/>
    <s v="L5 IPS Engineer"/>
    <x v="5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24"/>
    <m/>
    <m/>
    <m/>
    <m/>
    <m/>
    <m/>
    <m/>
    <m/>
    <m/>
    <m/>
    <m/>
    <m/>
    <m/>
    <m/>
    <m/>
    <m/>
    <m/>
    <m/>
    <m/>
    <m/>
    <m/>
    <m/>
    <m/>
    <m/>
  </r>
  <r>
    <x v="15"/>
    <x v="5"/>
    <s v="92-L5"/>
    <n v="70"/>
    <n v="16"/>
    <s v="05 950/962 AU2020.Testbed2.TB2.RP"/>
    <x v="28"/>
    <s v="Testbed2.TB2.RP"/>
    <x v="43"/>
    <x v="0"/>
    <x v="39"/>
    <d v="2019-07-16T00:00:00"/>
    <s v="L5 IPS Engineer"/>
    <x v="5"/>
    <s v="$0.00/h"/>
    <x v="1"/>
    <x v="1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16"/>
    <m/>
    <m/>
    <m/>
    <m/>
    <m/>
    <m/>
    <m/>
    <m/>
    <m/>
    <m/>
    <m/>
    <m/>
    <m/>
    <m/>
    <m/>
    <m/>
    <m/>
    <m/>
    <m/>
    <m/>
    <m/>
    <m/>
  </r>
  <r>
    <x v="17"/>
    <x v="5"/>
    <s v="92-L5"/>
    <n v="70"/>
    <n v="16"/>
    <s v="05 950/962 AU2020.Testbed2.TB3.41"/>
    <x v="27"/>
    <s v="Testbed2.TB3.41"/>
    <x v="45"/>
    <x v="0"/>
    <x v="41"/>
    <d v="2019-10-16T00:00:00"/>
    <s v="L5 IPS Engineer"/>
    <x v="5"/>
    <s v="$0.00/h"/>
    <x v="6"/>
    <x v="6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40"/>
    <n v="40"/>
    <n v="24"/>
    <m/>
    <m/>
    <m/>
    <m/>
    <m/>
    <m/>
    <m/>
    <m/>
    <m/>
  </r>
  <r>
    <x v="18"/>
    <x v="6"/>
    <s v="92-L5"/>
    <n v="70"/>
    <n v="16"/>
    <s v="05 950XE.TB.EJB00166.RP"/>
    <x v="28"/>
    <s v="TB.EJB00166.RP"/>
    <x v="46"/>
    <x v="0"/>
    <x v="42"/>
    <d v="2019-03-26T00:00:00"/>
    <s v="L5 IPS Engineer"/>
    <x v="5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n v="24"/>
    <n v="40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4"/>
    <s v="92-L5"/>
    <n v="70"/>
    <n v="16"/>
    <s v="05 966GC.EP.SGW00201.11"/>
    <x v="29"/>
    <s v="EP.SGW00201.11"/>
    <x v="50"/>
    <x v="0"/>
    <x v="46"/>
    <d v="2018-11-13T00:00:00"/>
    <s v="L5 IPS Engineer"/>
    <x v="5"/>
    <s v="$0.00/h"/>
    <x v="0"/>
    <x v="0"/>
    <x v="0"/>
    <s v="PPG"/>
    <s v="Remaining Units"/>
    <m/>
    <m/>
    <n v="8"/>
    <n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1"/>
    <x v="2"/>
    <x v="47"/>
    <d v="2019-07-05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2"/>
    <x v="10"/>
    <x v="48"/>
    <d v="2019-07-19T00:00:00"/>
    <s v="L5 IPS Engineer"/>
    <x v="5"/>
    <s v="$0.00/h"/>
    <x v="5"/>
    <x v="5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m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3"/>
    <x v="1"/>
    <x v="49"/>
    <d v="2019-07-25T00:00:00"/>
    <s v="L5 IPS Engineer"/>
    <x v="5"/>
    <s v="$0.00/h"/>
    <x v="1"/>
    <x v="1"/>
    <x v="0"/>
    <s v="Field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m/>
    <m/>
    <m/>
    <m/>
    <m/>
    <m/>
    <m/>
  </r>
  <r>
    <x v="2"/>
    <x v="0"/>
    <s v="92-L5"/>
    <n v="70"/>
    <n v="16"/>
    <s v="05 966/972 AU2020.Testbed2.SM200102.Altitude"/>
    <x v="30"/>
    <s v="Testbed2.SM200102.Altitude"/>
    <x v="54"/>
    <x v="4"/>
    <x v="50"/>
    <d v="2019-07-09T00:00:00"/>
    <s v="L5 IPS Engineer"/>
    <x v="5"/>
    <s v="$0.00/h"/>
    <x v="4"/>
    <x v="4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m/>
    <m/>
    <m/>
    <m/>
    <m/>
    <m/>
    <m/>
    <m/>
    <m/>
    <m/>
    <m/>
    <m/>
    <m/>
    <m/>
    <m/>
    <m/>
    <m/>
    <m/>
    <m/>
    <m/>
    <m/>
  </r>
  <r>
    <x v="21"/>
    <x v="7"/>
    <s v="92-L5"/>
    <n v="70"/>
    <n v="16"/>
    <s v="05 980GC.PD.PD2.3"/>
    <x v="31"/>
    <s v="PD.PD2.3"/>
    <x v="55"/>
    <x v="0"/>
    <x v="7"/>
    <d v="2019-11-27T00:00:00"/>
    <s v="L5 IPS Engineer"/>
    <x v="5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24"/>
    <m/>
    <m/>
    <m/>
  </r>
  <r>
    <x v="22"/>
    <x v="7"/>
    <s v="92-L5"/>
    <n v="70"/>
    <n v="16"/>
    <s v="05 980GC.PD.PD2.RP"/>
    <x v="32"/>
    <s v="PD.PD2.RP"/>
    <x v="56"/>
    <x v="0"/>
    <x v="6"/>
    <d v="2019-12-16T00:00:00"/>
    <s v="L5 IPS Engineer"/>
    <x v="5"/>
    <s v="$0.00/h"/>
    <x v="7"/>
    <x v="7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40"/>
    <n v="8"/>
  </r>
  <r>
    <x v="12"/>
    <x v="8"/>
    <s v="92-L5"/>
    <n v="70"/>
    <n v="16"/>
    <s v="05 966GC 2020.TB.SGW00201.RP"/>
    <x v="28"/>
    <s v="TB.SGW00201.RP"/>
    <x v="57"/>
    <x v="0"/>
    <x v="51"/>
    <d v="2019-06-07T00:00:00"/>
    <s v="L5 IPS Engineer"/>
    <x v="5"/>
    <s v="$0.00/h"/>
    <x v="9"/>
    <x v="9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4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8"/>
    <s v="92-L5"/>
    <n v="70"/>
    <n v="16"/>
    <s v="05 966GC 2020.TB.SGW00201.11"/>
    <x v="29"/>
    <s v="TB.SGW00201.11"/>
    <x v="58"/>
    <x v="0"/>
    <x v="3"/>
    <d v="2019-06-14T00:00:00"/>
    <s v="L5 IPS Engineer"/>
    <x v="5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314"/>
    <n v="2"/>
    <s v="05 966/972 AU2020.Testbed2.MBY00100.12"/>
    <x v="36"/>
    <s v="Testbed2.MBY00100.12"/>
    <x v="63"/>
    <x v="12"/>
    <x v="54"/>
    <d v="2019-07-11T00:00:00"/>
    <s v="L5 IPS Engineer"/>
    <x v="6"/>
    <s v="$0.00/h"/>
    <x v="3"/>
    <x v="3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32"/>
    <n v="32"/>
    <m/>
    <m/>
    <m/>
    <m/>
    <m/>
    <m/>
    <m/>
    <m/>
    <m/>
    <m/>
    <m/>
    <m/>
    <m/>
    <m/>
    <m/>
    <m/>
    <m/>
    <m/>
    <m/>
    <m/>
    <m/>
    <m/>
    <m/>
  </r>
  <r>
    <x v="1"/>
    <x v="0"/>
    <s v="92-L5"/>
    <n v="314"/>
    <n v="2"/>
    <s v="05 966/972 AU2020.Testbed2.MBY00100.9"/>
    <x v="37"/>
    <s v="Testbed2.MBY00100.9"/>
    <x v="64"/>
    <x v="0"/>
    <x v="55"/>
    <d v="2019-07-16T00:00:00"/>
    <s v="L5 IPS Engineer"/>
    <x v="6"/>
    <s v="$0.00/h"/>
    <x v="0"/>
    <x v="0"/>
    <x v="0"/>
    <s v="PPG"/>
    <s v="Remaining Unit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n v="16"/>
    <m/>
    <m/>
    <m/>
    <m/>
    <m/>
    <m/>
    <m/>
    <m/>
    <m/>
    <m/>
    <m/>
    <m/>
    <m/>
    <m/>
    <m/>
    <m/>
    <m/>
    <m/>
    <m/>
    <m/>
    <m/>
    <m/>
  </r>
  <r>
    <x v="23"/>
    <x v="1"/>
    <s v="92-L5"/>
    <n v="314"/>
    <n v="2"/>
    <s v="05 980 XE.Proto.XE300100.21"/>
    <x v="36"/>
    <s v="Proto.XE300100.21"/>
    <x v="65"/>
    <x v="13"/>
    <x v="56"/>
    <d v="2018-12-03T00:00:00"/>
    <s v="L5 IPS Engineer"/>
    <x v="6"/>
    <s v="$0.00/h"/>
    <x v="3"/>
    <x v="3"/>
    <x v="0"/>
    <s v="PPG"/>
    <s v="Remaining Units"/>
    <m/>
    <m/>
    <m/>
    <n v="8"/>
    <n v="24"/>
    <n v="40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x v="1"/>
    <s v="92-L5"/>
    <n v="314"/>
    <n v="2"/>
    <s v="05 980 XE.Proto.XE300100.20"/>
    <x v="37"/>
    <s v="Proto.XE300100.20"/>
    <x v="66"/>
    <x v="0"/>
    <x v="57"/>
    <d v="2018-12-12T00:00:00"/>
    <s v="L5 IPS Engineer"/>
    <x v="6"/>
    <s v="$0.00/h"/>
    <x v="0"/>
    <x v="0"/>
    <x v="0"/>
    <s v="PPG"/>
    <s v="Remaining Units"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2"/>
    <s v="92-L5"/>
    <n v="314"/>
    <n v="2"/>
    <s v="05 980/982 AU2020.Testbed2.MK800100.21"/>
    <x v="37"/>
    <s v="Testbed2.MK800100.21"/>
    <x v="67"/>
    <x v="0"/>
    <x v="58"/>
    <d v="2019-01-09T00:00:00"/>
    <s v="L5 IPS Engineer"/>
    <x v="6"/>
    <s v="$0.00/h"/>
    <x v="0"/>
    <x v="0"/>
    <x v="0"/>
    <s v="PPG"/>
    <s v="Remaining Units"/>
    <m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0"/>
    <m/>
    <m/>
    <m/>
    <m/>
    <x v="38"/>
    <m/>
    <x v="68"/>
    <x v="14"/>
    <x v="59"/>
    <m/>
    <m/>
    <x v="7"/>
    <m/>
    <x v="13"/>
    <x v="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0"/>
    <m/>
    <m/>
    <m/>
    <m/>
    <x v="38"/>
    <m/>
    <x v="68"/>
    <x v="14"/>
    <x v="59"/>
    <m/>
    <m/>
    <x v="7"/>
    <m/>
    <x v="13"/>
    <x v="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0"/>
    <m/>
    <m/>
    <m/>
    <m/>
    <x v="38"/>
    <m/>
    <x v="68"/>
    <x v="14"/>
    <x v="59"/>
    <m/>
    <m/>
    <x v="7"/>
    <m/>
    <x v="13"/>
    <x v="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M63" firstHeaderRow="1" firstDataRow="2" firstDataCol="3"/>
  <pivotFields count="81">
    <pivotField axis="axisRow" compact="0" outline="0" subtotalTop="0" showAll="0" defaultSubtotal="0">
      <items count="36">
        <item m="1" x="31"/>
        <item m="1" x="26"/>
        <item x="18"/>
        <item x="11"/>
        <item m="1" x="28"/>
        <item x="1"/>
        <item x="6"/>
        <item x="7"/>
        <item x="8"/>
        <item x="12"/>
        <item x="0"/>
        <item x="2"/>
        <item m="1" x="32"/>
        <item m="1" x="34"/>
        <item m="1" x="33"/>
        <item x="3"/>
        <item x="13"/>
        <item x="4"/>
        <item x="23"/>
        <item x="25"/>
        <item x="5"/>
        <item m="1" x="35"/>
        <item m="1" x="29"/>
        <item x="24"/>
        <item x="14"/>
        <item x="15"/>
        <item x="16"/>
        <item m="1" x="30"/>
        <item x="9"/>
        <item x="10"/>
        <item x="17"/>
        <item x="19"/>
        <item x="20"/>
        <item m="1" x="27"/>
        <item x="21"/>
        <item x="22"/>
      </items>
    </pivotField>
    <pivotField axis="axisRow" compact="0" outline="0" subtotalTop="0" showAll="0">
      <items count="14">
        <item m="1" x="11"/>
        <item x="5"/>
        <item x="0"/>
        <item x="4"/>
        <item x="1"/>
        <item x="2"/>
        <item x="3"/>
        <item x="10"/>
        <item m="1" x="12"/>
        <item x="9"/>
        <item x="7"/>
        <item x="8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howAll="0"/>
    <pivotField compact="0" outline="0" subtotalTop="0" showAll="0" defaultSubtotal="0"/>
    <pivotField compact="0" outline="0" subtotalTop="0" showAll="0"/>
    <pivotField compact="0" outline="0" showAll="0"/>
    <pivotField compact="0" outline="0" subtotalTop="0" showAll="0" defaultSubtotal="0"/>
    <pivotField compact="0" outline="0" showAll="0"/>
    <pivotField compact="0" outline="0" showAll="0"/>
    <pivotField compact="0" outline="0" subtotalTop="0" showAll="0"/>
    <pivotField axis="axisRow" compact="0" outline="0" subtotalTop="0" showAll="0" defaultSubtotal="0">
      <items count="8">
        <item x="0"/>
        <item x="5"/>
        <item x="1"/>
        <item x="3"/>
        <item x="2"/>
        <item x="6"/>
        <item x="7"/>
        <item x="4"/>
      </items>
    </pivotField>
    <pivotField compact="0" outline="0" subtotalTop="0" showAll="0"/>
    <pivotField compact="0" outline="0" subtotalTop="0" showAll="0" defaultSubtotal="0"/>
    <pivotField compact="0" outline="0" subtotalTop="0" showAll="0" defaultSubtotal="0"/>
    <pivotField compact="0" outline="0" subtotalTop="0" showAll="0"/>
    <pivotField compact="0" outline="0" showAll="0"/>
    <pivotField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howAll="0"/>
    <pivotField compact="0" outline="0" showAll="0"/>
  </pivotFields>
  <rowFields count="3">
    <field x="1"/>
    <field x="0"/>
    <field x="13"/>
  </rowFields>
  <rowItems count="59">
    <i>
      <x v="1"/>
      <x v="16"/>
      <x v="1"/>
    </i>
    <i r="2">
      <x v="3"/>
    </i>
    <i r="1">
      <x v="24"/>
      <x v="1"/>
    </i>
    <i r="2">
      <x v="3"/>
    </i>
    <i r="1">
      <x v="25"/>
      <x v="1"/>
    </i>
    <i r="2">
      <x v="3"/>
    </i>
    <i r="1">
      <x v="26"/>
      <x v="3"/>
    </i>
    <i r="1">
      <x v="30"/>
      <x v="1"/>
    </i>
    <i r="2">
      <x v="3"/>
    </i>
    <i t="default">
      <x v="1"/>
    </i>
    <i>
      <x v="2"/>
      <x v="5"/>
      <x/>
    </i>
    <i r="2">
      <x v="2"/>
    </i>
    <i r="2">
      <x v="5"/>
    </i>
    <i r="1">
      <x v="10"/>
      <x/>
    </i>
    <i r="2">
      <x v="1"/>
    </i>
    <i r="1">
      <x v="11"/>
      <x/>
    </i>
    <i r="2">
      <x v="1"/>
    </i>
    <i r="1">
      <x v="15"/>
      <x/>
    </i>
    <i r="2">
      <x v="1"/>
    </i>
    <i r="1">
      <x v="17"/>
      <x/>
    </i>
    <i r="2">
      <x v="1"/>
    </i>
    <i t="default">
      <x v="2"/>
    </i>
    <i>
      <x v="3"/>
      <x v="9"/>
      <x v="1"/>
    </i>
    <i r="2">
      <x v="7"/>
    </i>
    <i t="default">
      <x v="3"/>
    </i>
    <i>
      <x v="4"/>
      <x v="18"/>
      <x v="4"/>
    </i>
    <i r="2">
      <x v="5"/>
    </i>
    <i r="1">
      <x v="20"/>
      <x v="4"/>
    </i>
    <i t="default">
      <x v="4"/>
    </i>
    <i>
      <x v="5"/>
      <x v="6"/>
      <x v="4"/>
    </i>
    <i r="1">
      <x v="7"/>
      <x v="1"/>
    </i>
    <i r="2">
      <x v="4"/>
    </i>
    <i r="2">
      <x v="5"/>
    </i>
    <i r="1">
      <x v="8"/>
      <x v="1"/>
    </i>
    <i r="2">
      <x v="4"/>
    </i>
    <i r="1">
      <x v="28"/>
      <x v="4"/>
    </i>
    <i r="1">
      <x v="29"/>
      <x v="4"/>
    </i>
    <i t="default">
      <x v="5"/>
    </i>
    <i>
      <x v="6"/>
      <x v="3"/>
      <x v="1"/>
    </i>
    <i r="2">
      <x v="3"/>
    </i>
    <i t="default">
      <x v="6"/>
    </i>
    <i>
      <x v="7"/>
      <x v="19"/>
      <x v="6"/>
    </i>
    <i t="default">
      <x v="7"/>
    </i>
    <i>
      <x v="9"/>
      <x v="23"/>
      <x v="1"/>
    </i>
    <i t="default">
      <x v="9"/>
    </i>
    <i>
      <x v="10"/>
      <x v="31"/>
      <x v="7"/>
    </i>
    <i r="1">
      <x v="32"/>
      <x v="7"/>
    </i>
    <i r="1">
      <x v="34"/>
      <x v="1"/>
    </i>
    <i r="2">
      <x v="4"/>
    </i>
    <i r="1">
      <x v="35"/>
      <x v="1"/>
    </i>
    <i r="2">
      <x v="4"/>
    </i>
    <i t="default">
      <x v="10"/>
    </i>
    <i>
      <x v="11"/>
      <x v="9"/>
      <x v="1"/>
    </i>
    <i r="2">
      <x v="7"/>
    </i>
    <i t="default">
      <x v="11"/>
    </i>
    <i>
      <x v="12"/>
      <x v="2"/>
      <x v="1"/>
    </i>
    <i r="2">
      <x v="3"/>
    </i>
    <i t="default">
      <x v="1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21-Oct-18" fld="20" baseField="13" baseItem="1"/>
    <dataField name="Sum of 28-Oct-18" fld="21" baseField="13" baseItem="1"/>
    <dataField name="Sum of 4-Nov-18" fld="22" baseField="13" baseItem="1"/>
    <dataField name="Sum of 11-Nov-18" fld="23" baseField="13" baseItem="1"/>
    <dataField name="Sum of 18-Nov-18" fld="24" baseField="13" baseItem="1"/>
    <dataField name="Sum of 25-Nov-18" fld="25" baseField="13" baseItem="1"/>
    <dataField name="Sum of 2-Dec-18" fld="26" baseField="13" baseItem="1"/>
    <dataField name="Sum of 9-Dec-18" fld="27" baseField="13" baseItem="1"/>
    <dataField name="Sum of 16-Dec-18" fld="28" baseField="13" baseItem="1"/>
    <dataField name="Sum of 23-Dec-18" fld="29" baseField="13" baseItem="1"/>
  </dataFields>
  <formats count="8">
    <format dxfId="12">
      <pivotArea dataOnly="0" outline="0" fieldPosition="0">
        <references count="1">
          <reference field="1" count="0" defaultSubtotal="1"/>
        </references>
      </pivotArea>
    </format>
    <format dxfId="11">
      <pivotArea field="-2" type="button" dataOnly="0" labelOnly="1" outline="0" axis="axisCol" fieldPosition="0"/>
    </format>
    <format dxfId="10">
      <pivotArea type="topRight" dataOnly="0" labelOnly="1" outline="0" fieldPosition="0"/>
    </format>
    <format dxfId="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">
      <pivotArea outline="0" collapsedLevelsAreSubtotals="1" fieldPosition="0"/>
    </format>
    <format dxfId="2">
      <pivotArea field="-2" type="button" dataOnly="0" labelOnly="1" outline="0" axis="axisCol" fieldPosition="0"/>
    </format>
    <format dxfId="1">
      <pivotArea type="topRight" dataOnly="0" labelOnly="1" outline="0" fieldPosition="0"/>
    </format>
    <format dxfId="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S124" firstHeaderRow="1" firstDataRow="2" firstDataCol="9"/>
  <pivotFields count="81">
    <pivotField axis="axisRow" compact="0" outline="0" subtotalTop="0" showAll="0" defaultSubtotal="0">
      <items count="36">
        <item m="1" x="31"/>
        <item m="1" x="26"/>
        <item x="18"/>
        <item x="11"/>
        <item m="1" x="28"/>
        <item x="1"/>
        <item x="6"/>
        <item x="7"/>
        <item x="8"/>
        <item x="12"/>
        <item x="0"/>
        <item x="2"/>
        <item m="1" x="32"/>
        <item m="1" x="34"/>
        <item m="1" x="33"/>
        <item x="3"/>
        <item x="13"/>
        <item x="4"/>
        <item x="23"/>
        <item x="25"/>
        <item x="5"/>
        <item m="1" x="35"/>
        <item m="1" x="29"/>
        <item x="24"/>
        <item x="14"/>
        <item x="15"/>
        <item x="16"/>
        <item m="1" x="30"/>
        <item x="9"/>
        <item x="10"/>
        <item x="17"/>
        <item x="19"/>
        <item x="20"/>
        <item m="1" x="27"/>
        <item x="21"/>
        <item x="22"/>
      </items>
    </pivotField>
    <pivotField axis="axisRow" compact="0" outline="0" subtotalTop="0" showAll="0">
      <items count="14">
        <item m="1" x="11"/>
        <item x="5"/>
        <item x="0"/>
        <item x="4"/>
        <item x="1"/>
        <item x="2"/>
        <item x="3"/>
        <item x="10"/>
        <item m="1" x="12"/>
        <item x="9"/>
        <item x="7"/>
        <item x="8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howAll="0" defaultSubtotal="0"/>
    <pivotField axis="axisRow" compact="0" outline="0" subtotalTop="0" showAll="0" defaultSubtotal="0">
      <items count="59">
        <item m="1" x="42"/>
        <item x="20"/>
        <item x="19"/>
        <item m="1" x="43"/>
        <item m="1" x="39"/>
        <item m="1" x="55"/>
        <item x="7"/>
        <item x="10"/>
        <item x="11"/>
        <item x="3"/>
        <item m="1" x="56"/>
        <item x="9"/>
        <item x="1"/>
        <item x="4"/>
        <item x="23"/>
        <item x="13"/>
        <item x="8"/>
        <item x="36"/>
        <item x="37"/>
        <item m="1" x="40"/>
        <item m="1" x="46"/>
        <item m="1" x="50"/>
        <item x="2"/>
        <item x="5"/>
        <item m="1" x="41"/>
        <item m="1" x="48"/>
        <item m="1" x="53"/>
        <item x="22"/>
        <item m="1" x="54"/>
        <item x="16"/>
        <item m="1" x="58"/>
        <item x="17"/>
        <item x="18"/>
        <item x="0"/>
        <item x="14"/>
        <item x="15"/>
        <item x="28"/>
        <item x="25"/>
        <item x="34"/>
        <item m="1" x="57"/>
        <item m="1" x="52"/>
        <item x="21"/>
        <item x="38"/>
        <item x="24"/>
        <item m="1" x="45"/>
        <item m="1" x="44"/>
        <item x="12"/>
        <item x="26"/>
        <item m="1" x="49"/>
        <item x="6"/>
        <item x="35"/>
        <item m="1" x="47"/>
        <item x="27"/>
        <item x="29"/>
        <item m="1" x="51"/>
        <item x="30"/>
        <item x="31"/>
        <item x="32"/>
        <item x="33"/>
      </items>
    </pivotField>
    <pivotField compact="0" outline="0" subtotalTop="0" showAll="0"/>
    <pivotField axis="axisRow" compact="0" outline="0" showAll="0" defaultSubtotal="0">
      <items count="112">
        <item m="1" x="111"/>
        <item m="1" x="80"/>
        <item m="1" x="110"/>
        <item m="1" x="82"/>
        <item m="1" x="103"/>
        <item m="1" x="99"/>
        <item x="1"/>
        <item m="1" x="75"/>
        <item m="1" x="74"/>
        <item m="1" x="86"/>
        <item m="1" x="93"/>
        <item m="1" x="100"/>
        <item x="13"/>
        <item m="1" x="94"/>
        <item m="1" x="107"/>
        <item x="2"/>
        <item x="4"/>
        <item x="5"/>
        <item x="6"/>
        <item x="7"/>
        <item x="15"/>
        <item x="14"/>
        <item x="18"/>
        <item x="16"/>
        <item x="11"/>
        <item x="3"/>
        <item m="1" x="69"/>
        <item x="8"/>
        <item x="10"/>
        <item x="9"/>
        <item x="39"/>
        <item x="12"/>
        <item m="1" x="81"/>
        <item m="1" x="89"/>
        <item m="1" x="108"/>
        <item m="1" x="96"/>
        <item x="17"/>
        <item x="63"/>
        <item x="64"/>
        <item m="1" x="76"/>
        <item m="1" x="91"/>
        <item m="1" x="77"/>
        <item x="0"/>
        <item m="1" x="98"/>
        <item x="37"/>
        <item x="38"/>
        <item m="1" x="109"/>
        <item m="1" x="79"/>
        <item x="32"/>
        <item m="1" x="85"/>
        <item x="33"/>
        <item x="34"/>
        <item x="35"/>
        <item x="36"/>
        <item x="31"/>
        <item x="29"/>
        <item m="1" x="104"/>
        <item m="1" x="70"/>
        <item x="30"/>
        <item x="61"/>
        <item m="1" x="71"/>
        <item m="1" x="101"/>
        <item m="1" x="83"/>
        <item x="20"/>
        <item m="1" x="106"/>
        <item x="22"/>
        <item x="24"/>
        <item x="21"/>
        <item x="23"/>
        <item m="1" x="88"/>
        <item m="1" x="92"/>
        <item m="1" x="84"/>
        <item x="25"/>
        <item x="26"/>
        <item x="65"/>
        <item x="66"/>
        <item x="19"/>
        <item m="1" x="73"/>
        <item m="1" x="87"/>
        <item x="27"/>
        <item x="28"/>
        <item m="1" x="95"/>
        <item m="1" x="72"/>
        <item x="68"/>
        <item m="1" x="97"/>
        <item m="1" x="105"/>
        <item m="1" x="102"/>
        <item x="40"/>
        <item m="1" x="78"/>
        <item x="67"/>
        <item x="62"/>
        <item m="1" x="9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axis="axisRow" compact="0" outline="0" subtotalTop="0" showAll="0" defaultSubtotal="0">
      <items count="23">
        <item x="5"/>
        <item x="0"/>
        <item x="7"/>
        <item x="9"/>
        <item x="2"/>
        <item x="12"/>
        <item x="4"/>
        <item x="3"/>
        <item x="1"/>
        <item x="14"/>
        <item m="1" x="15"/>
        <item m="1" x="16"/>
        <item m="1" x="22"/>
        <item m="1" x="19"/>
        <item m="1" x="18"/>
        <item m="1" x="17"/>
        <item m="1" x="20"/>
        <item m="1" x="21"/>
        <item x="6"/>
        <item x="8"/>
        <item x="10"/>
        <item x="13"/>
        <item x="11"/>
      </items>
    </pivotField>
    <pivotField axis="axisRow" compact="0" outline="0" showAll="0" defaultSubtotal="0">
      <items count="268">
        <item m="1" x="101"/>
        <item m="1" x="88"/>
        <item m="1" x="166"/>
        <item m="1" x="249"/>
        <item m="1" x="245"/>
        <item m="1" x="194"/>
        <item m="1" x="72"/>
        <item m="1" x="204"/>
        <item x="13"/>
        <item m="1" x="100"/>
        <item m="1" x="94"/>
        <item m="1" x="109"/>
        <item m="1" x="65"/>
        <item m="1" x="73"/>
        <item m="1" x="75"/>
        <item m="1" x="97"/>
        <item m="1" x="95"/>
        <item m="1" x="123"/>
        <item m="1" x="150"/>
        <item m="1" x="130"/>
        <item m="1" x="230"/>
        <item m="1" x="201"/>
        <item m="1" x="265"/>
        <item m="1" x="135"/>
        <item m="1" x="183"/>
        <item m="1" x="254"/>
        <item m="1" x="156"/>
        <item m="1" x="235"/>
        <item m="1" x="187"/>
        <item m="1" x="149"/>
        <item x="19"/>
        <item m="1" x="160"/>
        <item m="1" x="207"/>
        <item m="1" x="198"/>
        <item m="1" x="259"/>
        <item x="29"/>
        <item m="1" x="260"/>
        <item x="5"/>
        <item x="17"/>
        <item m="1" x="110"/>
        <item x="12"/>
        <item m="1" x="153"/>
        <item m="1" x="132"/>
        <item m="1" x="181"/>
        <item m="1" x="177"/>
        <item m="1" x="263"/>
        <item x="32"/>
        <item m="1" x="248"/>
        <item x="25"/>
        <item m="1" x="87"/>
        <item m="1" x="238"/>
        <item m="1" x="244"/>
        <item m="1" x="71"/>
        <item m="1" x="169"/>
        <item m="1" x="195"/>
        <item m="1" x="250"/>
        <item x="26"/>
        <item m="1" x="251"/>
        <item m="1" x="77"/>
        <item m="1" x="70"/>
        <item m="1" x="267"/>
        <item x="47"/>
        <item m="1" x="168"/>
        <item m="1" x="216"/>
        <item m="1" x="140"/>
        <item m="1" x="157"/>
        <item m="1" x="225"/>
        <item m="1" x="253"/>
        <item x="53"/>
        <item m="1" x="242"/>
        <item m="1" x="103"/>
        <item m="1" x="93"/>
        <item m="1" x="117"/>
        <item m="1" x="171"/>
        <item m="1" x="134"/>
        <item x="59"/>
        <item m="1" x="76"/>
        <item x="57"/>
        <item m="1" x="82"/>
        <item m="1" x="218"/>
        <item m="1" x="119"/>
        <item m="1" x="175"/>
        <item m="1" x="99"/>
        <item m="1" x="146"/>
        <item m="1" x="224"/>
        <item m="1" x="163"/>
        <item m="1" x="78"/>
        <item m="1" x="221"/>
        <item m="1" x="118"/>
        <item m="1" x="80"/>
        <item m="1" x="147"/>
        <item m="1" x="67"/>
        <item x="24"/>
        <item m="1" x="167"/>
        <item m="1" x="61"/>
        <item x="21"/>
        <item x="36"/>
        <item x="39"/>
        <item m="1" x="228"/>
        <item m="1" x="256"/>
        <item m="1" x="84"/>
        <item m="1" x="208"/>
        <item x="56"/>
        <item m="1" x="220"/>
        <item m="1" x="136"/>
        <item m="1" x="173"/>
        <item m="1" x="159"/>
        <item m="1" x="246"/>
        <item m="1" x="236"/>
        <item x="9"/>
        <item m="1" x="182"/>
        <item x="37"/>
        <item m="1" x="178"/>
        <item m="1" x="192"/>
        <item m="1" x="196"/>
        <item m="1" x="172"/>
        <item x="3"/>
        <item m="1" x="227"/>
        <item m="1" x="266"/>
        <item m="1" x="127"/>
        <item m="1" x="112"/>
        <item m="1" x="85"/>
        <item m="1" x="107"/>
        <item m="1" x="164"/>
        <item m="1" x="206"/>
        <item m="1" x="226"/>
        <item m="1" x="257"/>
        <item m="1" x="92"/>
        <item m="1" x="170"/>
        <item m="1" x="191"/>
        <item m="1" x="102"/>
        <item m="1" x="89"/>
        <item m="1" x="213"/>
        <item m="1" x="240"/>
        <item m="1" x="202"/>
        <item m="1" x="129"/>
        <item x="40"/>
        <item m="1" x="139"/>
        <item m="1" x="162"/>
        <item x="20"/>
        <item x="15"/>
        <item m="1" x="104"/>
        <item m="1" x="219"/>
        <item m="1" x="176"/>
        <item m="1" x="79"/>
        <item m="1" x="205"/>
        <item m="1" x="98"/>
        <item m="1" x="121"/>
        <item m="1" x="120"/>
        <item x="50"/>
        <item x="41"/>
        <item m="1" x="81"/>
        <item m="1" x="217"/>
        <item x="27"/>
        <item x="38"/>
        <item m="1" x="143"/>
        <item m="1" x="190"/>
        <item m="1" x="144"/>
        <item m="1" x="69"/>
        <item m="1" x="108"/>
        <item m="1" x="155"/>
        <item m="1" x="115"/>
        <item x="35"/>
        <item m="1" x="247"/>
        <item m="1" x="239"/>
        <item x="54"/>
        <item m="1" x="264"/>
        <item m="1" x="211"/>
        <item x="8"/>
        <item x="11"/>
        <item m="1" x="124"/>
        <item m="1" x="114"/>
        <item m="1" x="214"/>
        <item m="1" x="241"/>
        <item m="1" x="148"/>
        <item m="1" x="215"/>
        <item x="42"/>
        <item m="1" x="90"/>
        <item x="34"/>
        <item m="1" x="128"/>
        <item m="1" x="91"/>
        <item m="1" x="258"/>
        <item m="1" x="63"/>
        <item m="1" x="62"/>
        <item x="23"/>
        <item x="43"/>
        <item m="1" x="189"/>
        <item x="45"/>
        <item x="28"/>
        <item x="46"/>
        <item m="1" x="199"/>
        <item x="0"/>
        <item m="1" x="111"/>
        <item m="1" x="212"/>
        <item x="14"/>
        <item m="1" x="180"/>
        <item m="1" x="203"/>
        <item x="33"/>
        <item m="1" x="185"/>
        <item m="1" x="184"/>
        <item m="1" x="60"/>
        <item x="10"/>
        <item m="1" x="125"/>
        <item m="1" x="179"/>
        <item m="1" x="64"/>
        <item m="1" x="133"/>
        <item m="1" x="231"/>
        <item m="1" x="154"/>
        <item m="1" x="158"/>
        <item x="51"/>
        <item m="1" x="237"/>
        <item m="1" x="126"/>
        <item m="1" x="262"/>
        <item m="1" x="255"/>
        <item m="1" x="96"/>
        <item x="2"/>
        <item x="48"/>
        <item x="49"/>
        <item m="1" x="233"/>
        <item x="6"/>
        <item m="1" x="66"/>
        <item m="1" x="223"/>
        <item m="1" x="141"/>
        <item m="1" x="151"/>
        <item m="1" x="74"/>
        <item x="44"/>
        <item x="7"/>
        <item m="1" x="165"/>
        <item x="31"/>
        <item x="30"/>
        <item m="1" x="229"/>
        <item m="1" x="152"/>
        <item m="1" x="234"/>
        <item m="1" x="161"/>
        <item x="16"/>
        <item m="1" x="106"/>
        <item m="1" x="122"/>
        <item m="1" x="138"/>
        <item m="1" x="86"/>
        <item m="1" x="105"/>
        <item m="1" x="243"/>
        <item m="1" x="193"/>
        <item m="1" x="261"/>
        <item x="4"/>
        <item x="22"/>
        <item m="1" x="116"/>
        <item m="1" x="131"/>
        <item m="1" x="188"/>
        <item m="1" x="113"/>
        <item m="1" x="252"/>
        <item m="1" x="174"/>
        <item m="1" x="200"/>
        <item m="1" x="145"/>
        <item m="1" x="68"/>
        <item m="1" x="222"/>
        <item m="1" x="137"/>
        <item m="1" x="232"/>
        <item m="1" x="142"/>
        <item m="1" x="186"/>
        <item x="55"/>
        <item m="1" x="197"/>
        <item m="1" x="83"/>
        <item x="18"/>
        <item m="1" x="209"/>
        <item m="1" x="210"/>
        <item x="1"/>
        <item x="52"/>
        <item x="58"/>
      </items>
    </pivotField>
    <pivotField compact="0" outline="0" showAll="0"/>
    <pivotField compact="0" outline="0" subtotalTop="0" showAll="0"/>
    <pivotField axis="axisRow" compact="0" outline="0" subtotalTop="0" showAll="0" defaultSubtotal="0">
      <items count="8">
        <item x="0"/>
        <item x="5"/>
        <item x="1"/>
        <item x="3"/>
        <item x="2"/>
        <item x="6"/>
        <item x="7"/>
        <item x="4"/>
      </items>
    </pivotField>
    <pivotField compact="0" outline="0" subtotalTop="0" showAll="0"/>
    <pivotField axis="axisRow" compact="0" outline="0" subtotalTop="0" showAll="0" defaultSubtotal="0">
      <items count="16">
        <item m="1" x="15"/>
        <item x="4"/>
        <item x="0"/>
        <item x="1"/>
        <item x="5"/>
        <item x="9"/>
        <item x="3"/>
        <item x="2"/>
        <item x="6"/>
        <item m="1" x="14"/>
        <item x="13"/>
        <item x="11"/>
        <item x="7"/>
        <item x="8"/>
        <item x="10"/>
        <item x="12"/>
      </items>
    </pivotField>
    <pivotField axis="axisRow" compact="0" outline="0" subtotalTop="0" showAll="0" defaultSubtotal="0">
      <items count="16">
        <item m="1" x="15"/>
        <item x="4"/>
        <item x="0"/>
        <item x="1"/>
        <item x="5"/>
        <item x="9"/>
        <item x="3"/>
        <item x="2"/>
        <item x="6"/>
        <item m="1" x="14"/>
        <item x="13"/>
        <item x="11"/>
        <item x="7"/>
        <item x="8"/>
        <item x="10"/>
        <item x="12"/>
      </items>
    </pivotField>
    <pivotField compact="0" outline="0" subtotalTop="0" showAll="0">
      <items count="3">
        <item x="0"/>
        <item x="1"/>
        <item t="default"/>
      </items>
    </pivotField>
    <pivotField compact="0" outline="0" showAll="0"/>
    <pivotField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howAll="0"/>
    <pivotField compact="0" outline="0" showAll="0"/>
  </pivotFields>
  <rowFields count="9">
    <field x="1"/>
    <field x="0"/>
    <field x="10"/>
    <field x="6"/>
    <field x="13"/>
    <field x="8"/>
    <field x="9"/>
    <field x="15"/>
    <field x="16"/>
  </rowFields>
  <rowItems count="120">
    <i>
      <x v="1"/>
      <x v="16"/>
      <x v="111"/>
      <x v="52"/>
      <x v="1"/>
      <x v="92"/>
      <x v="1"/>
      <x v="6"/>
      <x v="6"/>
    </i>
    <i r="4">
      <x v="3"/>
      <x v="92"/>
      <x v="1"/>
      <x v="6"/>
      <x v="6"/>
    </i>
    <i r="1">
      <x v="24"/>
      <x v="154"/>
      <x v="52"/>
      <x v="1"/>
      <x v="93"/>
      <x v="1"/>
      <x v="6"/>
      <x v="6"/>
    </i>
    <i r="4">
      <x v="3"/>
      <x v="93"/>
      <x v="1"/>
      <x v="6"/>
      <x v="6"/>
    </i>
    <i r="1">
      <x v="25"/>
      <x v="97"/>
      <x v="36"/>
      <x v="1"/>
      <x v="94"/>
      <x v="1"/>
      <x v="3"/>
      <x v="3"/>
    </i>
    <i r="4">
      <x v="3"/>
      <x v="94"/>
      <x v="1"/>
      <x v="3"/>
      <x v="3"/>
    </i>
    <i r="1">
      <x v="26"/>
      <x v="136"/>
      <x v="14"/>
      <x v="3"/>
      <x v="95"/>
      <x v="1"/>
      <x v="15"/>
      <x v="15"/>
    </i>
    <i r="1">
      <x v="30"/>
      <x v="150"/>
      <x v="52"/>
      <x v="1"/>
      <x v="96"/>
      <x v="1"/>
      <x v="8"/>
      <x v="8"/>
    </i>
    <i r="4">
      <x v="3"/>
      <x v="96"/>
      <x v="1"/>
      <x v="8"/>
      <x v="8"/>
    </i>
    <i t="default">
      <x v="1"/>
    </i>
    <i>
      <x v="2"/>
      <x v="5"/>
      <x v="37"/>
      <x v="13"/>
      <x/>
      <x v="17"/>
      <x v="7"/>
      <x v="4"/>
      <x v="4"/>
    </i>
    <i r="4">
      <x v="2"/>
      <x v="17"/>
      <x v="7"/>
      <x v="4"/>
      <x v="4"/>
    </i>
    <i r="2">
      <x v="116"/>
      <x v="9"/>
      <x/>
      <x v="25"/>
      <x v="1"/>
      <x v="6"/>
      <x v="6"/>
    </i>
    <i r="4">
      <x v="2"/>
      <x v="25"/>
      <x v="1"/>
      <x v="6"/>
      <x v="6"/>
    </i>
    <i r="2">
      <x v="162"/>
      <x v="37"/>
      <x/>
      <x v="30"/>
      <x v="3"/>
      <x v="11"/>
      <x v="11"/>
    </i>
    <i r="4">
      <x v="2"/>
      <x v="30"/>
      <x v="3"/>
      <x v="11"/>
      <x v="11"/>
    </i>
    <i r="2">
      <x v="165"/>
      <x v="17"/>
      <x v="5"/>
      <x v="37"/>
      <x v="5"/>
      <x v="6"/>
      <x v="6"/>
    </i>
    <i r="2">
      <x v="178"/>
      <x v="43"/>
      <x/>
      <x v="45"/>
      <x/>
      <x v="1"/>
      <x v="1"/>
    </i>
    <i r="4">
      <x v="2"/>
      <x v="45"/>
      <x/>
      <x v="1"/>
      <x v="1"/>
    </i>
    <i r="2">
      <x v="197"/>
      <x v="43"/>
      <x/>
      <x v="44"/>
      <x v="1"/>
      <x v="8"/>
      <x v="8"/>
    </i>
    <i r="4">
      <x v="2"/>
      <x v="44"/>
      <x v="1"/>
      <x v="8"/>
      <x v="8"/>
    </i>
    <i r="2">
      <x v="215"/>
      <x v="22"/>
      <x/>
      <x v="15"/>
      <x v="1"/>
      <x v="7"/>
      <x v="7"/>
    </i>
    <i r="4">
      <x v="2"/>
      <x v="15"/>
      <x v="1"/>
      <x v="7"/>
      <x v="7"/>
    </i>
    <i r="2">
      <x v="219"/>
      <x v="13"/>
      <x/>
      <x v="18"/>
      <x v="8"/>
      <x v="3"/>
      <x v="3"/>
    </i>
    <i r="4">
      <x v="2"/>
      <x v="18"/>
      <x v="8"/>
      <x v="3"/>
      <x v="3"/>
    </i>
    <i r="2">
      <x v="226"/>
      <x v="13"/>
      <x/>
      <x v="19"/>
      <x v="6"/>
      <x v="1"/>
      <x v="1"/>
    </i>
    <i r="4">
      <x v="2"/>
      <x v="19"/>
      <x v="6"/>
      <x v="1"/>
      <x v="1"/>
    </i>
    <i r="2">
      <x v="243"/>
      <x v="13"/>
      <x/>
      <x v="16"/>
      <x v="4"/>
      <x v="1"/>
      <x v="1"/>
    </i>
    <i r="4">
      <x v="2"/>
      <x v="16"/>
      <x v="4"/>
      <x v="1"/>
      <x v="1"/>
    </i>
    <i r="2">
      <x v="259"/>
      <x v="18"/>
      <x v="5"/>
      <x v="38"/>
      <x v="1"/>
      <x v="2"/>
      <x v="2"/>
    </i>
    <i r="1">
      <x v="10"/>
      <x v="191"/>
      <x v="33"/>
      <x/>
      <x v="42"/>
      <x v="1"/>
      <x v="2"/>
      <x v="2"/>
    </i>
    <i r="2">
      <x v="265"/>
      <x v="12"/>
      <x/>
      <x v="6"/>
      <x v="8"/>
      <x v="3"/>
      <x v="3"/>
    </i>
    <i r="4">
      <x v="1"/>
      <x v="6"/>
      <x v="8"/>
      <x v="3"/>
      <x v="3"/>
    </i>
    <i r="1">
      <x v="11"/>
      <x v="40"/>
      <x v="16"/>
      <x/>
      <x v="31"/>
      <x v="1"/>
      <x v="8"/>
      <x v="8"/>
    </i>
    <i r="2">
      <x v="61"/>
      <x v="55"/>
      <x/>
      <x v="102"/>
      <x v="4"/>
      <x v="1"/>
      <x v="1"/>
    </i>
    <i r="4">
      <x v="1"/>
      <x v="102"/>
      <x v="4"/>
      <x v="1"/>
      <x v="1"/>
    </i>
    <i r="2">
      <x v="109"/>
      <x v="49"/>
      <x/>
      <x v="29"/>
      <x/>
      <x v="1"/>
      <x v="1"/>
    </i>
    <i r="2">
      <x v="149"/>
      <x v="55"/>
      <x/>
      <x v="105"/>
      <x v="6"/>
      <x v="1"/>
      <x v="1"/>
    </i>
    <i r="4">
      <x v="1"/>
      <x v="105"/>
      <x v="6"/>
      <x v="1"/>
      <x v="1"/>
    </i>
    <i r="2">
      <x v="168"/>
      <x v="23"/>
      <x/>
      <x v="27"/>
      <x v="1"/>
      <x v="2"/>
      <x v="2"/>
    </i>
    <i r="4">
      <x v="1"/>
      <x v="27"/>
      <x v="1"/>
      <x v="2"/>
      <x v="2"/>
    </i>
    <i r="2">
      <x v="169"/>
      <x v="6"/>
      <x/>
      <x v="24"/>
      <x v="1"/>
      <x v="6"/>
      <x v="6"/>
    </i>
    <i r="2">
      <x v="201"/>
      <x v="49"/>
      <x/>
      <x v="28"/>
      <x v="18"/>
      <x v="6"/>
      <x v="6"/>
    </i>
    <i r="2">
      <x v="216"/>
      <x v="55"/>
      <x/>
      <x v="103"/>
      <x v="20"/>
      <x v="4"/>
      <x v="4"/>
    </i>
    <i r="4">
      <x v="1"/>
      <x v="103"/>
      <x v="20"/>
      <x v="4"/>
      <x v="4"/>
    </i>
    <i r="2">
      <x v="217"/>
      <x v="55"/>
      <x/>
      <x v="104"/>
      <x v="8"/>
      <x v="3"/>
      <x v="3"/>
    </i>
    <i r="4">
      <x v="1"/>
      <x v="104"/>
      <x v="8"/>
      <x v="3"/>
      <x v="3"/>
    </i>
    <i r="1">
      <x v="15"/>
      <x v="8"/>
      <x v="7"/>
      <x/>
      <x v="21"/>
      <x/>
      <x v="1"/>
      <x v="1"/>
    </i>
    <i r="2">
      <x v="169"/>
      <x v="8"/>
      <x/>
      <x v="23"/>
      <x v="1"/>
      <x v="6"/>
      <x v="6"/>
    </i>
    <i r="2">
      <x v="194"/>
      <x v="7"/>
      <x/>
      <x v="20"/>
      <x v="1"/>
      <x v="6"/>
      <x v="6"/>
    </i>
    <i r="2">
      <x v="265"/>
      <x v="11"/>
      <x/>
      <x v="12"/>
      <x v="8"/>
      <x v="3"/>
      <x v="3"/>
    </i>
    <i r="4">
      <x v="1"/>
      <x v="12"/>
      <x v="8"/>
      <x v="3"/>
      <x v="3"/>
    </i>
    <i r="1">
      <x v="17"/>
      <x v="96"/>
      <x v="47"/>
      <x/>
      <x v="87"/>
      <x v="1"/>
      <x v="3"/>
      <x v="3"/>
    </i>
    <i r="4">
      <x v="1"/>
      <x v="87"/>
      <x v="1"/>
      <x v="3"/>
      <x v="3"/>
    </i>
    <i r="2">
      <x v="140"/>
      <x v="22"/>
      <x/>
      <x v="36"/>
      <x v="1"/>
      <x v="12"/>
      <x v="12"/>
    </i>
    <i r="4">
      <x v="1"/>
      <x v="36"/>
      <x v="1"/>
      <x v="12"/>
      <x v="12"/>
    </i>
    <i r="2">
      <x v="234"/>
      <x v="46"/>
      <x/>
      <x v="22"/>
      <x v="1"/>
      <x v="13"/>
      <x v="13"/>
    </i>
    <i r="4">
      <x v="1"/>
      <x v="22"/>
      <x v="1"/>
      <x v="13"/>
      <x v="13"/>
    </i>
    <i t="default">
      <x v="2"/>
    </i>
    <i>
      <x v="3"/>
      <x v="9"/>
      <x v="35"/>
      <x v="14"/>
      <x v="7"/>
      <x v="48"/>
      <x v="19"/>
      <x v="14"/>
      <x v="14"/>
    </i>
    <i r="2">
      <x v="46"/>
      <x v="11"/>
      <x v="1"/>
      <x v="53"/>
      <x v="6"/>
      <x v="1"/>
      <x v="1"/>
    </i>
    <i r="4">
      <x v="7"/>
      <x v="53"/>
      <x v="6"/>
      <x v="1"/>
      <x v="1"/>
    </i>
    <i r="2">
      <x v="56"/>
      <x v="41"/>
      <x v="7"/>
      <x v="55"/>
      <x v="2"/>
      <x v="4"/>
      <x v="4"/>
    </i>
    <i r="2">
      <x v="97"/>
      <x v="38"/>
      <x v="1"/>
      <x v="59"/>
      <x v="1"/>
      <x v="1"/>
      <x v="1"/>
    </i>
    <i r="2">
      <x v="153"/>
      <x v="27"/>
      <x v="1"/>
      <x v="58"/>
      <x v="1"/>
      <x v="5"/>
      <x v="5"/>
    </i>
    <i r="4">
      <x v="7"/>
      <x v="58"/>
      <x v="1"/>
      <x v="5"/>
      <x v="5"/>
    </i>
    <i r="2">
      <x v="169"/>
      <x v="11"/>
      <x v="1"/>
      <x v="50"/>
      <x v="4"/>
      <x v="1"/>
      <x v="1"/>
    </i>
    <i r="4">
      <x v="7"/>
      <x v="50"/>
      <x v="4"/>
      <x v="1"/>
      <x v="1"/>
    </i>
    <i r="2">
      <x v="188"/>
      <x v="31"/>
      <x v="7"/>
      <x v="54"/>
      <x v="1"/>
      <x v="2"/>
      <x v="2"/>
    </i>
    <i r="2">
      <x v="189"/>
      <x v="53"/>
      <x v="1"/>
      <x v="101"/>
      <x v="1"/>
      <x v="2"/>
      <x v="2"/>
    </i>
    <i r="4">
      <x v="7"/>
      <x v="101"/>
      <x v="1"/>
      <x v="2"/>
      <x v="2"/>
    </i>
    <i r="2">
      <x v="228"/>
      <x v="11"/>
      <x v="1"/>
      <x v="52"/>
      <x v="8"/>
      <x v="3"/>
      <x v="3"/>
    </i>
    <i r="4">
      <x v="7"/>
      <x v="52"/>
      <x v="8"/>
      <x v="3"/>
      <x v="3"/>
    </i>
    <i r="2">
      <x v="229"/>
      <x v="11"/>
      <x v="1"/>
      <x v="51"/>
      <x v="7"/>
      <x v="4"/>
      <x v="4"/>
    </i>
    <i r="4">
      <x v="7"/>
      <x v="51"/>
      <x v="7"/>
      <x v="4"/>
      <x v="4"/>
    </i>
    <i t="default">
      <x v="3"/>
    </i>
    <i>
      <x v="4"/>
      <x v="18"/>
      <x v="77"/>
      <x v="18"/>
      <x v="5"/>
      <x v="75"/>
      <x v="1"/>
      <x v="2"/>
      <x v="2"/>
    </i>
    <i r="2">
      <x v="102"/>
      <x v="17"/>
      <x v="5"/>
      <x v="74"/>
      <x v="21"/>
      <x v="6"/>
      <x v="6"/>
    </i>
    <i r="2">
      <x v="266"/>
      <x v="58"/>
      <x v="4"/>
      <x v="110"/>
      <x v="1"/>
      <x v="8"/>
      <x v="8"/>
    </i>
    <i r="1">
      <x v="20"/>
      <x v="38"/>
      <x v="15"/>
      <x v="4"/>
      <x v="76"/>
      <x v="1"/>
      <x v="8"/>
      <x v="8"/>
    </i>
    <i r="2">
      <x v="68"/>
      <x v="15"/>
      <x v="4"/>
      <x v="111"/>
      <x v="22"/>
      <x v="1"/>
      <x v="1"/>
    </i>
    <i t="default">
      <x v="4"/>
    </i>
    <i>
      <x v="5"/>
      <x v="6"/>
      <x v="262"/>
      <x v="34"/>
      <x v="4"/>
      <x v="63"/>
      <x v="1"/>
      <x v="6"/>
      <x v="6"/>
    </i>
    <i r="1">
      <x v="7"/>
      <x v="30"/>
      <x v="35"/>
      <x v="1"/>
      <x v="67"/>
      <x v="1"/>
      <x v="3"/>
      <x v="3"/>
    </i>
    <i r="4">
      <x v="4"/>
      <x v="67"/>
      <x v="1"/>
      <x v="3"/>
      <x v="3"/>
    </i>
    <i r="2">
      <x v="139"/>
      <x v="29"/>
      <x v="1"/>
      <x v="65"/>
      <x v="1"/>
      <x v="6"/>
      <x v="6"/>
    </i>
    <i r="4">
      <x v="4"/>
      <x v="65"/>
      <x v="1"/>
      <x v="6"/>
      <x v="6"/>
    </i>
    <i r="2">
      <x v="262"/>
      <x v="34"/>
      <x v="4"/>
      <x v="68"/>
      <x v="1"/>
      <x v="6"/>
      <x v="6"/>
    </i>
    <i r="2">
      <x v="267"/>
      <x v="18"/>
      <x v="5"/>
      <x v="89"/>
      <x v="1"/>
      <x v="2"/>
      <x v="2"/>
    </i>
    <i r="1">
      <x v="8"/>
      <x v="95"/>
      <x v="35"/>
      <x v="1"/>
      <x v="66"/>
      <x v="1"/>
      <x v="3"/>
      <x v="3"/>
    </i>
    <i r="4">
      <x v="4"/>
      <x v="66"/>
      <x v="1"/>
      <x v="3"/>
      <x v="3"/>
    </i>
    <i r="1">
      <x v="28"/>
      <x v="244"/>
      <x v="31"/>
      <x v="4"/>
      <x v="72"/>
      <x v="1"/>
      <x v="2"/>
      <x v="2"/>
    </i>
    <i r="1">
      <x v="29"/>
      <x v="184"/>
      <x v="32"/>
      <x v="4"/>
      <x v="73"/>
      <x v="1"/>
      <x v="2"/>
      <x v="2"/>
    </i>
    <i t="default">
      <x v="5"/>
    </i>
    <i>
      <x v="6"/>
      <x v="3"/>
      <x v="48"/>
      <x v="1"/>
      <x v="1"/>
      <x v="80"/>
      <x v="1"/>
      <x v="3"/>
      <x v="3"/>
    </i>
    <i r="4">
      <x v="3"/>
      <x v="80"/>
      <x v="1"/>
      <x v="3"/>
      <x v="3"/>
    </i>
    <i r="2">
      <x v="92"/>
      <x v="2"/>
      <x v="1"/>
      <x v="79"/>
      <x v="1"/>
      <x v="4"/>
      <x v="4"/>
    </i>
    <i r="4">
      <x v="3"/>
      <x v="79"/>
      <x v="1"/>
      <x v="4"/>
      <x v="4"/>
    </i>
    <i t="default">
      <x v="6"/>
    </i>
    <i>
      <x v="7"/>
      <x v="19"/>
      <x v="75"/>
      <x v="42"/>
      <x v="6"/>
      <x v="83"/>
      <x v="9"/>
      <x v="10"/>
      <x v="10"/>
    </i>
    <i t="default">
      <x v="7"/>
    </i>
    <i>
      <x v="9"/>
      <x v="23"/>
      <x v="92"/>
      <x v="50"/>
      <x v="1"/>
      <x v="90"/>
      <x v="1"/>
      <x v="2"/>
      <x v="2"/>
    </i>
    <i t="default">
      <x v="9"/>
    </i>
    <i>
      <x v="10"/>
      <x v="31"/>
      <x v="225"/>
      <x v="31"/>
      <x v="7"/>
      <x v="99"/>
      <x v="1"/>
      <x v="2"/>
      <x v="2"/>
    </i>
    <i r="1">
      <x v="32"/>
      <x v="187"/>
      <x v="31"/>
      <x v="7"/>
      <x v="100"/>
      <x v="1"/>
      <x v="2"/>
      <x v="2"/>
    </i>
    <i r="1">
      <x v="34"/>
      <x v="226"/>
      <x v="56"/>
      <x v="1"/>
      <x v="106"/>
      <x v="1"/>
      <x v="12"/>
      <x v="12"/>
    </i>
    <i r="4">
      <x v="4"/>
      <x v="106"/>
      <x v="1"/>
      <x v="12"/>
      <x v="12"/>
    </i>
    <i r="1">
      <x v="35"/>
      <x v="219"/>
      <x v="57"/>
      <x v="1"/>
      <x v="107"/>
      <x v="1"/>
      <x v="12"/>
      <x v="12"/>
    </i>
    <i r="4">
      <x v="4"/>
      <x v="107"/>
      <x v="1"/>
      <x v="12"/>
      <x v="12"/>
    </i>
    <i t="default">
      <x v="10"/>
    </i>
    <i>
      <x v="11"/>
      <x v="9"/>
      <x v="116"/>
      <x v="53"/>
      <x v="1"/>
      <x v="109"/>
      <x v="1"/>
      <x v="2"/>
      <x v="2"/>
    </i>
    <i r="4">
      <x v="7"/>
      <x v="109"/>
      <x v="1"/>
      <x v="2"/>
      <x v="2"/>
    </i>
    <i r="2">
      <x v="209"/>
      <x v="36"/>
      <x v="1"/>
      <x v="108"/>
      <x v="1"/>
      <x v="5"/>
      <x v="5"/>
    </i>
    <i r="4">
      <x v="7"/>
      <x v="108"/>
      <x v="1"/>
      <x v="5"/>
      <x v="5"/>
    </i>
    <i t="default">
      <x v="11"/>
    </i>
    <i>
      <x v="12"/>
      <x v="2"/>
      <x v="176"/>
      <x v="36"/>
      <x v="1"/>
      <x v="97"/>
      <x v="1"/>
      <x v="6"/>
      <x v="6"/>
    </i>
    <i r="4">
      <x v="3"/>
      <x v="97"/>
      <x v="1"/>
      <x v="6"/>
      <x v="6"/>
    </i>
    <i r="2">
      <x v="185"/>
      <x v="34"/>
      <x v="3"/>
      <x v="98"/>
      <x v="1"/>
      <x v="12"/>
      <x v="12"/>
    </i>
    <i t="default">
      <x v="1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21-Oct-18" fld="20" baseField="13" baseItem="1"/>
    <dataField name="Sum of 28-Oct-18" fld="21" baseField="13" baseItem="1"/>
    <dataField name="Sum of 4-Nov-18" fld="22" baseField="13" baseItem="1"/>
    <dataField name="Sum of 11-Nov-18" fld="23" baseField="13" baseItem="1"/>
    <dataField name="Sum of 18-Nov-18" fld="24" baseField="13" baseItem="1"/>
    <dataField name="Sum of 25-Nov-18" fld="25" baseField="13" baseItem="1"/>
    <dataField name="Sum of 2-Dec-18" fld="26" baseField="13" baseItem="1"/>
    <dataField name="Sum of 9-Dec-18" fld="27" baseField="13" baseItem="1"/>
    <dataField name="Sum of 16-Dec-18" fld="28" baseField="13" baseItem="1"/>
    <dataField name="Sum of 23-Dec-18" fld="29" baseField="13" baseItem="1"/>
  </dataFields>
  <formats count="5">
    <format dxfId="8">
      <pivotArea dataOnly="0" outline="0" fieldPosition="0">
        <references count="1">
          <reference field="1" count="0" defaultSubtotal="1"/>
        </references>
      </pivotArea>
    </format>
    <format dxfId="7">
      <pivotArea field="17" type="button" dataOnly="0" labelOnly="1" outline="0"/>
    </format>
    <format dxfId="6">
      <pivotArea field="16" type="button" dataOnly="0" labelOnly="1" outline="0" axis="axisRow" fieldPosition="8"/>
    </format>
    <format dxfId="5">
      <pivotArea field="15" type="button" dataOnly="0" labelOnly="1" outline="0" axis="axisRow" fieldPosition="7"/>
    </format>
    <format dxfId="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3"/>
  <sheetViews>
    <sheetView tabSelected="1" workbookViewId="0">
      <pane ySplit="4" topLeftCell="A5" activePane="bottomLeft" state="frozen"/>
      <selection pane="bottomLeft" activeCell="I13" sqref="I13"/>
    </sheetView>
  </sheetViews>
  <sheetFormatPr defaultRowHeight="14.4" x14ac:dyDescent="0.3"/>
  <cols>
    <col min="1" max="1" width="15.5546875" customWidth="1"/>
    <col min="2" max="2" width="17.109375" customWidth="1"/>
    <col min="3" max="3" width="18.5546875" customWidth="1"/>
    <col min="4" max="4" width="16.77734375" style="12" customWidth="1"/>
    <col min="5" max="13" width="15.21875" style="12" customWidth="1"/>
    <col min="14" max="14" width="4.88671875" bestFit="1" customWidth="1"/>
    <col min="15" max="15" width="3.44140625" bestFit="1" customWidth="1"/>
    <col min="16" max="17" width="4.88671875" bestFit="1" customWidth="1"/>
    <col min="18" max="18" width="3.44140625" bestFit="1" customWidth="1"/>
    <col min="19" max="19" width="4.33203125" bestFit="1" customWidth="1"/>
    <col min="20" max="21" width="3.44140625" bestFit="1" customWidth="1"/>
    <col min="22" max="22" width="4.33203125" customWidth="1"/>
    <col min="23" max="24" width="4.33203125" bestFit="1" customWidth="1"/>
    <col min="25" max="25" width="3.6640625" bestFit="1" customWidth="1"/>
    <col min="26" max="28" width="5" bestFit="1" customWidth="1"/>
    <col min="29" max="29" width="4.33203125" bestFit="1" customWidth="1"/>
    <col min="30" max="32" width="5" bestFit="1" customWidth="1"/>
    <col min="33" max="33" width="4.33203125" bestFit="1" customWidth="1"/>
    <col min="34" max="34" width="6" bestFit="1" customWidth="1"/>
    <col min="35" max="36" width="5.5546875" customWidth="1"/>
    <col min="37" max="38" width="6.5546875" customWidth="1"/>
    <col min="39" max="41" width="7.109375" bestFit="1" customWidth="1"/>
    <col min="42" max="43" width="7.6640625" bestFit="1" customWidth="1"/>
    <col min="44" max="48" width="16.44140625" customWidth="1"/>
  </cols>
  <sheetData>
    <row r="2" spans="1:13" x14ac:dyDescent="0.3">
      <c r="D2" s="12" t="s">
        <v>326</v>
      </c>
    </row>
    <row r="3" spans="1:13" x14ac:dyDescent="0.3">
      <c r="D3" s="3" t="s">
        <v>15</v>
      </c>
      <c r="E3" s="5"/>
      <c r="F3" s="5"/>
      <c r="G3" s="5"/>
      <c r="H3" s="5"/>
      <c r="I3" s="5"/>
      <c r="J3" s="5"/>
      <c r="K3" s="5"/>
      <c r="L3" s="5"/>
      <c r="M3" s="5"/>
    </row>
    <row r="4" spans="1:13" ht="28.8" x14ac:dyDescent="0.3">
      <c r="A4" s="1" t="s">
        <v>0</v>
      </c>
      <c r="B4" s="1" t="s">
        <v>108</v>
      </c>
      <c r="C4" s="1" t="s">
        <v>7</v>
      </c>
      <c r="D4" s="5" t="s">
        <v>122</v>
      </c>
      <c r="E4" s="5" t="s">
        <v>123</v>
      </c>
      <c r="F4" s="5" t="s">
        <v>124</v>
      </c>
      <c r="G4" s="5" t="s">
        <v>125</v>
      </c>
      <c r="H4" s="5" t="s">
        <v>126</v>
      </c>
      <c r="I4" s="5" t="s">
        <v>127</v>
      </c>
      <c r="J4" s="5" t="s">
        <v>129</v>
      </c>
      <c r="K4" s="5" t="s">
        <v>128</v>
      </c>
      <c r="L4" s="5" t="s">
        <v>130</v>
      </c>
      <c r="M4" s="5" t="s">
        <v>131</v>
      </c>
    </row>
    <row r="5" spans="1:13" x14ac:dyDescent="0.3">
      <c r="A5" t="s">
        <v>21</v>
      </c>
      <c r="B5" t="s">
        <v>109</v>
      </c>
      <c r="C5" t="s">
        <v>74</v>
      </c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3">
      <c r="C6" t="s">
        <v>61</v>
      </c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3">
      <c r="B7" t="s">
        <v>254</v>
      </c>
      <c r="C7" t="s">
        <v>74</v>
      </c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3">
      <c r="C8" t="s">
        <v>61</v>
      </c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3">
      <c r="B9" t="s">
        <v>255</v>
      </c>
      <c r="C9" t="s">
        <v>74</v>
      </c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3">
      <c r="C10" t="s">
        <v>61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B11" t="s">
        <v>256</v>
      </c>
      <c r="C11" t="s">
        <v>61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3">
      <c r="B12" t="s">
        <v>275</v>
      </c>
      <c r="C12" t="s">
        <v>74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3">
      <c r="C13" t="s">
        <v>61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3">
      <c r="A14" s="4" t="s">
        <v>24</v>
      </c>
      <c r="B14" s="4"/>
      <c r="C14" s="4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3">
      <c r="A15" t="s">
        <v>22</v>
      </c>
      <c r="B15" t="s">
        <v>110</v>
      </c>
      <c r="C15" t="s">
        <v>38</v>
      </c>
      <c r="D15" s="10"/>
      <c r="E15" s="10"/>
      <c r="F15" s="10"/>
      <c r="G15" s="10">
        <v>24</v>
      </c>
      <c r="H15" s="10">
        <v>24</v>
      </c>
      <c r="I15" s="10">
        <v>40</v>
      </c>
      <c r="J15" s="10">
        <v>24</v>
      </c>
      <c r="K15" s="10"/>
      <c r="L15" s="10"/>
      <c r="M15" s="10"/>
    </row>
    <row r="16" spans="1:13" x14ac:dyDescent="0.3">
      <c r="C16" t="s">
        <v>69</v>
      </c>
      <c r="D16" s="10"/>
      <c r="E16" s="10"/>
      <c r="F16" s="10"/>
      <c r="G16" s="10">
        <v>24</v>
      </c>
      <c r="H16" s="10">
        <v>24</v>
      </c>
      <c r="I16" s="10">
        <v>40</v>
      </c>
      <c r="J16" s="10">
        <v>24</v>
      </c>
      <c r="K16" s="10"/>
      <c r="L16" s="10"/>
      <c r="M16" s="10"/>
    </row>
    <row r="17" spans="1:13" x14ac:dyDescent="0.3">
      <c r="C17" t="s">
        <v>72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3">
      <c r="B18" t="s">
        <v>111</v>
      </c>
      <c r="C18" t="s">
        <v>38</v>
      </c>
      <c r="D18" s="10">
        <v>32</v>
      </c>
      <c r="E18" s="10"/>
      <c r="F18" s="10"/>
      <c r="G18" s="10"/>
      <c r="H18" s="10"/>
      <c r="I18" s="10"/>
      <c r="J18" s="10"/>
      <c r="K18" s="10"/>
      <c r="L18" s="10">
        <v>8</v>
      </c>
      <c r="M18" s="10"/>
    </row>
    <row r="19" spans="1:13" x14ac:dyDescent="0.3">
      <c r="C19" t="s">
        <v>74</v>
      </c>
      <c r="D19" s="10">
        <v>32</v>
      </c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3">
      <c r="B20" t="s">
        <v>112</v>
      </c>
      <c r="C20" t="s">
        <v>38</v>
      </c>
      <c r="D20" s="10">
        <v>16</v>
      </c>
      <c r="E20" s="10">
        <v>8</v>
      </c>
      <c r="F20" s="10">
        <v>40</v>
      </c>
      <c r="G20" s="10">
        <v>32</v>
      </c>
      <c r="H20" s="10"/>
      <c r="I20" s="10"/>
      <c r="J20" s="10"/>
      <c r="K20" s="10">
        <v>8</v>
      </c>
      <c r="L20" s="10">
        <v>16</v>
      </c>
      <c r="M20" s="10"/>
    </row>
    <row r="21" spans="1:13" x14ac:dyDescent="0.3">
      <c r="C21" t="s">
        <v>74</v>
      </c>
      <c r="D21" s="10"/>
      <c r="E21" s="10"/>
      <c r="F21" s="10"/>
      <c r="G21" s="10"/>
      <c r="H21" s="10"/>
      <c r="I21" s="10"/>
      <c r="J21" s="10"/>
      <c r="K21" s="10">
        <v>8</v>
      </c>
      <c r="L21" s="10">
        <v>16</v>
      </c>
      <c r="M21" s="10"/>
    </row>
    <row r="22" spans="1:13" x14ac:dyDescent="0.3">
      <c r="B22" t="s">
        <v>113</v>
      </c>
      <c r="C22" t="s">
        <v>38</v>
      </c>
      <c r="D22" s="10">
        <v>32</v>
      </c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3">
      <c r="C23" t="s">
        <v>74</v>
      </c>
      <c r="D23" s="10">
        <v>32</v>
      </c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3">
      <c r="B24" t="s">
        <v>114</v>
      </c>
      <c r="C24" t="s">
        <v>38</v>
      </c>
      <c r="D24" s="10"/>
      <c r="E24" s="10"/>
      <c r="F24" s="10"/>
      <c r="G24" s="10"/>
      <c r="H24" s="10"/>
      <c r="I24" s="10"/>
      <c r="J24" s="10"/>
      <c r="K24" s="10"/>
      <c r="L24" s="10">
        <v>32</v>
      </c>
      <c r="M24" s="10"/>
    </row>
    <row r="25" spans="1:13" x14ac:dyDescent="0.3">
      <c r="C25" t="s">
        <v>74</v>
      </c>
      <c r="D25" s="10"/>
      <c r="E25" s="10"/>
      <c r="F25" s="10"/>
      <c r="G25" s="10"/>
      <c r="H25" s="10"/>
      <c r="I25" s="10"/>
      <c r="J25" s="10"/>
      <c r="K25" s="10"/>
      <c r="L25" s="10">
        <v>32</v>
      </c>
      <c r="M25" s="10"/>
    </row>
    <row r="26" spans="1:13" x14ac:dyDescent="0.3">
      <c r="A26" s="4" t="s">
        <v>25</v>
      </c>
      <c r="B26" s="4"/>
      <c r="C26" s="4"/>
      <c r="D26" s="11">
        <v>144</v>
      </c>
      <c r="E26" s="11">
        <v>8</v>
      </c>
      <c r="F26" s="11">
        <v>40</v>
      </c>
      <c r="G26" s="11">
        <v>80</v>
      </c>
      <c r="H26" s="11">
        <v>48</v>
      </c>
      <c r="I26" s="11">
        <v>80</v>
      </c>
      <c r="J26" s="11">
        <v>48</v>
      </c>
      <c r="K26" s="11">
        <v>16</v>
      </c>
      <c r="L26" s="11">
        <v>104</v>
      </c>
      <c r="M26" s="11"/>
    </row>
    <row r="27" spans="1:13" x14ac:dyDescent="0.3">
      <c r="A27" t="s">
        <v>26</v>
      </c>
      <c r="B27" t="s">
        <v>115</v>
      </c>
      <c r="C27" t="s">
        <v>74</v>
      </c>
      <c r="D27" s="10"/>
      <c r="E27" s="10"/>
      <c r="F27" s="10">
        <v>8</v>
      </c>
      <c r="G27" s="10">
        <v>16</v>
      </c>
      <c r="H27" s="10"/>
      <c r="I27" s="10"/>
      <c r="J27" s="10"/>
      <c r="K27" s="10"/>
      <c r="L27" s="10"/>
      <c r="M27" s="10"/>
    </row>
    <row r="28" spans="1:13" x14ac:dyDescent="0.3">
      <c r="C28" t="s">
        <v>132</v>
      </c>
      <c r="D28" s="10"/>
      <c r="E28" s="10"/>
      <c r="F28" s="10">
        <v>8</v>
      </c>
      <c r="G28" s="10">
        <v>16</v>
      </c>
      <c r="H28" s="10"/>
      <c r="I28" s="10"/>
      <c r="J28" s="10"/>
      <c r="K28" s="10"/>
      <c r="L28" s="10"/>
      <c r="M28" s="10"/>
    </row>
    <row r="29" spans="1:13" x14ac:dyDescent="0.3">
      <c r="A29" s="4" t="s">
        <v>27</v>
      </c>
      <c r="B29" s="4"/>
      <c r="C29" s="4"/>
      <c r="D29" s="11"/>
      <c r="E29" s="11"/>
      <c r="F29" s="11">
        <v>16</v>
      </c>
      <c r="G29" s="11">
        <v>32</v>
      </c>
      <c r="H29" s="11"/>
      <c r="I29" s="11"/>
      <c r="J29" s="11"/>
      <c r="K29" s="11"/>
      <c r="L29" s="11"/>
      <c r="M29" s="11"/>
    </row>
    <row r="30" spans="1:13" x14ac:dyDescent="0.3">
      <c r="A30" t="s">
        <v>16</v>
      </c>
      <c r="B30" t="s">
        <v>314</v>
      </c>
      <c r="C30" t="s">
        <v>59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3">
      <c r="C31" t="s">
        <v>72</v>
      </c>
      <c r="D31" s="10"/>
      <c r="E31" s="10"/>
      <c r="F31" s="10"/>
      <c r="G31" s="10">
        <v>8</v>
      </c>
      <c r="H31" s="10">
        <v>24</v>
      </c>
      <c r="I31" s="10">
        <v>40</v>
      </c>
      <c r="J31" s="10">
        <v>8</v>
      </c>
      <c r="K31" s="10">
        <v>24</v>
      </c>
      <c r="L31" s="10"/>
      <c r="M31" s="10"/>
    </row>
    <row r="32" spans="1:13" x14ac:dyDescent="0.3">
      <c r="B32" t="s">
        <v>221</v>
      </c>
      <c r="C32" t="s">
        <v>59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3">
      <c r="A33" s="4" t="s">
        <v>17</v>
      </c>
      <c r="B33" s="4"/>
      <c r="C33" s="4"/>
      <c r="D33" s="11"/>
      <c r="E33" s="11"/>
      <c r="F33" s="11"/>
      <c r="G33" s="11">
        <v>8</v>
      </c>
      <c r="H33" s="11">
        <v>24</v>
      </c>
      <c r="I33" s="11">
        <v>40</v>
      </c>
      <c r="J33" s="11">
        <v>8</v>
      </c>
      <c r="K33" s="11">
        <v>24</v>
      </c>
      <c r="L33" s="11"/>
      <c r="M33" s="11"/>
    </row>
    <row r="34" spans="1:13" x14ac:dyDescent="0.3">
      <c r="A34" t="s">
        <v>20</v>
      </c>
      <c r="B34" t="s">
        <v>116</v>
      </c>
      <c r="C34" t="s">
        <v>59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3">
      <c r="B35" t="s">
        <v>117</v>
      </c>
      <c r="C35" t="s">
        <v>74</v>
      </c>
      <c r="D35" s="10"/>
      <c r="E35" s="10"/>
      <c r="F35" s="10">
        <v>32</v>
      </c>
      <c r="G35" s="10"/>
      <c r="H35" s="10"/>
      <c r="I35" s="10"/>
      <c r="J35" s="10"/>
      <c r="K35" s="10">
        <v>16</v>
      </c>
      <c r="L35" s="10">
        <v>40</v>
      </c>
      <c r="M35" s="10"/>
    </row>
    <row r="36" spans="1:13" x14ac:dyDescent="0.3">
      <c r="C36" t="s">
        <v>59</v>
      </c>
      <c r="D36" s="10"/>
      <c r="E36" s="10"/>
      <c r="F36" s="10">
        <v>32</v>
      </c>
      <c r="G36" s="10"/>
      <c r="H36" s="10"/>
      <c r="I36" s="10"/>
      <c r="J36" s="10"/>
      <c r="K36" s="10">
        <v>16</v>
      </c>
      <c r="L36" s="10">
        <v>40</v>
      </c>
      <c r="M36" s="10"/>
    </row>
    <row r="37" spans="1:13" x14ac:dyDescent="0.3">
      <c r="C37" t="s">
        <v>72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3">
      <c r="B38" t="s">
        <v>118</v>
      </c>
      <c r="C38" t="s">
        <v>74</v>
      </c>
      <c r="D38" s="10"/>
      <c r="E38" s="10"/>
      <c r="F38" s="10"/>
      <c r="G38" s="10"/>
      <c r="H38" s="10"/>
      <c r="I38" s="10"/>
      <c r="J38" s="10">
        <v>16</v>
      </c>
      <c r="K38" s="10">
        <v>16</v>
      </c>
      <c r="L38" s="10"/>
      <c r="M38" s="10"/>
    </row>
    <row r="39" spans="1:13" x14ac:dyDescent="0.3">
      <c r="C39" t="s">
        <v>59</v>
      </c>
      <c r="D39" s="10"/>
      <c r="E39" s="10"/>
      <c r="F39" s="10"/>
      <c r="G39" s="10"/>
      <c r="H39" s="10"/>
      <c r="I39" s="10"/>
      <c r="J39" s="10">
        <v>16</v>
      </c>
      <c r="K39" s="10">
        <v>16</v>
      </c>
      <c r="L39" s="10"/>
      <c r="M39" s="10"/>
    </row>
    <row r="40" spans="1:13" x14ac:dyDescent="0.3">
      <c r="B40" t="s">
        <v>276</v>
      </c>
      <c r="C40" t="s">
        <v>59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3">
      <c r="B41" t="s">
        <v>277</v>
      </c>
      <c r="C41" t="s">
        <v>59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3">
      <c r="A42" s="4" t="s">
        <v>23</v>
      </c>
      <c r="B42" s="4"/>
      <c r="C42" s="4"/>
      <c r="D42" s="11"/>
      <c r="E42" s="11"/>
      <c r="F42" s="11">
        <v>64</v>
      </c>
      <c r="G42" s="11"/>
      <c r="H42" s="11"/>
      <c r="I42" s="11"/>
      <c r="J42" s="11">
        <v>32</v>
      </c>
      <c r="K42" s="11">
        <v>64</v>
      </c>
      <c r="L42" s="11">
        <v>80</v>
      </c>
      <c r="M42" s="11"/>
    </row>
    <row r="43" spans="1:13" x14ac:dyDescent="0.3">
      <c r="A43" t="s">
        <v>18</v>
      </c>
      <c r="B43" t="s">
        <v>119</v>
      </c>
      <c r="C43" t="s">
        <v>74</v>
      </c>
      <c r="D43" s="10"/>
      <c r="E43" s="10">
        <v>40</v>
      </c>
      <c r="F43" s="10"/>
      <c r="G43" s="10"/>
      <c r="H43" s="10"/>
      <c r="I43" s="10"/>
      <c r="J43" s="10"/>
      <c r="K43" s="10"/>
      <c r="L43" s="10"/>
      <c r="M43" s="10"/>
    </row>
    <row r="44" spans="1:13" x14ac:dyDescent="0.3">
      <c r="C44" t="s">
        <v>61</v>
      </c>
      <c r="D44" s="10"/>
      <c r="E44" s="10">
        <v>40</v>
      </c>
      <c r="F44" s="10"/>
      <c r="G44" s="10"/>
      <c r="H44" s="10"/>
      <c r="I44" s="10"/>
      <c r="J44" s="10"/>
      <c r="K44" s="10"/>
      <c r="L44" s="10"/>
      <c r="M44" s="10"/>
    </row>
    <row r="45" spans="1:13" x14ac:dyDescent="0.3">
      <c r="A45" s="4" t="s">
        <v>19</v>
      </c>
      <c r="B45" s="4"/>
      <c r="C45" s="4"/>
      <c r="D45" s="11"/>
      <c r="E45" s="11">
        <v>80</v>
      </c>
      <c r="F45" s="11"/>
      <c r="G45" s="11"/>
      <c r="H45" s="11"/>
      <c r="I45" s="11"/>
      <c r="J45" s="11"/>
      <c r="K45" s="11"/>
      <c r="L45" s="11"/>
      <c r="M45" s="11"/>
    </row>
    <row r="46" spans="1:13" x14ac:dyDescent="0.3">
      <c r="A46" t="s">
        <v>120</v>
      </c>
      <c r="B46" t="s">
        <v>120</v>
      </c>
      <c r="C46" t="s">
        <v>120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3">
      <c r="A47" s="4" t="s">
        <v>121</v>
      </c>
      <c r="B47" s="4"/>
      <c r="C47" s="4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x14ac:dyDescent="0.3">
      <c r="A48" t="s">
        <v>231</v>
      </c>
      <c r="B48" t="s">
        <v>236</v>
      </c>
      <c r="C48" t="s">
        <v>74</v>
      </c>
      <c r="D48" s="10"/>
      <c r="E48" s="10">
        <v>24</v>
      </c>
      <c r="F48" s="10"/>
      <c r="G48" s="10"/>
      <c r="H48" s="10"/>
      <c r="I48" s="10"/>
      <c r="J48" s="10"/>
      <c r="K48" s="10"/>
      <c r="L48" s="10"/>
      <c r="M48" s="10"/>
    </row>
    <row r="49" spans="1:13" x14ac:dyDescent="0.3">
      <c r="A49" s="4" t="s">
        <v>237</v>
      </c>
      <c r="B49" s="4"/>
      <c r="C49" s="4"/>
      <c r="D49" s="11"/>
      <c r="E49" s="11">
        <v>24</v>
      </c>
      <c r="F49" s="11"/>
      <c r="G49" s="11"/>
      <c r="H49" s="11"/>
      <c r="I49" s="11"/>
      <c r="J49" s="11"/>
      <c r="K49" s="11"/>
      <c r="L49" s="11"/>
      <c r="M49" s="11"/>
    </row>
    <row r="50" spans="1:13" x14ac:dyDescent="0.3">
      <c r="A50" t="s">
        <v>267</v>
      </c>
      <c r="B50" t="s">
        <v>278</v>
      </c>
      <c r="C50" t="s">
        <v>132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3">
      <c r="B51" t="s">
        <v>279</v>
      </c>
      <c r="C51" t="s">
        <v>132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3">
      <c r="B52" t="s">
        <v>310</v>
      </c>
      <c r="C52" t="s">
        <v>74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3">
      <c r="C53" t="s">
        <v>59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x14ac:dyDescent="0.3">
      <c r="B54" t="s">
        <v>311</v>
      </c>
      <c r="C54" t="s">
        <v>74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3">
      <c r="C55" t="s">
        <v>59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x14ac:dyDescent="0.3">
      <c r="A56" s="4" t="s">
        <v>280</v>
      </c>
      <c r="B56" s="4"/>
      <c r="C56" s="4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x14ac:dyDescent="0.3">
      <c r="A57" t="s">
        <v>303</v>
      </c>
      <c r="B57" t="s">
        <v>115</v>
      </c>
      <c r="C57" t="s">
        <v>74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x14ac:dyDescent="0.3">
      <c r="C58" t="s">
        <v>132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x14ac:dyDescent="0.3">
      <c r="A59" s="4" t="s">
        <v>312</v>
      </c>
      <c r="B59" s="4"/>
      <c r="C59" s="4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x14ac:dyDescent="0.3">
      <c r="A60" t="s">
        <v>316</v>
      </c>
      <c r="B60" t="s">
        <v>274</v>
      </c>
      <c r="C60" t="s">
        <v>74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x14ac:dyDescent="0.3">
      <c r="C61" t="s">
        <v>61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x14ac:dyDescent="0.3">
      <c r="A62" s="4" t="s">
        <v>325</v>
      </c>
      <c r="B62" s="4"/>
      <c r="C62" s="4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x14ac:dyDescent="0.3">
      <c r="A63" t="s">
        <v>14</v>
      </c>
      <c r="D63" s="10">
        <v>144</v>
      </c>
      <c r="E63" s="10">
        <v>112</v>
      </c>
      <c r="F63" s="10">
        <v>120</v>
      </c>
      <c r="G63" s="10">
        <v>120</v>
      </c>
      <c r="H63" s="10">
        <v>72</v>
      </c>
      <c r="I63" s="10">
        <v>120</v>
      </c>
      <c r="J63" s="10">
        <v>88</v>
      </c>
      <c r="K63" s="10">
        <v>104</v>
      </c>
      <c r="L63" s="10">
        <v>184</v>
      </c>
      <c r="M63" s="10"/>
    </row>
  </sheetData>
  <pageMargins left="0.7" right="0.7" top="0.75" bottom="0.75" header="0.3" footer="0.3"/>
  <pageSetup orientation="portrait" r:id="rId2"/>
  <headerFooter>
    <oddFooter>&amp;L&amp;1#&amp;"Calibri"&amp;10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0925-D4FA-48AD-B872-1E9936287611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S124"/>
  <sheetViews>
    <sheetView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1" width="15.5546875" bestFit="1" customWidth="1"/>
    <col min="2" max="2" width="17.109375" bestFit="1" customWidth="1"/>
    <col min="3" max="3" width="7.5546875" customWidth="1"/>
    <col min="4" max="4" width="8.6640625" customWidth="1"/>
    <col min="5" max="5" width="6.44140625" customWidth="1"/>
    <col min="6" max="6" width="33.109375" bestFit="1" customWidth="1"/>
    <col min="7" max="7" width="10.44140625" customWidth="1"/>
    <col min="8" max="8" width="13.33203125" customWidth="1"/>
    <col min="9" max="9" width="17.109375" bestFit="1" customWidth="1"/>
    <col min="10" max="10" width="7" bestFit="1" customWidth="1"/>
    <col min="11" max="11" width="4.88671875" bestFit="1" customWidth="1"/>
    <col min="12" max="12" width="7.109375" bestFit="1" customWidth="1"/>
    <col min="13" max="13" width="4.88671875" bestFit="1" customWidth="1"/>
    <col min="14" max="14" width="4.88671875" customWidth="1"/>
    <col min="15" max="15" width="4" bestFit="1" customWidth="1"/>
    <col min="16" max="16" width="3.44140625" bestFit="1" customWidth="1"/>
    <col min="17" max="18" width="4" bestFit="1" customWidth="1"/>
    <col min="19" max="20" width="3.6640625" bestFit="1" customWidth="1"/>
    <col min="21" max="28" width="3.44140625" bestFit="1" customWidth="1"/>
    <col min="29" max="29" width="3.6640625" bestFit="1" customWidth="1"/>
    <col min="30" max="30" width="3.44140625" customWidth="1"/>
    <col min="31" max="31" width="3.6640625" customWidth="1"/>
    <col min="32" max="32" width="4.33203125" customWidth="1"/>
    <col min="33" max="33" width="4.88671875" bestFit="1" customWidth="1"/>
    <col min="34" max="34" width="3.6640625" bestFit="1" customWidth="1"/>
    <col min="35" max="36" width="3.44140625" bestFit="1" customWidth="1"/>
    <col min="37" max="37" width="4.33203125" bestFit="1" customWidth="1"/>
    <col min="38" max="39" width="3.6640625" bestFit="1" customWidth="1"/>
    <col min="40" max="40" width="3.44140625" bestFit="1" customWidth="1"/>
    <col min="41" max="41" width="4.33203125" customWidth="1"/>
    <col min="42" max="42" width="4.33203125" bestFit="1" customWidth="1"/>
    <col min="43" max="44" width="6" bestFit="1" customWidth="1"/>
    <col min="45" max="46" width="7.109375" bestFit="1" customWidth="1"/>
    <col min="47" max="48" width="7.6640625" bestFit="1" customWidth="1"/>
  </cols>
  <sheetData>
    <row r="3" spans="1:19" x14ac:dyDescent="0.3">
      <c r="J3" s="1" t="s">
        <v>15</v>
      </c>
    </row>
    <row r="4" spans="1:19" ht="100.8" x14ac:dyDescent="0.3">
      <c r="A4" s="1" t="s">
        <v>0</v>
      </c>
      <c r="B4" s="1" t="s">
        <v>108</v>
      </c>
      <c r="C4" s="1" t="s">
        <v>136</v>
      </c>
      <c r="D4" s="1" t="s">
        <v>4</v>
      </c>
      <c r="E4" s="1" t="s">
        <v>7</v>
      </c>
      <c r="F4" s="1" t="s">
        <v>135</v>
      </c>
      <c r="G4" s="1" t="s">
        <v>5</v>
      </c>
      <c r="H4" s="3" t="s">
        <v>9</v>
      </c>
      <c r="I4" s="3" t="s">
        <v>10</v>
      </c>
      <c r="J4" s="5" t="s">
        <v>122</v>
      </c>
      <c r="K4" s="5" t="s">
        <v>123</v>
      </c>
      <c r="L4" s="5" t="s">
        <v>124</v>
      </c>
      <c r="M4" s="5" t="s">
        <v>125</v>
      </c>
      <c r="N4" s="5" t="s">
        <v>126</v>
      </c>
      <c r="O4" s="5" t="s">
        <v>127</v>
      </c>
      <c r="P4" s="5" t="s">
        <v>129</v>
      </c>
      <c r="Q4" s="5" t="s">
        <v>128</v>
      </c>
      <c r="R4" s="5" t="s">
        <v>130</v>
      </c>
      <c r="S4" s="5" t="s">
        <v>131</v>
      </c>
    </row>
    <row r="5" spans="1:19" x14ac:dyDescent="0.3">
      <c r="A5" t="s">
        <v>21</v>
      </c>
      <c r="B5" t="s">
        <v>109</v>
      </c>
      <c r="C5" s="9">
        <v>43651</v>
      </c>
      <c r="D5" t="s">
        <v>241</v>
      </c>
      <c r="E5" t="s">
        <v>74</v>
      </c>
      <c r="F5" t="s">
        <v>243</v>
      </c>
      <c r="G5" t="s">
        <v>13</v>
      </c>
      <c r="H5">
        <v>10</v>
      </c>
      <c r="I5">
        <v>80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E6" t="s">
        <v>61</v>
      </c>
      <c r="F6" t="s">
        <v>243</v>
      </c>
      <c r="G6" t="s">
        <v>13</v>
      </c>
      <c r="H6">
        <v>10</v>
      </c>
      <c r="I6">
        <v>80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B7" t="s">
        <v>254</v>
      </c>
      <c r="C7" s="9">
        <v>43636</v>
      </c>
      <c r="D7" t="s">
        <v>241</v>
      </c>
      <c r="E7" t="s">
        <v>74</v>
      </c>
      <c r="F7" t="s">
        <v>246</v>
      </c>
      <c r="G7" t="s">
        <v>13</v>
      </c>
      <c r="H7">
        <v>10</v>
      </c>
      <c r="I7">
        <v>80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E8" t="s">
        <v>61</v>
      </c>
      <c r="F8" t="s">
        <v>246</v>
      </c>
      <c r="G8" t="s">
        <v>13</v>
      </c>
      <c r="H8">
        <v>10</v>
      </c>
      <c r="I8">
        <v>80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B9" t="s">
        <v>255</v>
      </c>
      <c r="C9" s="9">
        <v>43657</v>
      </c>
      <c r="D9" t="s">
        <v>34</v>
      </c>
      <c r="E9" t="s">
        <v>74</v>
      </c>
      <c r="F9" t="s">
        <v>249</v>
      </c>
      <c r="G9" t="s">
        <v>13</v>
      </c>
      <c r="H9">
        <v>4</v>
      </c>
      <c r="I9">
        <v>32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E10" t="s">
        <v>61</v>
      </c>
      <c r="F10" t="s">
        <v>249</v>
      </c>
      <c r="G10" t="s">
        <v>13</v>
      </c>
      <c r="H10">
        <v>4</v>
      </c>
      <c r="I10">
        <v>32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B11" t="s">
        <v>256</v>
      </c>
      <c r="C11" s="9">
        <v>43766</v>
      </c>
      <c r="D11" t="s">
        <v>12</v>
      </c>
      <c r="E11" t="s">
        <v>61</v>
      </c>
      <c r="F11" t="s">
        <v>252</v>
      </c>
      <c r="G11" t="s">
        <v>13</v>
      </c>
      <c r="H11">
        <v>30</v>
      </c>
      <c r="I11">
        <v>240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B12" t="s">
        <v>275</v>
      </c>
      <c r="C12" s="9">
        <v>43734</v>
      </c>
      <c r="D12" t="s">
        <v>241</v>
      </c>
      <c r="E12" t="s">
        <v>74</v>
      </c>
      <c r="F12" t="s">
        <v>253</v>
      </c>
      <c r="G12" t="s">
        <v>13</v>
      </c>
      <c r="H12">
        <v>15</v>
      </c>
      <c r="I12">
        <v>120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E13" t="s">
        <v>61</v>
      </c>
      <c r="F13" t="s">
        <v>253</v>
      </c>
      <c r="G13" t="s">
        <v>13</v>
      </c>
      <c r="H13">
        <v>15</v>
      </c>
      <c r="I13">
        <v>120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6" t="s">
        <v>24</v>
      </c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3">
      <c r="A15" t="s">
        <v>22</v>
      </c>
      <c r="B15" t="s">
        <v>110</v>
      </c>
      <c r="C15" s="9">
        <v>43795</v>
      </c>
      <c r="D15" t="s">
        <v>49</v>
      </c>
      <c r="E15" t="s">
        <v>38</v>
      </c>
      <c r="F15" t="s">
        <v>144</v>
      </c>
      <c r="G15" t="s">
        <v>43</v>
      </c>
      <c r="H15">
        <v>5</v>
      </c>
      <c r="I15">
        <v>40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E16" t="s">
        <v>69</v>
      </c>
      <c r="F16" t="s">
        <v>144</v>
      </c>
      <c r="G16" t="s">
        <v>43</v>
      </c>
      <c r="H16">
        <v>5</v>
      </c>
      <c r="I16">
        <v>40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3:19" x14ac:dyDescent="0.3">
      <c r="C17" s="9">
        <v>43628</v>
      </c>
      <c r="D17" t="s">
        <v>48</v>
      </c>
      <c r="E17" t="s">
        <v>38</v>
      </c>
      <c r="F17" t="s">
        <v>142</v>
      </c>
      <c r="G17" t="s">
        <v>13</v>
      </c>
      <c r="H17">
        <v>10</v>
      </c>
      <c r="I17">
        <v>80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3:19" x14ac:dyDescent="0.3">
      <c r="E18" t="s">
        <v>69</v>
      </c>
      <c r="F18" t="s">
        <v>142</v>
      </c>
      <c r="G18" t="s">
        <v>13</v>
      </c>
      <c r="H18">
        <v>10</v>
      </c>
      <c r="I18">
        <v>80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3:19" x14ac:dyDescent="0.3">
      <c r="C19" s="9">
        <v>43418</v>
      </c>
      <c r="D19" t="s">
        <v>75</v>
      </c>
      <c r="E19" t="s">
        <v>38</v>
      </c>
      <c r="F19" t="s">
        <v>182</v>
      </c>
      <c r="G19" t="s">
        <v>76</v>
      </c>
      <c r="H19">
        <v>14</v>
      </c>
      <c r="I19">
        <v>112</v>
      </c>
      <c r="J19" s="2"/>
      <c r="K19" s="2"/>
      <c r="L19" s="2"/>
      <c r="M19" s="2">
        <v>24</v>
      </c>
      <c r="N19" s="2">
        <v>24</v>
      </c>
      <c r="O19" s="2">
        <v>40</v>
      </c>
      <c r="P19" s="2">
        <v>24</v>
      </c>
      <c r="Q19" s="2"/>
      <c r="R19" s="2"/>
      <c r="S19" s="2"/>
    </row>
    <row r="20" spans="3:19" x14ac:dyDescent="0.3">
      <c r="E20" t="s">
        <v>69</v>
      </c>
      <c r="F20" t="s">
        <v>182</v>
      </c>
      <c r="G20" t="s">
        <v>76</v>
      </c>
      <c r="H20">
        <v>14</v>
      </c>
      <c r="I20">
        <v>112</v>
      </c>
      <c r="J20" s="2"/>
      <c r="K20" s="2"/>
      <c r="L20" s="2"/>
      <c r="M20" s="2">
        <v>24</v>
      </c>
      <c r="N20" s="2">
        <v>24</v>
      </c>
      <c r="O20" s="2">
        <v>40</v>
      </c>
      <c r="P20" s="2">
        <v>24</v>
      </c>
      <c r="Q20" s="2"/>
      <c r="R20" s="2"/>
      <c r="S20" s="2"/>
    </row>
    <row r="21" spans="3:19" x14ac:dyDescent="0.3">
      <c r="C21" s="9">
        <v>43643</v>
      </c>
      <c r="D21" t="s">
        <v>70</v>
      </c>
      <c r="E21" t="s">
        <v>72</v>
      </c>
      <c r="F21" t="s">
        <v>178</v>
      </c>
      <c r="G21" t="s">
        <v>71</v>
      </c>
      <c r="H21">
        <v>10</v>
      </c>
      <c r="I21">
        <v>80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3:19" x14ac:dyDescent="0.3">
      <c r="C22" s="9">
        <v>43585</v>
      </c>
      <c r="D22" t="s">
        <v>133</v>
      </c>
      <c r="E22" t="s">
        <v>38</v>
      </c>
      <c r="F22" t="s">
        <v>177</v>
      </c>
      <c r="G22" t="s">
        <v>51</v>
      </c>
      <c r="H22">
        <v>2</v>
      </c>
      <c r="I22">
        <v>16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3:19" x14ac:dyDescent="0.3">
      <c r="E23" t="s">
        <v>69</v>
      </c>
      <c r="F23" t="s">
        <v>177</v>
      </c>
      <c r="G23" t="s">
        <v>51</v>
      </c>
      <c r="H23">
        <v>2</v>
      </c>
      <c r="I23">
        <v>16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3:19" x14ac:dyDescent="0.3">
      <c r="C24" s="9">
        <v>43592</v>
      </c>
      <c r="D24" t="s">
        <v>133</v>
      </c>
      <c r="E24" t="s">
        <v>38</v>
      </c>
      <c r="F24" t="s">
        <v>176</v>
      </c>
      <c r="G24" t="s">
        <v>13</v>
      </c>
      <c r="H24">
        <v>15</v>
      </c>
      <c r="I24">
        <v>120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3:19" x14ac:dyDescent="0.3">
      <c r="E25" t="s">
        <v>69</v>
      </c>
      <c r="F25" t="s">
        <v>176</v>
      </c>
      <c r="G25" t="s">
        <v>13</v>
      </c>
      <c r="H25">
        <v>15</v>
      </c>
      <c r="I25">
        <v>120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3:19" x14ac:dyDescent="0.3">
      <c r="C26" s="9">
        <v>43531</v>
      </c>
      <c r="D26" t="s">
        <v>47</v>
      </c>
      <c r="E26" t="s">
        <v>38</v>
      </c>
      <c r="F26" t="s">
        <v>141</v>
      </c>
      <c r="G26" t="s">
        <v>13</v>
      </c>
      <c r="H26">
        <v>13</v>
      </c>
      <c r="I26">
        <v>104</v>
      </c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3:19" x14ac:dyDescent="0.3">
      <c r="E27" t="s">
        <v>69</v>
      </c>
      <c r="F27" t="s">
        <v>141</v>
      </c>
      <c r="G27" t="s">
        <v>13</v>
      </c>
      <c r="H27">
        <v>13</v>
      </c>
      <c r="I27">
        <v>104</v>
      </c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3:19" x14ac:dyDescent="0.3">
      <c r="C28" s="9">
        <v>43805</v>
      </c>
      <c r="D28" t="s">
        <v>49</v>
      </c>
      <c r="E28" t="s">
        <v>38</v>
      </c>
      <c r="F28" t="s">
        <v>145</v>
      </c>
      <c r="G28" t="s">
        <v>45</v>
      </c>
      <c r="H28">
        <v>4</v>
      </c>
      <c r="I28">
        <v>32</v>
      </c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3:19" x14ac:dyDescent="0.3">
      <c r="E29" t="s">
        <v>69</v>
      </c>
      <c r="F29" t="s">
        <v>145</v>
      </c>
      <c r="G29" t="s">
        <v>45</v>
      </c>
      <c r="H29">
        <v>4</v>
      </c>
      <c r="I29">
        <v>32</v>
      </c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3:19" x14ac:dyDescent="0.3">
      <c r="C30" s="9">
        <v>43788</v>
      </c>
      <c r="D30" t="s">
        <v>49</v>
      </c>
      <c r="E30" t="s">
        <v>38</v>
      </c>
      <c r="F30" t="s">
        <v>146</v>
      </c>
      <c r="G30" t="s">
        <v>46</v>
      </c>
      <c r="H30">
        <v>2</v>
      </c>
      <c r="I30">
        <v>16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3:19" x14ac:dyDescent="0.3">
      <c r="E31" t="s">
        <v>69</v>
      </c>
      <c r="F31" t="s">
        <v>146</v>
      </c>
      <c r="G31" t="s">
        <v>46</v>
      </c>
      <c r="H31">
        <v>2</v>
      </c>
      <c r="I31">
        <v>16</v>
      </c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3:19" x14ac:dyDescent="0.3">
      <c r="C32" s="9">
        <v>43784</v>
      </c>
      <c r="D32" t="s">
        <v>49</v>
      </c>
      <c r="E32" t="s">
        <v>38</v>
      </c>
      <c r="F32" t="s">
        <v>143</v>
      </c>
      <c r="G32" t="s">
        <v>42</v>
      </c>
      <c r="H32">
        <v>2</v>
      </c>
      <c r="I32">
        <v>16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2:19" x14ac:dyDescent="0.3">
      <c r="E33" t="s">
        <v>69</v>
      </c>
      <c r="F33" t="s">
        <v>143</v>
      </c>
      <c r="G33" t="s">
        <v>42</v>
      </c>
      <c r="H33">
        <v>2</v>
      </c>
      <c r="I33">
        <v>16</v>
      </c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2:19" x14ac:dyDescent="0.3">
      <c r="C34" s="9">
        <v>43658</v>
      </c>
      <c r="D34" t="s">
        <v>73</v>
      </c>
      <c r="E34" t="s">
        <v>72</v>
      </c>
      <c r="F34" t="s">
        <v>179</v>
      </c>
      <c r="G34" t="s">
        <v>13</v>
      </c>
      <c r="H34">
        <v>3</v>
      </c>
      <c r="I34">
        <v>24</v>
      </c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2:19" x14ac:dyDescent="0.3">
      <c r="B35" t="s">
        <v>111</v>
      </c>
      <c r="C35" s="9">
        <v>43455</v>
      </c>
      <c r="D35" t="s">
        <v>40</v>
      </c>
      <c r="E35" t="s">
        <v>38</v>
      </c>
      <c r="F35" t="s">
        <v>139</v>
      </c>
      <c r="G35" t="s">
        <v>13</v>
      </c>
      <c r="H35">
        <v>3</v>
      </c>
      <c r="I35">
        <v>24</v>
      </c>
      <c r="J35" s="2"/>
      <c r="K35" s="2"/>
      <c r="L35" s="2"/>
      <c r="M35" s="2"/>
      <c r="N35" s="2"/>
      <c r="O35" s="2"/>
      <c r="P35" s="2"/>
      <c r="Q35" s="2"/>
      <c r="R35" s="2">
        <v>8</v>
      </c>
      <c r="S35" s="2"/>
    </row>
    <row r="36" spans="2:19" x14ac:dyDescent="0.3">
      <c r="C36" t="s">
        <v>315</v>
      </c>
      <c r="D36" t="s">
        <v>41</v>
      </c>
      <c r="E36" t="s">
        <v>38</v>
      </c>
      <c r="F36" t="s">
        <v>140</v>
      </c>
      <c r="G36" t="s">
        <v>45</v>
      </c>
      <c r="H36">
        <v>4</v>
      </c>
      <c r="I36">
        <v>32</v>
      </c>
      <c r="J36" s="2">
        <v>32</v>
      </c>
      <c r="K36" s="2"/>
      <c r="L36" s="2"/>
      <c r="M36" s="2"/>
      <c r="N36" s="2"/>
      <c r="O36" s="2"/>
      <c r="P36" s="2"/>
      <c r="Q36" s="2"/>
      <c r="R36" s="2"/>
      <c r="S36" s="2"/>
    </row>
    <row r="37" spans="2:19" x14ac:dyDescent="0.3">
      <c r="E37" t="s">
        <v>74</v>
      </c>
      <c r="F37" t="s">
        <v>140</v>
      </c>
      <c r="G37" t="s">
        <v>45</v>
      </c>
      <c r="H37">
        <v>4</v>
      </c>
      <c r="I37">
        <v>32</v>
      </c>
      <c r="J37" s="2">
        <v>32</v>
      </c>
      <c r="K37" s="2"/>
      <c r="L37" s="2"/>
      <c r="M37" s="2"/>
      <c r="N37" s="2"/>
      <c r="O37" s="2"/>
      <c r="P37" s="2"/>
      <c r="Q37" s="2"/>
      <c r="R37" s="2"/>
      <c r="S37" s="2"/>
    </row>
    <row r="38" spans="2:19" x14ac:dyDescent="0.3">
      <c r="B38" t="s">
        <v>112</v>
      </c>
      <c r="C38" s="9">
        <v>43515</v>
      </c>
      <c r="D38" t="s">
        <v>53</v>
      </c>
      <c r="E38" t="s">
        <v>38</v>
      </c>
      <c r="F38" t="s">
        <v>151</v>
      </c>
      <c r="G38" t="s">
        <v>13</v>
      </c>
      <c r="H38">
        <v>15</v>
      </c>
      <c r="I38">
        <v>120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2:19" x14ac:dyDescent="0.3">
      <c r="C39" s="9">
        <v>43649</v>
      </c>
      <c r="D39" t="s">
        <v>288</v>
      </c>
      <c r="E39" t="s">
        <v>38</v>
      </c>
      <c r="F39" t="s">
        <v>290</v>
      </c>
      <c r="G39" t="s">
        <v>42</v>
      </c>
      <c r="H39">
        <v>2</v>
      </c>
      <c r="I39">
        <v>16</v>
      </c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2:19" x14ac:dyDescent="0.3">
      <c r="E40" t="s">
        <v>74</v>
      </c>
      <c r="F40" t="s">
        <v>290</v>
      </c>
      <c r="G40" t="s">
        <v>42</v>
      </c>
      <c r="H40">
        <v>2</v>
      </c>
      <c r="I40">
        <v>16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2:19" x14ac:dyDescent="0.3">
      <c r="C41" s="9">
        <v>43398</v>
      </c>
      <c r="D41" t="s">
        <v>227</v>
      </c>
      <c r="E41" t="s">
        <v>38</v>
      </c>
      <c r="F41" t="s">
        <v>148</v>
      </c>
      <c r="G41" t="s">
        <v>51</v>
      </c>
      <c r="H41">
        <v>2</v>
      </c>
      <c r="I41">
        <v>16</v>
      </c>
      <c r="J41" s="2">
        <v>16</v>
      </c>
      <c r="K41" s="2"/>
      <c r="L41" s="2"/>
      <c r="M41" s="2"/>
      <c r="N41" s="2"/>
      <c r="O41" s="2"/>
      <c r="P41" s="2"/>
      <c r="Q41" s="2"/>
      <c r="R41" s="2"/>
      <c r="S41" s="2"/>
    </row>
    <row r="42" spans="2:19" x14ac:dyDescent="0.3">
      <c r="C42" s="9">
        <v>43654</v>
      </c>
      <c r="D42" t="s">
        <v>288</v>
      </c>
      <c r="E42" t="s">
        <v>38</v>
      </c>
      <c r="F42" t="s">
        <v>294</v>
      </c>
      <c r="G42" t="s">
        <v>46</v>
      </c>
      <c r="H42">
        <v>2</v>
      </c>
      <c r="I42">
        <v>16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2:19" x14ac:dyDescent="0.3">
      <c r="E43" t="s">
        <v>74</v>
      </c>
      <c r="F43" t="s">
        <v>294</v>
      </c>
      <c r="G43" t="s">
        <v>46</v>
      </c>
      <c r="H43">
        <v>2</v>
      </c>
      <c r="I43">
        <v>16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2:19" x14ac:dyDescent="0.3">
      <c r="C44" s="9">
        <v>43448</v>
      </c>
      <c r="D44" t="s">
        <v>50</v>
      </c>
      <c r="E44" t="s">
        <v>38</v>
      </c>
      <c r="F44" t="s">
        <v>147</v>
      </c>
      <c r="G44" t="s">
        <v>13</v>
      </c>
      <c r="H44">
        <v>3</v>
      </c>
      <c r="I44">
        <v>24</v>
      </c>
      <c r="J44" s="2"/>
      <c r="K44" s="2"/>
      <c r="L44" s="2"/>
      <c r="M44" s="2"/>
      <c r="N44" s="2"/>
      <c r="O44" s="2"/>
      <c r="P44" s="2"/>
      <c r="Q44" s="2">
        <v>8</v>
      </c>
      <c r="R44" s="2">
        <v>16</v>
      </c>
      <c r="S44" s="2"/>
    </row>
    <row r="45" spans="2:19" x14ac:dyDescent="0.3">
      <c r="E45" t="s">
        <v>74</v>
      </c>
      <c r="F45" t="s">
        <v>147</v>
      </c>
      <c r="G45" t="s">
        <v>13</v>
      </c>
      <c r="H45">
        <v>3</v>
      </c>
      <c r="I45">
        <v>24</v>
      </c>
      <c r="J45" s="2"/>
      <c r="K45" s="2"/>
      <c r="L45" s="2"/>
      <c r="M45" s="2"/>
      <c r="N45" s="2"/>
      <c r="O45" s="2"/>
      <c r="P45" s="2"/>
      <c r="Q45" s="2">
        <v>8</v>
      </c>
      <c r="R45" s="2">
        <v>16</v>
      </c>
      <c r="S45" s="2"/>
    </row>
    <row r="46" spans="2:19" x14ac:dyDescent="0.3">
      <c r="C46" s="9">
        <v>43594</v>
      </c>
      <c r="D46" t="s">
        <v>52</v>
      </c>
      <c r="E46" t="s">
        <v>38</v>
      </c>
      <c r="F46" t="s">
        <v>150</v>
      </c>
      <c r="G46" t="s">
        <v>13</v>
      </c>
      <c r="H46">
        <v>10</v>
      </c>
      <c r="I46">
        <v>80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2:19" x14ac:dyDescent="0.3">
      <c r="C47" s="9">
        <v>43406</v>
      </c>
      <c r="D47" t="s">
        <v>227</v>
      </c>
      <c r="E47" t="s">
        <v>38</v>
      </c>
      <c r="F47" t="s">
        <v>149</v>
      </c>
      <c r="G47" t="s">
        <v>285</v>
      </c>
      <c r="H47">
        <v>10</v>
      </c>
      <c r="I47">
        <v>80</v>
      </c>
      <c r="J47" s="2"/>
      <c r="K47" s="2">
        <v>8</v>
      </c>
      <c r="L47" s="2">
        <v>40</v>
      </c>
      <c r="M47" s="2">
        <v>32</v>
      </c>
      <c r="N47" s="2"/>
      <c r="O47" s="2"/>
      <c r="P47" s="2"/>
      <c r="Q47" s="2"/>
      <c r="R47" s="2"/>
      <c r="S47" s="2"/>
    </row>
    <row r="48" spans="2:19" x14ac:dyDescent="0.3">
      <c r="C48" s="9">
        <v>43661</v>
      </c>
      <c r="D48" t="s">
        <v>288</v>
      </c>
      <c r="E48" t="s">
        <v>38</v>
      </c>
      <c r="F48" t="s">
        <v>291</v>
      </c>
      <c r="G48" t="s">
        <v>292</v>
      </c>
      <c r="H48">
        <v>5</v>
      </c>
      <c r="I48">
        <v>40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3">
      <c r="E49" t="s">
        <v>74</v>
      </c>
      <c r="F49" t="s">
        <v>291</v>
      </c>
      <c r="G49" t="s">
        <v>292</v>
      </c>
      <c r="H49">
        <v>5</v>
      </c>
      <c r="I49">
        <v>40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3">
      <c r="C50" s="9">
        <v>43668</v>
      </c>
      <c r="D50" t="s">
        <v>288</v>
      </c>
      <c r="E50" t="s">
        <v>38</v>
      </c>
      <c r="F50" t="s">
        <v>293</v>
      </c>
      <c r="G50" t="s">
        <v>45</v>
      </c>
      <c r="H50">
        <v>4</v>
      </c>
      <c r="I50">
        <v>32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">
      <c r="E51" t="s">
        <v>74</v>
      </c>
      <c r="F51" t="s">
        <v>293</v>
      </c>
      <c r="G51" t="s">
        <v>45</v>
      </c>
      <c r="H51">
        <v>4</v>
      </c>
      <c r="I51">
        <v>32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3">
      <c r="B52" t="s">
        <v>113</v>
      </c>
      <c r="C52" s="9">
        <v>43532</v>
      </c>
      <c r="D52" t="s">
        <v>35</v>
      </c>
      <c r="E52" t="s">
        <v>38</v>
      </c>
      <c r="F52" t="s">
        <v>153</v>
      </c>
      <c r="G52" t="s">
        <v>51</v>
      </c>
      <c r="H52">
        <v>2</v>
      </c>
      <c r="I52">
        <v>16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3">
      <c r="C53" s="9">
        <v>43594</v>
      </c>
      <c r="D53" t="s">
        <v>55</v>
      </c>
      <c r="E53" t="s">
        <v>38</v>
      </c>
      <c r="F53" t="s">
        <v>155</v>
      </c>
      <c r="G53" t="s">
        <v>13</v>
      </c>
      <c r="H53">
        <v>10</v>
      </c>
      <c r="I53">
        <v>80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3">
      <c r="C54" s="9">
        <v>43539</v>
      </c>
      <c r="D54" t="s">
        <v>35</v>
      </c>
      <c r="E54" t="s">
        <v>38</v>
      </c>
      <c r="F54" t="s">
        <v>154</v>
      </c>
      <c r="G54" t="s">
        <v>13</v>
      </c>
      <c r="H54">
        <v>10</v>
      </c>
      <c r="I54">
        <v>80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3">
      <c r="C55" t="s">
        <v>315</v>
      </c>
      <c r="D55" t="s">
        <v>54</v>
      </c>
      <c r="E55" t="s">
        <v>38</v>
      </c>
      <c r="F55" t="s">
        <v>152</v>
      </c>
      <c r="G55" t="s">
        <v>45</v>
      </c>
      <c r="H55">
        <v>4</v>
      </c>
      <c r="I55">
        <v>32</v>
      </c>
      <c r="J55" s="2">
        <v>32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3">
      <c r="E56" t="s">
        <v>74</v>
      </c>
      <c r="F56" t="s">
        <v>152</v>
      </c>
      <c r="G56" t="s">
        <v>45</v>
      </c>
      <c r="H56">
        <v>4</v>
      </c>
      <c r="I56">
        <v>32</v>
      </c>
      <c r="J56" s="2">
        <v>32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3">
      <c r="B57" t="s">
        <v>114</v>
      </c>
      <c r="C57" s="9">
        <v>43479</v>
      </c>
      <c r="D57" t="s">
        <v>224</v>
      </c>
      <c r="E57" t="s">
        <v>38</v>
      </c>
      <c r="F57" t="s">
        <v>226</v>
      </c>
      <c r="G57" t="s">
        <v>13</v>
      </c>
      <c r="H57">
        <v>4</v>
      </c>
      <c r="I57">
        <v>32</v>
      </c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3">
      <c r="E58" t="s">
        <v>74</v>
      </c>
      <c r="F58" t="s">
        <v>226</v>
      </c>
      <c r="G58" t="s">
        <v>13</v>
      </c>
      <c r="H58">
        <v>4</v>
      </c>
      <c r="I58">
        <v>32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3">
      <c r="C59" s="9">
        <v>43452</v>
      </c>
      <c r="D59" t="s">
        <v>47</v>
      </c>
      <c r="E59" t="s">
        <v>38</v>
      </c>
      <c r="F59" t="s">
        <v>156</v>
      </c>
      <c r="G59" t="s">
        <v>13</v>
      </c>
      <c r="H59">
        <v>7</v>
      </c>
      <c r="I59">
        <v>56</v>
      </c>
      <c r="J59" s="2"/>
      <c r="K59" s="2"/>
      <c r="L59" s="2"/>
      <c r="M59" s="2"/>
      <c r="N59" s="2"/>
      <c r="O59" s="2"/>
      <c r="P59" s="2"/>
      <c r="Q59" s="2"/>
      <c r="R59" s="2">
        <v>32</v>
      </c>
      <c r="S59" s="2"/>
    </row>
    <row r="60" spans="1:19" x14ac:dyDescent="0.3">
      <c r="E60" t="s">
        <v>74</v>
      </c>
      <c r="F60" t="s">
        <v>156</v>
      </c>
      <c r="G60" t="s">
        <v>13</v>
      </c>
      <c r="H60">
        <v>7</v>
      </c>
      <c r="I60">
        <v>56</v>
      </c>
      <c r="J60" s="2"/>
      <c r="K60" s="2"/>
      <c r="L60" s="2"/>
      <c r="M60" s="2"/>
      <c r="N60" s="2"/>
      <c r="O60" s="2"/>
      <c r="P60" s="2"/>
      <c r="Q60" s="2"/>
      <c r="R60" s="2">
        <v>32</v>
      </c>
      <c r="S60" s="2"/>
    </row>
    <row r="61" spans="1:19" x14ac:dyDescent="0.3">
      <c r="C61" s="9">
        <v>43580</v>
      </c>
      <c r="D61" t="s">
        <v>222</v>
      </c>
      <c r="E61" t="s">
        <v>38</v>
      </c>
      <c r="F61" t="s">
        <v>157</v>
      </c>
      <c r="G61" t="s">
        <v>13</v>
      </c>
      <c r="H61">
        <v>6</v>
      </c>
      <c r="I61">
        <v>48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3">
      <c r="E62" t="s">
        <v>74</v>
      </c>
      <c r="F62" t="s">
        <v>157</v>
      </c>
      <c r="G62" t="s">
        <v>13</v>
      </c>
      <c r="H62">
        <v>6</v>
      </c>
      <c r="I62">
        <v>48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3">
      <c r="A63" s="6" t="s">
        <v>25</v>
      </c>
      <c r="B63" s="6"/>
      <c r="C63" s="6"/>
      <c r="D63" s="6"/>
      <c r="E63" s="6"/>
      <c r="F63" s="6"/>
      <c r="G63" s="6"/>
      <c r="H63" s="6"/>
      <c r="I63" s="6"/>
      <c r="J63" s="7">
        <v>144</v>
      </c>
      <c r="K63" s="7">
        <v>8</v>
      </c>
      <c r="L63" s="7">
        <v>40</v>
      </c>
      <c r="M63" s="7">
        <v>80</v>
      </c>
      <c r="N63" s="7">
        <v>48</v>
      </c>
      <c r="O63" s="7">
        <v>80</v>
      </c>
      <c r="P63" s="7">
        <v>48</v>
      </c>
      <c r="Q63" s="7">
        <v>16</v>
      </c>
      <c r="R63" s="7">
        <v>104</v>
      </c>
      <c r="S63" s="7"/>
    </row>
    <row r="64" spans="1:19" x14ac:dyDescent="0.3">
      <c r="A64" t="s">
        <v>26</v>
      </c>
      <c r="B64" t="s">
        <v>115</v>
      </c>
      <c r="C64" s="9">
        <v>43516</v>
      </c>
      <c r="D64" t="s">
        <v>12</v>
      </c>
      <c r="E64" t="s">
        <v>132</v>
      </c>
      <c r="F64" t="s">
        <v>171</v>
      </c>
      <c r="G64" t="s">
        <v>286</v>
      </c>
      <c r="H64">
        <v>9</v>
      </c>
      <c r="I64">
        <v>72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3">
      <c r="C65" s="9">
        <v>43621</v>
      </c>
      <c r="D65" t="s">
        <v>54</v>
      </c>
      <c r="E65" t="s">
        <v>74</v>
      </c>
      <c r="F65" t="s">
        <v>175</v>
      </c>
      <c r="G65" t="s">
        <v>46</v>
      </c>
      <c r="H65">
        <v>2</v>
      </c>
      <c r="I65">
        <v>16</v>
      </c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3">
      <c r="E66" t="s">
        <v>132</v>
      </c>
      <c r="F66" t="s">
        <v>175</v>
      </c>
      <c r="G66" t="s">
        <v>46</v>
      </c>
      <c r="H66">
        <v>2</v>
      </c>
      <c r="I66">
        <v>16</v>
      </c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3">
      <c r="C67" s="9">
        <v>43535</v>
      </c>
      <c r="D67" t="s">
        <v>64</v>
      </c>
      <c r="E67" t="s">
        <v>132</v>
      </c>
      <c r="F67" t="s">
        <v>168</v>
      </c>
      <c r="G67" t="s">
        <v>65</v>
      </c>
      <c r="H67">
        <v>5</v>
      </c>
      <c r="I67">
        <v>40</v>
      </c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3">
      <c r="C68" s="9">
        <v>43657</v>
      </c>
      <c r="D68" t="s">
        <v>77</v>
      </c>
      <c r="E68" t="s">
        <v>74</v>
      </c>
      <c r="F68" t="s">
        <v>183</v>
      </c>
      <c r="G68" t="s">
        <v>13</v>
      </c>
      <c r="H68">
        <v>2</v>
      </c>
      <c r="I68">
        <v>16</v>
      </c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3">
      <c r="C69" s="9">
        <v>43556</v>
      </c>
      <c r="D69" t="s">
        <v>66</v>
      </c>
      <c r="E69" t="s">
        <v>74</v>
      </c>
      <c r="F69" t="s">
        <v>169</v>
      </c>
      <c r="G69" t="s">
        <v>13</v>
      </c>
      <c r="H69">
        <v>8</v>
      </c>
      <c r="I69">
        <v>64</v>
      </c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3">
      <c r="E70" t="s">
        <v>132</v>
      </c>
      <c r="F70" t="s">
        <v>169</v>
      </c>
      <c r="G70" t="s">
        <v>13</v>
      </c>
      <c r="H70">
        <v>8</v>
      </c>
      <c r="I70">
        <v>64</v>
      </c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3">
      <c r="C71" s="9">
        <v>43594</v>
      </c>
      <c r="D71" t="s">
        <v>54</v>
      </c>
      <c r="E71" t="s">
        <v>74</v>
      </c>
      <c r="F71" t="s">
        <v>172</v>
      </c>
      <c r="G71" t="s">
        <v>42</v>
      </c>
      <c r="H71">
        <v>2</v>
      </c>
      <c r="I71">
        <v>16</v>
      </c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3">
      <c r="E72" t="s">
        <v>132</v>
      </c>
      <c r="F72" t="s">
        <v>172</v>
      </c>
      <c r="G72" t="s">
        <v>42</v>
      </c>
      <c r="H72">
        <v>2</v>
      </c>
      <c r="I72">
        <v>16</v>
      </c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3">
      <c r="C73" s="9">
        <v>43567</v>
      </c>
      <c r="D73" t="s">
        <v>56</v>
      </c>
      <c r="E73" t="s">
        <v>132</v>
      </c>
      <c r="F73" t="s">
        <v>170</v>
      </c>
      <c r="G73" t="s">
        <v>13</v>
      </c>
      <c r="H73">
        <v>3</v>
      </c>
      <c r="I73">
        <v>24</v>
      </c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3">
      <c r="C74" s="9">
        <v>43413</v>
      </c>
      <c r="D74" t="s">
        <v>282</v>
      </c>
      <c r="E74" t="s">
        <v>74</v>
      </c>
      <c r="F74" t="s">
        <v>284</v>
      </c>
      <c r="G74" t="s">
        <v>13</v>
      </c>
      <c r="H74">
        <v>3</v>
      </c>
      <c r="I74">
        <v>24</v>
      </c>
      <c r="J74" s="2"/>
      <c r="K74" s="2"/>
      <c r="L74" s="2">
        <v>8</v>
      </c>
      <c r="M74" s="2">
        <v>16</v>
      </c>
      <c r="N74" s="2"/>
      <c r="O74" s="2"/>
      <c r="P74" s="2"/>
      <c r="Q74" s="2"/>
      <c r="R74" s="2"/>
      <c r="S74" s="2"/>
    </row>
    <row r="75" spans="1:19" x14ac:dyDescent="0.3">
      <c r="E75" t="s">
        <v>132</v>
      </c>
      <c r="F75" t="s">
        <v>284</v>
      </c>
      <c r="G75" t="s">
        <v>13</v>
      </c>
      <c r="H75">
        <v>3</v>
      </c>
      <c r="I75">
        <v>24</v>
      </c>
      <c r="J75" s="2"/>
      <c r="K75" s="2"/>
      <c r="L75" s="2">
        <v>8</v>
      </c>
      <c r="M75" s="2">
        <v>16</v>
      </c>
      <c r="N75" s="2"/>
      <c r="O75" s="2"/>
      <c r="P75" s="2"/>
      <c r="Q75" s="2"/>
      <c r="R75" s="2"/>
      <c r="S75" s="2"/>
    </row>
    <row r="76" spans="1:19" x14ac:dyDescent="0.3">
      <c r="C76" s="9">
        <v>43609</v>
      </c>
      <c r="D76" t="s">
        <v>54</v>
      </c>
      <c r="E76" t="s">
        <v>74</v>
      </c>
      <c r="F76" t="s">
        <v>174</v>
      </c>
      <c r="G76" t="s">
        <v>45</v>
      </c>
      <c r="H76">
        <v>4</v>
      </c>
      <c r="I76">
        <v>32</v>
      </c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3">
      <c r="E77" t="s">
        <v>132</v>
      </c>
      <c r="F77" t="s">
        <v>174</v>
      </c>
      <c r="G77" t="s">
        <v>45</v>
      </c>
      <c r="H77">
        <v>4</v>
      </c>
      <c r="I77">
        <v>32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3">
      <c r="C78" s="9">
        <v>43601</v>
      </c>
      <c r="D78" t="s">
        <v>54</v>
      </c>
      <c r="E78" t="s">
        <v>74</v>
      </c>
      <c r="F78" t="s">
        <v>173</v>
      </c>
      <c r="G78" t="s">
        <v>43</v>
      </c>
      <c r="H78">
        <v>5</v>
      </c>
      <c r="I78">
        <v>40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3">
      <c r="E79" t="s">
        <v>132</v>
      </c>
      <c r="F79" t="s">
        <v>173</v>
      </c>
      <c r="G79" t="s">
        <v>43</v>
      </c>
      <c r="H79">
        <v>5</v>
      </c>
      <c r="I79">
        <v>40</v>
      </c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3">
      <c r="A80" s="6" t="s">
        <v>27</v>
      </c>
      <c r="B80" s="6"/>
      <c r="C80" s="6"/>
      <c r="D80" s="6"/>
      <c r="E80" s="6"/>
      <c r="F80" s="6"/>
      <c r="G80" s="6"/>
      <c r="H80" s="6"/>
      <c r="I80" s="6"/>
      <c r="J80" s="7"/>
      <c r="K80" s="7"/>
      <c r="L80" s="7">
        <v>16</v>
      </c>
      <c r="M80" s="7">
        <v>32</v>
      </c>
      <c r="N80" s="7"/>
      <c r="O80" s="7"/>
      <c r="P80" s="7"/>
      <c r="Q80" s="7"/>
      <c r="R80" s="7"/>
      <c r="S80" s="7"/>
    </row>
    <row r="81" spans="1:19" x14ac:dyDescent="0.3">
      <c r="A81" t="s">
        <v>16</v>
      </c>
      <c r="B81" t="s">
        <v>314</v>
      </c>
      <c r="C81" s="9">
        <v>43444</v>
      </c>
      <c r="D81" t="s">
        <v>73</v>
      </c>
      <c r="E81" t="s">
        <v>72</v>
      </c>
      <c r="F81" t="s">
        <v>181</v>
      </c>
      <c r="G81" t="s">
        <v>13</v>
      </c>
      <c r="H81">
        <v>3</v>
      </c>
      <c r="I81">
        <v>24</v>
      </c>
      <c r="J81" s="2"/>
      <c r="K81" s="2"/>
      <c r="L81" s="2"/>
      <c r="M81" s="2"/>
      <c r="N81" s="2"/>
      <c r="O81" s="2"/>
      <c r="P81" s="2"/>
      <c r="Q81" s="2">
        <v>24</v>
      </c>
      <c r="R81" s="2"/>
      <c r="S81" s="2"/>
    </row>
    <row r="82" spans="1:19" x14ac:dyDescent="0.3">
      <c r="C82" s="9">
        <v>43420</v>
      </c>
      <c r="D82" t="s">
        <v>70</v>
      </c>
      <c r="E82" t="s">
        <v>72</v>
      </c>
      <c r="F82" t="s">
        <v>180</v>
      </c>
      <c r="G82" t="s">
        <v>313</v>
      </c>
      <c r="H82">
        <v>10</v>
      </c>
      <c r="I82">
        <v>80</v>
      </c>
      <c r="J82" s="2"/>
      <c r="K82" s="2"/>
      <c r="L82" s="2"/>
      <c r="M82" s="2">
        <v>8</v>
      </c>
      <c r="N82" s="2">
        <v>24</v>
      </c>
      <c r="O82" s="2">
        <v>40</v>
      </c>
      <c r="P82" s="2">
        <v>8</v>
      </c>
      <c r="Q82" s="2"/>
      <c r="R82" s="2"/>
      <c r="S82" s="2"/>
    </row>
    <row r="83" spans="1:19" x14ac:dyDescent="0.3">
      <c r="C83" s="9">
        <v>43489</v>
      </c>
      <c r="D83" t="s">
        <v>320</v>
      </c>
      <c r="E83" t="s">
        <v>59</v>
      </c>
      <c r="F83" t="s">
        <v>322</v>
      </c>
      <c r="G83" t="s">
        <v>13</v>
      </c>
      <c r="H83">
        <v>15</v>
      </c>
      <c r="I83">
        <v>120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3">
      <c r="B84" t="s">
        <v>221</v>
      </c>
      <c r="C84" s="9">
        <v>43529</v>
      </c>
      <c r="D84" t="s">
        <v>58</v>
      </c>
      <c r="E84" t="s">
        <v>59</v>
      </c>
      <c r="F84" t="s">
        <v>158</v>
      </c>
      <c r="G84" t="s">
        <v>13</v>
      </c>
      <c r="H84">
        <v>15</v>
      </c>
      <c r="I84">
        <v>120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3">
      <c r="C85" s="9">
        <v>43521</v>
      </c>
      <c r="D85" t="s">
        <v>58</v>
      </c>
      <c r="E85" t="s">
        <v>59</v>
      </c>
      <c r="F85" t="s">
        <v>323</v>
      </c>
      <c r="G85" t="s">
        <v>324</v>
      </c>
      <c r="H85">
        <v>2</v>
      </c>
      <c r="I85">
        <v>16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3">
      <c r="A86" s="6" t="s">
        <v>17</v>
      </c>
      <c r="B86" s="6"/>
      <c r="C86" s="6"/>
      <c r="D86" s="6"/>
      <c r="E86" s="6"/>
      <c r="F86" s="6"/>
      <c r="G86" s="6"/>
      <c r="H86" s="6"/>
      <c r="I86" s="6"/>
      <c r="J86" s="7"/>
      <c r="K86" s="7"/>
      <c r="L86" s="7"/>
      <c r="M86" s="7">
        <v>8</v>
      </c>
      <c r="N86" s="7">
        <v>24</v>
      </c>
      <c r="O86" s="7">
        <v>40</v>
      </c>
      <c r="P86" s="7">
        <v>8</v>
      </c>
      <c r="Q86" s="7">
        <v>24</v>
      </c>
      <c r="R86" s="7"/>
      <c r="S86" s="7"/>
    </row>
    <row r="87" spans="1:19" x14ac:dyDescent="0.3">
      <c r="A87" t="s">
        <v>20</v>
      </c>
      <c r="B87" t="s">
        <v>116</v>
      </c>
      <c r="C87" s="9">
        <v>43749</v>
      </c>
      <c r="D87" t="s">
        <v>60</v>
      </c>
      <c r="E87" t="s">
        <v>59</v>
      </c>
      <c r="F87" t="s">
        <v>159</v>
      </c>
      <c r="G87" t="s">
        <v>13</v>
      </c>
      <c r="H87">
        <v>10</v>
      </c>
      <c r="I87">
        <v>80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3">
      <c r="B88" t="s">
        <v>117</v>
      </c>
      <c r="C88" s="9">
        <v>43409</v>
      </c>
      <c r="D88" t="s">
        <v>33</v>
      </c>
      <c r="E88" t="s">
        <v>74</v>
      </c>
      <c r="F88" t="s">
        <v>160</v>
      </c>
      <c r="G88" t="s">
        <v>13</v>
      </c>
      <c r="H88">
        <v>4</v>
      </c>
      <c r="I88">
        <v>32</v>
      </c>
      <c r="J88" s="2"/>
      <c r="K88" s="2"/>
      <c r="L88" s="2">
        <v>32</v>
      </c>
      <c r="M88" s="2"/>
      <c r="N88" s="2"/>
      <c r="O88" s="2"/>
      <c r="P88" s="2"/>
      <c r="Q88" s="2"/>
      <c r="R88" s="2"/>
      <c r="S88" s="2"/>
    </row>
    <row r="89" spans="1:19" x14ac:dyDescent="0.3">
      <c r="E89" t="s">
        <v>59</v>
      </c>
      <c r="F89" t="s">
        <v>160</v>
      </c>
      <c r="G89" t="s">
        <v>13</v>
      </c>
      <c r="H89">
        <v>4</v>
      </c>
      <c r="I89">
        <v>32</v>
      </c>
      <c r="J89" s="2"/>
      <c r="K89" s="2"/>
      <c r="L89" s="2">
        <v>32</v>
      </c>
      <c r="M89" s="2"/>
      <c r="N89" s="2"/>
      <c r="O89" s="2"/>
      <c r="P89" s="2"/>
      <c r="Q89" s="2"/>
      <c r="R89" s="2"/>
      <c r="S89" s="2"/>
    </row>
    <row r="90" spans="1:19" x14ac:dyDescent="0.3">
      <c r="C90" s="9">
        <v>43447</v>
      </c>
      <c r="D90" t="s">
        <v>32</v>
      </c>
      <c r="E90" t="s">
        <v>74</v>
      </c>
      <c r="F90" t="s">
        <v>161</v>
      </c>
      <c r="G90" t="s">
        <v>13</v>
      </c>
      <c r="H90">
        <v>10</v>
      </c>
      <c r="I90">
        <v>80</v>
      </c>
      <c r="J90" s="2"/>
      <c r="K90" s="2"/>
      <c r="L90" s="2"/>
      <c r="M90" s="2"/>
      <c r="N90" s="2"/>
      <c r="O90" s="2"/>
      <c r="P90" s="2"/>
      <c r="Q90" s="2">
        <v>16</v>
      </c>
      <c r="R90" s="2">
        <v>40</v>
      </c>
      <c r="S90" s="2"/>
    </row>
    <row r="91" spans="1:19" x14ac:dyDescent="0.3">
      <c r="E91" t="s">
        <v>59</v>
      </c>
      <c r="F91" t="s">
        <v>161</v>
      </c>
      <c r="G91" t="s">
        <v>13</v>
      </c>
      <c r="H91">
        <v>10</v>
      </c>
      <c r="I91">
        <v>80</v>
      </c>
      <c r="J91" s="2"/>
      <c r="K91" s="2"/>
      <c r="L91" s="2"/>
      <c r="M91" s="2"/>
      <c r="N91" s="2"/>
      <c r="O91" s="2"/>
      <c r="P91" s="2"/>
      <c r="Q91" s="2">
        <v>16</v>
      </c>
      <c r="R91" s="2">
        <v>40</v>
      </c>
      <c r="S91" s="2"/>
    </row>
    <row r="92" spans="1:19" x14ac:dyDescent="0.3">
      <c r="C92" s="9">
        <v>43749</v>
      </c>
      <c r="D92" t="s">
        <v>60</v>
      </c>
      <c r="E92" t="s">
        <v>59</v>
      </c>
      <c r="F92" t="s">
        <v>162</v>
      </c>
      <c r="G92" t="s">
        <v>13</v>
      </c>
      <c r="H92">
        <v>10</v>
      </c>
      <c r="I92">
        <v>80</v>
      </c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3">
      <c r="C93" s="9">
        <v>43472</v>
      </c>
      <c r="D93" t="s">
        <v>73</v>
      </c>
      <c r="E93" t="s">
        <v>72</v>
      </c>
      <c r="F93" t="s">
        <v>230</v>
      </c>
      <c r="G93" t="s">
        <v>13</v>
      </c>
      <c r="H93">
        <v>3</v>
      </c>
      <c r="I93">
        <v>24</v>
      </c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3">
      <c r="B94" t="s">
        <v>118</v>
      </c>
      <c r="C94" s="9">
        <v>43440</v>
      </c>
      <c r="D94" t="s">
        <v>33</v>
      </c>
      <c r="E94" t="s">
        <v>74</v>
      </c>
      <c r="F94" t="s">
        <v>163</v>
      </c>
      <c r="G94" t="s">
        <v>13</v>
      </c>
      <c r="H94">
        <v>4</v>
      </c>
      <c r="I94">
        <v>32</v>
      </c>
      <c r="J94" s="2"/>
      <c r="K94" s="2"/>
      <c r="L94" s="2"/>
      <c r="M94" s="2"/>
      <c r="N94" s="2"/>
      <c r="O94" s="2"/>
      <c r="P94" s="2">
        <v>16</v>
      </c>
      <c r="Q94" s="2">
        <v>16</v>
      </c>
      <c r="R94" s="2"/>
      <c r="S94" s="2"/>
    </row>
    <row r="95" spans="1:19" x14ac:dyDescent="0.3">
      <c r="E95" t="s">
        <v>59</v>
      </c>
      <c r="F95" t="s">
        <v>163</v>
      </c>
      <c r="G95" t="s">
        <v>13</v>
      </c>
      <c r="H95">
        <v>4</v>
      </c>
      <c r="I95">
        <v>32</v>
      </c>
      <c r="J95" s="2"/>
      <c r="K95" s="2"/>
      <c r="L95" s="2"/>
      <c r="M95" s="2"/>
      <c r="N95" s="2"/>
      <c r="O95" s="2"/>
      <c r="P95" s="2">
        <v>16</v>
      </c>
      <c r="Q95" s="2">
        <v>16</v>
      </c>
      <c r="R95" s="2"/>
      <c r="S95" s="2"/>
    </row>
    <row r="96" spans="1:19" x14ac:dyDescent="0.3">
      <c r="B96" t="s">
        <v>276</v>
      </c>
      <c r="C96" s="9">
        <v>43682</v>
      </c>
      <c r="D96" t="s">
        <v>56</v>
      </c>
      <c r="E96" t="s">
        <v>59</v>
      </c>
      <c r="F96" t="s">
        <v>164</v>
      </c>
      <c r="G96" t="s">
        <v>13</v>
      </c>
      <c r="H96">
        <v>3</v>
      </c>
      <c r="I96">
        <v>24</v>
      </c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3">
      <c r="B97" t="s">
        <v>277</v>
      </c>
      <c r="C97" s="9">
        <v>43769</v>
      </c>
      <c r="D97" t="s">
        <v>57</v>
      </c>
      <c r="E97" t="s">
        <v>59</v>
      </c>
      <c r="F97" t="s">
        <v>165</v>
      </c>
      <c r="G97" t="s">
        <v>13</v>
      </c>
      <c r="H97">
        <v>3</v>
      </c>
      <c r="I97">
        <v>24</v>
      </c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3">
      <c r="A98" s="6" t="s">
        <v>23</v>
      </c>
      <c r="B98" s="6"/>
      <c r="C98" s="6"/>
      <c r="D98" s="6"/>
      <c r="E98" s="6"/>
      <c r="F98" s="6"/>
      <c r="G98" s="6"/>
      <c r="H98" s="6"/>
      <c r="I98" s="6"/>
      <c r="J98" s="7"/>
      <c r="K98" s="7"/>
      <c r="L98" s="7">
        <v>64</v>
      </c>
      <c r="M98" s="7"/>
      <c r="N98" s="7"/>
      <c r="O98" s="7"/>
      <c r="P98" s="7">
        <v>32</v>
      </c>
      <c r="Q98" s="7">
        <v>64</v>
      </c>
      <c r="R98" s="7">
        <v>80</v>
      </c>
      <c r="S98" s="7"/>
    </row>
    <row r="99" spans="1:19" x14ac:dyDescent="0.3">
      <c r="A99" t="s">
        <v>18</v>
      </c>
      <c r="B99" t="s">
        <v>119</v>
      </c>
      <c r="C99" s="9">
        <v>43591</v>
      </c>
      <c r="D99" t="s">
        <v>63</v>
      </c>
      <c r="E99" t="s">
        <v>74</v>
      </c>
      <c r="F99" t="s">
        <v>167</v>
      </c>
      <c r="G99" t="s">
        <v>13</v>
      </c>
      <c r="H99">
        <v>4</v>
      </c>
      <c r="I99">
        <v>32</v>
      </c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3">
      <c r="E100" t="s">
        <v>61</v>
      </c>
      <c r="F100" t="s">
        <v>167</v>
      </c>
      <c r="G100" t="s">
        <v>13</v>
      </c>
      <c r="H100">
        <v>4</v>
      </c>
      <c r="I100">
        <v>32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3">
      <c r="C101" s="9">
        <v>43402</v>
      </c>
      <c r="D101" t="s">
        <v>62</v>
      </c>
      <c r="E101" t="s">
        <v>74</v>
      </c>
      <c r="F101" t="s">
        <v>166</v>
      </c>
      <c r="G101" t="s">
        <v>13</v>
      </c>
      <c r="H101">
        <v>5</v>
      </c>
      <c r="I101">
        <v>40</v>
      </c>
      <c r="J101" s="2"/>
      <c r="K101" s="2">
        <v>40</v>
      </c>
      <c r="L101" s="2"/>
      <c r="M101" s="2"/>
      <c r="N101" s="2"/>
      <c r="O101" s="2"/>
      <c r="P101" s="2"/>
      <c r="Q101" s="2"/>
      <c r="R101" s="2"/>
      <c r="S101" s="2"/>
    </row>
    <row r="102" spans="1:19" x14ac:dyDescent="0.3">
      <c r="E102" t="s">
        <v>61</v>
      </c>
      <c r="F102" t="s">
        <v>166</v>
      </c>
      <c r="G102" t="s">
        <v>13</v>
      </c>
      <c r="H102">
        <v>5</v>
      </c>
      <c r="I102">
        <v>40</v>
      </c>
      <c r="J102" s="2"/>
      <c r="K102" s="2">
        <v>40</v>
      </c>
      <c r="L102" s="2"/>
      <c r="M102" s="2"/>
      <c r="N102" s="2"/>
      <c r="O102" s="2"/>
      <c r="P102" s="2"/>
      <c r="Q102" s="2"/>
      <c r="R102" s="2"/>
      <c r="S102" s="2"/>
    </row>
    <row r="103" spans="1:19" x14ac:dyDescent="0.3">
      <c r="A103" s="6" t="s">
        <v>19</v>
      </c>
      <c r="B103" s="6"/>
      <c r="C103" s="6"/>
      <c r="D103" s="6"/>
      <c r="E103" s="6"/>
      <c r="F103" s="6"/>
      <c r="G103" s="6"/>
      <c r="H103" s="6"/>
      <c r="I103" s="6"/>
      <c r="J103" s="7"/>
      <c r="K103" s="7">
        <v>80</v>
      </c>
      <c r="L103" s="7"/>
      <c r="M103" s="7"/>
      <c r="N103" s="7"/>
      <c r="O103" s="7"/>
      <c r="P103" s="7"/>
      <c r="Q103" s="7"/>
      <c r="R103" s="7"/>
      <c r="S103" s="7"/>
    </row>
    <row r="104" spans="1:19" x14ac:dyDescent="0.3">
      <c r="A104" t="s">
        <v>120</v>
      </c>
      <c r="B104" t="s">
        <v>120</v>
      </c>
      <c r="C104" t="s">
        <v>120</v>
      </c>
      <c r="D104" t="s">
        <v>120</v>
      </c>
      <c r="E104" t="s">
        <v>120</v>
      </c>
      <c r="F104" t="s">
        <v>120</v>
      </c>
      <c r="G104" t="s">
        <v>120</v>
      </c>
      <c r="H104" t="s">
        <v>120</v>
      </c>
      <c r="I104" t="s">
        <v>120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3">
      <c r="A105" s="6" t="s">
        <v>121</v>
      </c>
      <c r="B105" s="6"/>
      <c r="C105" s="6"/>
      <c r="D105" s="6"/>
      <c r="E105" s="6"/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3">
      <c r="A106" t="s">
        <v>231</v>
      </c>
      <c r="B106" t="s">
        <v>236</v>
      </c>
      <c r="C106" s="9">
        <v>43402</v>
      </c>
      <c r="D106" t="s">
        <v>233</v>
      </c>
      <c r="E106" t="s">
        <v>74</v>
      </c>
      <c r="F106" t="s">
        <v>235</v>
      </c>
      <c r="G106" t="s">
        <v>13</v>
      </c>
      <c r="H106">
        <v>3</v>
      </c>
      <c r="I106">
        <v>24</v>
      </c>
      <c r="J106" s="2"/>
      <c r="K106" s="2">
        <v>24</v>
      </c>
      <c r="L106" s="2"/>
      <c r="M106" s="2"/>
      <c r="N106" s="2"/>
      <c r="O106" s="2"/>
      <c r="P106" s="2"/>
      <c r="Q106" s="2"/>
      <c r="R106" s="2"/>
      <c r="S106" s="2"/>
    </row>
    <row r="107" spans="1:19" x14ac:dyDescent="0.3">
      <c r="A107" s="6" t="s">
        <v>237</v>
      </c>
      <c r="B107" s="6"/>
      <c r="C107" s="6"/>
      <c r="D107" s="6"/>
      <c r="E107" s="6"/>
      <c r="F107" s="6"/>
      <c r="G107" s="6"/>
      <c r="H107" s="6"/>
      <c r="I107" s="6"/>
      <c r="J107" s="7"/>
      <c r="K107" s="7">
        <v>24</v>
      </c>
      <c r="L107" s="7"/>
      <c r="M107" s="7"/>
      <c r="N107" s="7"/>
      <c r="O107" s="7"/>
      <c r="P107" s="7"/>
      <c r="Q107" s="7"/>
      <c r="R107" s="7"/>
      <c r="S107" s="7"/>
    </row>
    <row r="108" spans="1:19" x14ac:dyDescent="0.3">
      <c r="A108" t="s">
        <v>267</v>
      </c>
      <c r="B108" t="s">
        <v>278</v>
      </c>
      <c r="C108" s="9">
        <v>43783</v>
      </c>
      <c r="D108" t="s">
        <v>56</v>
      </c>
      <c r="E108" t="s">
        <v>132</v>
      </c>
      <c r="F108" t="s">
        <v>270</v>
      </c>
      <c r="G108" t="s">
        <v>13</v>
      </c>
      <c r="H108">
        <v>3</v>
      </c>
      <c r="I108">
        <v>24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3">
      <c r="B109" t="s">
        <v>279</v>
      </c>
      <c r="C109" s="9">
        <v>43504</v>
      </c>
      <c r="D109" t="s">
        <v>56</v>
      </c>
      <c r="E109" t="s">
        <v>132</v>
      </c>
      <c r="F109" t="s">
        <v>273</v>
      </c>
      <c r="G109" t="s">
        <v>13</v>
      </c>
      <c r="H109">
        <v>3</v>
      </c>
      <c r="I109">
        <v>24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3">
      <c r="B110" t="s">
        <v>310</v>
      </c>
      <c r="C110" s="9">
        <v>43788</v>
      </c>
      <c r="D110" t="s">
        <v>296</v>
      </c>
      <c r="E110" t="s">
        <v>74</v>
      </c>
      <c r="F110" t="s">
        <v>298</v>
      </c>
      <c r="G110" t="s">
        <v>13</v>
      </c>
      <c r="H110">
        <v>7</v>
      </c>
      <c r="I110">
        <v>56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3">
      <c r="E111" t="s">
        <v>59</v>
      </c>
      <c r="F111" t="s">
        <v>298</v>
      </c>
      <c r="G111" t="s">
        <v>13</v>
      </c>
      <c r="H111">
        <v>7</v>
      </c>
      <c r="I111">
        <v>56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3">
      <c r="B112" t="s">
        <v>311</v>
      </c>
      <c r="C112" s="9">
        <v>43805</v>
      </c>
      <c r="D112" t="s">
        <v>300</v>
      </c>
      <c r="E112" t="s">
        <v>74</v>
      </c>
      <c r="F112" t="s">
        <v>302</v>
      </c>
      <c r="G112" t="s">
        <v>13</v>
      </c>
      <c r="H112">
        <v>7</v>
      </c>
      <c r="I112">
        <v>56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3">
      <c r="E113" t="s">
        <v>59</v>
      </c>
      <c r="F113" t="s">
        <v>302</v>
      </c>
      <c r="G113" t="s">
        <v>13</v>
      </c>
      <c r="H113">
        <v>7</v>
      </c>
      <c r="I113">
        <v>56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3">
      <c r="A114" s="6" t="s">
        <v>280</v>
      </c>
      <c r="B114" s="6"/>
      <c r="C114" s="6"/>
      <c r="D114" s="6"/>
      <c r="E114" s="6"/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x14ac:dyDescent="0.3">
      <c r="A115" t="s">
        <v>303</v>
      </c>
      <c r="B115" t="s">
        <v>115</v>
      </c>
      <c r="C115" s="9">
        <v>43628</v>
      </c>
      <c r="D115" t="s">
        <v>282</v>
      </c>
      <c r="E115" t="s">
        <v>74</v>
      </c>
      <c r="F115" t="s">
        <v>309</v>
      </c>
      <c r="G115" t="s">
        <v>13</v>
      </c>
      <c r="H115">
        <v>3</v>
      </c>
      <c r="I115">
        <v>24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3">
      <c r="E116" t="s">
        <v>132</v>
      </c>
      <c r="F116" t="s">
        <v>309</v>
      </c>
      <c r="G116" t="s">
        <v>13</v>
      </c>
      <c r="H116">
        <v>3</v>
      </c>
      <c r="I116">
        <v>24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3">
      <c r="C117" s="9">
        <v>43614</v>
      </c>
      <c r="D117" t="s">
        <v>34</v>
      </c>
      <c r="E117" t="s">
        <v>74</v>
      </c>
      <c r="F117" t="s">
        <v>306</v>
      </c>
      <c r="G117" t="s">
        <v>13</v>
      </c>
      <c r="H117">
        <v>8</v>
      </c>
      <c r="I117">
        <v>64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3">
      <c r="E118" t="s">
        <v>132</v>
      </c>
      <c r="F118" t="s">
        <v>306</v>
      </c>
      <c r="G118" t="s">
        <v>13</v>
      </c>
      <c r="H118">
        <v>8</v>
      </c>
      <c r="I118">
        <v>64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3">
      <c r="A119" s="6" t="s">
        <v>312</v>
      </c>
      <c r="B119" s="6"/>
      <c r="C119" s="6"/>
      <c r="D119" s="6"/>
      <c r="E119" s="6"/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x14ac:dyDescent="0.3">
      <c r="A120" t="s">
        <v>316</v>
      </c>
      <c r="B120" t="s">
        <v>274</v>
      </c>
      <c r="C120" s="9">
        <v>43537</v>
      </c>
      <c r="D120" t="s">
        <v>34</v>
      </c>
      <c r="E120" t="s">
        <v>74</v>
      </c>
      <c r="F120" t="s">
        <v>264</v>
      </c>
      <c r="G120" t="s">
        <v>13</v>
      </c>
      <c r="H120">
        <v>10</v>
      </c>
      <c r="I120">
        <v>80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3">
      <c r="E121" t="s">
        <v>61</v>
      </c>
      <c r="F121" t="s">
        <v>264</v>
      </c>
      <c r="G121" t="s">
        <v>13</v>
      </c>
      <c r="H121">
        <v>10</v>
      </c>
      <c r="I121">
        <v>80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3">
      <c r="C122" s="9">
        <v>43565</v>
      </c>
      <c r="D122" t="s">
        <v>60</v>
      </c>
      <c r="E122" t="s">
        <v>61</v>
      </c>
      <c r="F122" t="s">
        <v>266</v>
      </c>
      <c r="G122" t="s">
        <v>13</v>
      </c>
      <c r="H122">
        <v>7</v>
      </c>
      <c r="I122">
        <v>56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3">
      <c r="A123" s="6" t="s">
        <v>325</v>
      </c>
      <c r="B123" s="6"/>
      <c r="C123" s="6"/>
      <c r="D123" s="6"/>
      <c r="E123" s="6"/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3">
      <c r="A124" t="s">
        <v>14</v>
      </c>
      <c r="J124" s="2">
        <v>144</v>
      </c>
      <c r="K124" s="2">
        <v>112</v>
      </c>
      <c r="L124" s="2">
        <v>120</v>
      </c>
      <c r="M124" s="2">
        <v>120</v>
      </c>
      <c r="N124" s="2">
        <v>72</v>
      </c>
      <c r="O124" s="2">
        <v>120</v>
      </c>
      <c r="P124" s="2">
        <v>88</v>
      </c>
      <c r="Q124" s="2">
        <v>104</v>
      </c>
      <c r="R124" s="2">
        <v>184</v>
      </c>
      <c r="S124" s="2"/>
    </row>
  </sheetData>
  <pageMargins left="0.7" right="0.7" top="0.75" bottom="0.75" header="0.3" footer="0.3"/>
  <pageSetup orientation="portrait" r:id="rId2"/>
  <headerFooter>
    <oddFooter>&amp;L&amp;1#&amp;"Calibri"&amp;10 Caterpillar: Confidential Green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08"/>
  <sheetViews>
    <sheetView workbookViewId="0"/>
  </sheetViews>
  <sheetFormatPr defaultRowHeight="14.4" x14ac:dyDescent="0.3"/>
  <cols>
    <col min="1" max="1" width="10.5546875" style="4" bestFit="1" customWidth="1"/>
    <col min="11" max="11" width="10.77734375" bestFit="1" customWidth="1"/>
    <col min="12" max="12" width="9.88671875" bestFit="1" customWidth="1"/>
  </cols>
  <sheetData>
    <row r="1" spans="1:81" x14ac:dyDescent="0.3">
      <c r="A1" s="4" t="s">
        <v>108</v>
      </c>
      <c r="B1" t="s">
        <v>0</v>
      </c>
      <c r="C1" t="s">
        <v>1</v>
      </c>
      <c r="D1" t="s">
        <v>2</v>
      </c>
      <c r="E1" t="s">
        <v>3</v>
      </c>
      <c r="F1" t="s">
        <v>184</v>
      </c>
      <c r="G1" t="s">
        <v>4</v>
      </c>
      <c r="H1" t="s">
        <v>78</v>
      </c>
      <c r="I1" t="s">
        <v>135</v>
      </c>
      <c r="J1" t="s">
        <v>5</v>
      </c>
      <c r="K1" t="s">
        <v>136</v>
      </c>
      <c r="L1" t="s">
        <v>137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138</v>
      </c>
      <c r="T1" t="s">
        <v>28</v>
      </c>
      <c r="U1" s="8">
        <v>43394</v>
      </c>
      <c r="V1" s="8">
        <v>43401</v>
      </c>
      <c r="W1" s="8">
        <v>43408</v>
      </c>
      <c r="X1" s="8">
        <v>43415</v>
      </c>
      <c r="Y1" s="8">
        <v>43422</v>
      </c>
      <c r="Z1" s="8">
        <v>43429</v>
      </c>
      <c r="AA1" s="8">
        <v>43436</v>
      </c>
      <c r="AB1" s="8">
        <v>43443</v>
      </c>
      <c r="AC1" s="8">
        <v>43450</v>
      </c>
      <c r="AD1" s="8">
        <v>43457</v>
      </c>
      <c r="AE1" s="8">
        <v>43464</v>
      </c>
      <c r="AF1" s="8">
        <v>43471</v>
      </c>
      <c r="AG1" s="8">
        <v>43478</v>
      </c>
      <c r="AH1" s="8">
        <v>43485</v>
      </c>
      <c r="AI1" s="8">
        <v>43492</v>
      </c>
      <c r="AJ1" s="8">
        <v>43499</v>
      </c>
      <c r="AK1" s="8">
        <v>43506</v>
      </c>
      <c r="AL1" s="8">
        <v>43513</v>
      </c>
      <c r="AM1" s="8">
        <v>43520</v>
      </c>
      <c r="AN1" s="8">
        <v>43527</v>
      </c>
      <c r="AO1" s="8">
        <v>43534</v>
      </c>
      <c r="AP1" s="8">
        <v>43541</v>
      </c>
      <c r="AQ1" s="8">
        <v>43548</v>
      </c>
      <c r="AR1" s="8">
        <v>43555</v>
      </c>
      <c r="AS1" s="8">
        <v>43562</v>
      </c>
      <c r="AT1" s="8">
        <v>43569</v>
      </c>
      <c r="AU1" s="8">
        <v>43576</v>
      </c>
      <c r="AV1" s="8">
        <v>43583</v>
      </c>
      <c r="AW1" s="8">
        <v>43590</v>
      </c>
      <c r="AX1" s="8">
        <v>43597</v>
      </c>
      <c r="AY1" s="8">
        <v>43604</v>
      </c>
      <c r="AZ1" s="8">
        <v>43611</v>
      </c>
      <c r="BA1" s="8">
        <v>43618</v>
      </c>
      <c r="BB1" s="8">
        <v>43625</v>
      </c>
      <c r="BC1" s="8">
        <v>43632</v>
      </c>
      <c r="BD1" s="8">
        <v>43639</v>
      </c>
      <c r="BE1" s="8">
        <v>43646</v>
      </c>
      <c r="BF1" s="8">
        <v>43653</v>
      </c>
      <c r="BG1" s="8">
        <v>43660</v>
      </c>
      <c r="BH1" s="8">
        <v>43667</v>
      </c>
      <c r="BI1" s="8">
        <v>43674</v>
      </c>
      <c r="BJ1" s="8">
        <v>43681</v>
      </c>
      <c r="BK1" s="8">
        <v>43688</v>
      </c>
      <c r="BL1" s="8">
        <v>43695</v>
      </c>
      <c r="BM1" s="8">
        <v>43702</v>
      </c>
      <c r="BN1" s="8">
        <v>43709</v>
      </c>
      <c r="BO1" s="8">
        <v>43716</v>
      </c>
      <c r="BP1" s="8">
        <v>43723</v>
      </c>
      <c r="BQ1" s="8">
        <v>43730</v>
      </c>
      <c r="BR1" s="8">
        <v>43737</v>
      </c>
      <c r="BS1" s="8">
        <v>43744</v>
      </c>
      <c r="BT1" s="8">
        <v>43751</v>
      </c>
      <c r="BU1" s="8">
        <v>43758</v>
      </c>
      <c r="BV1" s="8">
        <v>43765</v>
      </c>
      <c r="BW1" s="8">
        <v>43772</v>
      </c>
      <c r="BX1" s="8">
        <v>43779</v>
      </c>
      <c r="BY1" s="8">
        <v>43786</v>
      </c>
      <c r="BZ1" s="8">
        <v>43793</v>
      </c>
      <c r="CA1" s="8">
        <v>43800</v>
      </c>
      <c r="CB1" s="8">
        <v>43807</v>
      </c>
      <c r="CC1" s="8">
        <v>43814</v>
      </c>
    </row>
    <row r="2" spans="1:81" x14ac:dyDescent="0.3">
      <c r="A2" s="4" t="str">
        <f>MID(H2,FIND(".",H2)+1,8)</f>
        <v>SM200101</v>
      </c>
      <c r="B2" t="s">
        <v>22</v>
      </c>
      <c r="C2" t="s">
        <v>36</v>
      </c>
      <c r="D2">
        <v>70</v>
      </c>
      <c r="E2">
        <v>16</v>
      </c>
      <c r="F2" t="s">
        <v>185</v>
      </c>
      <c r="G2" t="s">
        <v>40</v>
      </c>
      <c r="H2" t="s">
        <v>79</v>
      </c>
      <c r="I2" t="s">
        <v>139</v>
      </c>
      <c r="J2" t="s">
        <v>13</v>
      </c>
      <c r="K2" s="8">
        <v>43455</v>
      </c>
      <c r="L2" s="8">
        <v>43468</v>
      </c>
      <c r="M2" t="s">
        <v>37</v>
      </c>
      <c r="N2" t="s">
        <v>38</v>
      </c>
      <c r="O2" t="s">
        <v>39</v>
      </c>
      <c r="P2">
        <v>3</v>
      </c>
      <c r="Q2">
        <v>24</v>
      </c>
      <c r="R2" t="s">
        <v>31</v>
      </c>
      <c r="S2" t="s">
        <v>29</v>
      </c>
      <c r="T2" t="s">
        <v>30</v>
      </c>
      <c r="AC2">
        <v>8</v>
      </c>
      <c r="AE2">
        <v>16</v>
      </c>
    </row>
    <row r="3" spans="1:81" x14ac:dyDescent="0.3">
      <c r="A3" s="4" t="str">
        <f t="shared" ref="A3:A66" si="0">MID(H3,FIND(".",H3)+1,8)</f>
        <v>SM200101</v>
      </c>
      <c r="B3" t="s">
        <v>22</v>
      </c>
      <c r="C3" t="s">
        <v>36</v>
      </c>
      <c r="D3">
        <v>70</v>
      </c>
      <c r="E3">
        <v>16</v>
      </c>
      <c r="F3" t="s">
        <v>186</v>
      </c>
      <c r="G3" t="s">
        <v>41</v>
      </c>
      <c r="H3" t="s">
        <v>80</v>
      </c>
      <c r="I3" t="s">
        <v>140</v>
      </c>
      <c r="J3" t="s">
        <v>45</v>
      </c>
      <c r="K3" s="8" t="s">
        <v>315</v>
      </c>
      <c r="L3" s="8">
        <v>43398</v>
      </c>
      <c r="M3" t="s">
        <v>37</v>
      </c>
      <c r="N3" t="s">
        <v>38</v>
      </c>
      <c r="O3" t="s">
        <v>39</v>
      </c>
      <c r="P3">
        <v>4</v>
      </c>
      <c r="Q3">
        <v>32</v>
      </c>
      <c r="R3" t="s">
        <v>31</v>
      </c>
      <c r="S3" t="s">
        <v>44</v>
      </c>
      <c r="T3" t="s">
        <v>30</v>
      </c>
      <c r="U3">
        <v>32</v>
      </c>
    </row>
    <row r="4" spans="1:81" x14ac:dyDescent="0.3">
      <c r="A4" s="4" t="str">
        <f t="shared" si="0"/>
        <v>MBY00100</v>
      </c>
      <c r="B4" t="s">
        <v>22</v>
      </c>
      <c r="C4" t="s">
        <v>36</v>
      </c>
      <c r="D4">
        <v>70</v>
      </c>
      <c r="E4">
        <v>16</v>
      </c>
      <c r="F4" t="s">
        <v>187</v>
      </c>
      <c r="G4" t="s">
        <v>47</v>
      </c>
      <c r="H4" t="s">
        <v>81</v>
      </c>
      <c r="I4" t="s">
        <v>141</v>
      </c>
      <c r="J4" t="s">
        <v>13</v>
      </c>
      <c r="K4" s="8">
        <v>43531</v>
      </c>
      <c r="L4" s="8">
        <v>43549</v>
      </c>
      <c r="M4" t="s">
        <v>37</v>
      </c>
      <c r="N4" t="s">
        <v>38</v>
      </c>
      <c r="O4" t="s">
        <v>39</v>
      </c>
      <c r="P4">
        <v>13</v>
      </c>
      <c r="Q4">
        <v>104</v>
      </c>
      <c r="R4" t="s">
        <v>31</v>
      </c>
      <c r="S4" t="s">
        <v>29</v>
      </c>
      <c r="T4" t="s">
        <v>30</v>
      </c>
      <c r="AN4">
        <v>16</v>
      </c>
      <c r="AO4">
        <v>40</v>
      </c>
      <c r="AP4">
        <v>40</v>
      </c>
      <c r="AQ4">
        <v>8</v>
      </c>
    </row>
    <row r="5" spans="1:81" x14ac:dyDescent="0.3">
      <c r="A5" s="4" t="str">
        <f t="shared" si="0"/>
        <v>MBY00100</v>
      </c>
      <c r="B5" t="s">
        <v>22</v>
      </c>
      <c r="C5" t="s">
        <v>36</v>
      </c>
      <c r="D5">
        <v>70</v>
      </c>
      <c r="E5">
        <v>16</v>
      </c>
      <c r="F5" t="s">
        <v>187</v>
      </c>
      <c r="G5" t="s">
        <v>47</v>
      </c>
      <c r="H5" t="s">
        <v>81</v>
      </c>
      <c r="I5" t="s">
        <v>141</v>
      </c>
      <c r="J5" t="s">
        <v>13</v>
      </c>
      <c r="K5" s="8">
        <v>43531</v>
      </c>
      <c r="L5" s="8">
        <v>43549</v>
      </c>
      <c r="M5" t="s">
        <v>68</v>
      </c>
      <c r="N5" t="s">
        <v>69</v>
      </c>
      <c r="O5" t="s">
        <v>39</v>
      </c>
      <c r="P5">
        <v>13</v>
      </c>
      <c r="Q5">
        <v>104</v>
      </c>
      <c r="R5" t="s">
        <v>31</v>
      </c>
      <c r="S5" t="s">
        <v>29</v>
      </c>
      <c r="T5" t="s">
        <v>30</v>
      </c>
      <c r="AN5">
        <v>16</v>
      </c>
      <c r="AO5">
        <v>40</v>
      </c>
      <c r="AP5">
        <v>40</v>
      </c>
      <c r="AQ5">
        <v>8</v>
      </c>
    </row>
    <row r="6" spans="1:81" x14ac:dyDescent="0.3">
      <c r="A6" s="4" t="str">
        <f t="shared" si="0"/>
        <v>MBY00100</v>
      </c>
      <c r="B6" t="s">
        <v>22</v>
      </c>
      <c r="C6" t="s">
        <v>36</v>
      </c>
      <c r="D6">
        <v>70</v>
      </c>
      <c r="E6">
        <v>16</v>
      </c>
      <c r="F6" t="s">
        <v>188</v>
      </c>
      <c r="G6" t="s">
        <v>48</v>
      </c>
      <c r="H6" t="s">
        <v>82</v>
      </c>
      <c r="I6" t="s">
        <v>142</v>
      </c>
      <c r="J6" t="s">
        <v>13</v>
      </c>
      <c r="K6" s="8">
        <v>43628</v>
      </c>
      <c r="L6" s="8">
        <v>43641</v>
      </c>
      <c r="M6" t="s">
        <v>68</v>
      </c>
      <c r="N6" t="s">
        <v>69</v>
      </c>
      <c r="O6" t="s">
        <v>39</v>
      </c>
      <c r="P6">
        <v>10</v>
      </c>
      <c r="Q6">
        <v>80</v>
      </c>
      <c r="R6" t="s">
        <v>31</v>
      </c>
      <c r="S6" t="s">
        <v>29</v>
      </c>
      <c r="T6" t="s">
        <v>30</v>
      </c>
      <c r="BB6">
        <v>24</v>
      </c>
      <c r="BC6">
        <v>40</v>
      </c>
      <c r="BD6">
        <v>16</v>
      </c>
    </row>
    <row r="7" spans="1:81" x14ac:dyDescent="0.3">
      <c r="A7" s="4" t="str">
        <f t="shared" si="0"/>
        <v>MBY00100</v>
      </c>
      <c r="B7" t="s">
        <v>22</v>
      </c>
      <c r="C7" t="s">
        <v>36</v>
      </c>
      <c r="D7">
        <v>70</v>
      </c>
      <c r="E7">
        <v>16</v>
      </c>
      <c r="F7" t="s">
        <v>188</v>
      </c>
      <c r="G7" t="s">
        <v>48</v>
      </c>
      <c r="H7" t="s">
        <v>82</v>
      </c>
      <c r="I7" t="s">
        <v>142</v>
      </c>
      <c r="J7" t="s">
        <v>13</v>
      </c>
      <c r="K7" s="8">
        <v>43628</v>
      </c>
      <c r="L7" s="8">
        <v>43641</v>
      </c>
      <c r="M7" t="s">
        <v>37</v>
      </c>
      <c r="N7" t="s">
        <v>38</v>
      </c>
      <c r="O7" t="s">
        <v>39</v>
      </c>
      <c r="P7">
        <v>10</v>
      </c>
      <c r="Q7">
        <v>80</v>
      </c>
      <c r="R7" t="s">
        <v>31</v>
      </c>
      <c r="S7" t="s">
        <v>29</v>
      </c>
      <c r="T7" t="s">
        <v>30</v>
      </c>
      <c r="BB7">
        <v>24</v>
      </c>
      <c r="BC7">
        <v>40</v>
      </c>
      <c r="BD7">
        <v>16</v>
      </c>
    </row>
    <row r="8" spans="1:81" x14ac:dyDescent="0.3">
      <c r="A8" s="4" t="str">
        <f t="shared" si="0"/>
        <v>MBY00100</v>
      </c>
      <c r="B8" t="s">
        <v>22</v>
      </c>
      <c r="C8" t="s">
        <v>36</v>
      </c>
      <c r="D8">
        <v>70</v>
      </c>
      <c r="E8">
        <v>16</v>
      </c>
      <c r="F8" t="s">
        <v>189</v>
      </c>
      <c r="G8" t="s">
        <v>49</v>
      </c>
      <c r="H8" t="s">
        <v>83</v>
      </c>
      <c r="I8" t="s">
        <v>143</v>
      </c>
      <c r="J8" t="s">
        <v>42</v>
      </c>
      <c r="K8" s="8">
        <v>43784</v>
      </c>
      <c r="L8" s="8">
        <v>43787</v>
      </c>
      <c r="M8" t="s">
        <v>37</v>
      </c>
      <c r="N8" t="s">
        <v>38</v>
      </c>
      <c r="O8" t="s">
        <v>39</v>
      </c>
      <c r="P8">
        <v>2</v>
      </c>
      <c r="Q8">
        <v>16</v>
      </c>
      <c r="R8" t="s">
        <v>31</v>
      </c>
      <c r="S8" t="s">
        <v>29</v>
      </c>
      <c r="T8" t="s">
        <v>30</v>
      </c>
      <c r="BX8">
        <v>8</v>
      </c>
      <c r="BY8">
        <v>8</v>
      </c>
    </row>
    <row r="9" spans="1:81" x14ac:dyDescent="0.3">
      <c r="A9" s="4" t="str">
        <f t="shared" si="0"/>
        <v>MBY00100</v>
      </c>
      <c r="B9" t="s">
        <v>22</v>
      </c>
      <c r="C9" t="s">
        <v>36</v>
      </c>
      <c r="D9">
        <v>70</v>
      </c>
      <c r="E9">
        <v>16</v>
      </c>
      <c r="F9" t="s">
        <v>189</v>
      </c>
      <c r="G9" t="s">
        <v>49</v>
      </c>
      <c r="H9" t="s">
        <v>83</v>
      </c>
      <c r="I9" t="s">
        <v>144</v>
      </c>
      <c r="J9" t="s">
        <v>43</v>
      </c>
      <c r="K9" s="8">
        <v>43795</v>
      </c>
      <c r="L9" s="8">
        <v>43803</v>
      </c>
      <c r="M9" t="s">
        <v>37</v>
      </c>
      <c r="N9" t="s">
        <v>38</v>
      </c>
      <c r="O9" t="s">
        <v>39</v>
      </c>
      <c r="P9">
        <v>5</v>
      </c>
      <c r="Q9">
        <v>40</v>
      </c>
      <c r="R9" t="s">
        <v>31</v>
      </c>
      <c r="S9" t="s">
        <v>44</v>
      </c>
      <c r="T9" t="s">
        <v>30</v>
      </c>
      <c r="BZ9">
        <v>16</v>
      </c>
      <c r="CA9">
        <v>24</v>
      </c>
    </row>
    <row r="10" spans="1:81" x14ac:dyDescent="0.3">
      <c r="A10" s="4" t="str">
        <f t="shared" si="0"/>
        <v>MBY00100</v>
      </c>
      <c r="B10" t="s">
        <v>22</v>
      </c>
      <c r="C10" t="s">
        <v>36</v>
      </c>
      <c r="D10">
        <v>70</v>
      </c>
      <c r="E10">
        <v>16</v>
      </c>
      <c r="F10" t="s">
        <v>189</v>
      </c>
      <c r="G10" t="s">
        <v>49</v>
      </c>
      <c r="H10" t="s">
        <v>83</v>
      </c>
      <c r="I10" t="s">
        <v>145</v>
      </c>
      <c r="J10" t="s">
        <v>45</v>
      </c>
      <c r="K10" s="8">
        <v>43805</v>
      </c>
      <c r="L10" s="8">
        <v>43810</v>
      </c>
      <c r="M10" t="s">
        <v>37</v>
      </c>
      <c r="N10" t="s">
        <v>38</v>
      </c>
      <c r="O10" t="s">
        <v>39</v>
      </c>
      <c r="P10">
        <v>4</v>
      </c>
      <c r="Q10">
        <v>32</v>
      </c>
      <c r="R10" t="s">
        <v>31</v>
      </c>
      <c r="S10" t="s">
        <v>44</v>
      </c>
      <c r="T10" t="s">
        <v>30</v>
      </c>
      <c r="CA10">
        <v>8</v>
      </c>
      <c r="CB10">
        <v>24</v>
      </c>
    </row>
    <row r="11" spans="1:81" x14ac:dyDescent="0.3">
      <c r="A11" s="4" t="str">
        <f t="shared" si="0"/>
        <v>MBY00100</v>
      </c>
      <c r="B11" t="s">
        <v>22</v>
      </c>
      <c r="C11" t="s">
        <v>36</v>
      </c>
      <c r="D11">
        <v>70</v>
      </c>
      <c r="E11">
        <v>16</v>
      </c>
      <c r="F11" t="s">
        <v>189</v>
      </c>
      <c r="G11" t="s">
        <v>49</v>
      </c>
      <c r="H11" t="s">
        <v>83</v>
      </c>
      <c r="I11" t="s">
        <v>146</v>
      </c>
      <c r="J11" t="s">
        <v>46</v>
      </c>
      <c r="K11" s="8">
        <v>43788</v>
      </c>
      <c r="L11" s="8">
        <v>43789</v>
      </c>
      <c r="M11" t="s">
        <v>37</v>
      </c>
      <c r="N11" t="s">
        <v>38</v>
      </c>
      <c r="O11" t="s">
        <v>39</v>
      </c>
      <c r="P11">
        <v>2</v>
      </c>
      <c r="Q11">
        <v>16</v>
      </c>
      <c r="R11" t="s">
        <v>31</v>
      </c>
      <c r="S11" t="s">
        <v>29</v>
      </c>
      <c r="T11" t="s">
        <v>30</v>
      </c>
      <c r="BY11">
        <v>16</v>
      </c>
    </row>
    <row r="12" spans="1:81" x14ac:dyDescent="0.3">
      <c r="A12" s="4" t="str">
        <f t="shared" si="0"/>
        <v>SM200102</v>
      </c>
      <c r="B12" t="s">
        <v>22</v>
      </c>
      <c r="C12" t="s">
        <v>36</v>
      </c>
      <c r="D12">
        <v>70</v>
      </c>
      <c r="E12">
        <v>16</v>
      </c>
      <c r="F12" t="s">
        <v>190</v>
      </c>
      <c r="G12" t="s">
        <v>50</v>
      </c>
      <c r="H12" t="s">
        <v>84</v>
      </c>
      <c r="I12" t="s">
        <v>147</v>
      </c>
      <c r="J12" t="s">
        <v>13</v>
      </c>
      <c r="K12" s="8">
        <v>43448</v>
      </c>
      <c r="L12" s="8">
        <v>43452</v>
      </c>
      <c r="M12" t="s">
        <v>37</v>
      </c>
      <c r="N12" t="s">
        <v>38</v>
      </c>
      <c r="O12" t="s">
        <v>39</v>
      </c>
      <c r="P12">
        <v>3</v>
      </c>
      <c r="Q12">
        <v>24</v>
      </c>
      <c r="R12" t="s">
        <v>31</v>
      </c>
      <c r="S12" t="s">
        <v>29</v>
      </c>
      <c r="T12" t="s">
        <v>30</v>
      </c>
      <c r="AB12">
        <v>8</v>
      </c>
      <c r="AC12">
        <v>16</v>
      </c>
    </row>
    <row r="13" spans="1:81" x14ac:dyDescent="0.3">
      <c r="A13" s="4" t="str">
        <f t="shared" si="0"/>
        <v>SM200102</v>
      </c>
      <c r="B13" t="s">
        <v>22</v>
      </c>
      <c r="C13" t="s">
        <v>36</v>
      </c>
      <c r="D13">
        <v>70</v>
      </c>
      <c r="E13">
        <v>16</v>
      </c>
      <c r="F13" t="s">
        <v>191</v>
      </c>
      <c r="G13" t="s">
        <v>227</v>
      </c>
      <c r="H13" t="s">
        <v>85</v>
      </c>
      <c r="I13" t="s">
        <v>148</v>
      </c>
      <c r="J13" t="s">
        <v>51</v>
      </c>
      <c r="K13" s="8">
        <v>43398</v>
      </c>
      <c r="L13" s="8">
        <v>43399</v>
      </c>
      <c r="M13" t="s">
        <v>37</v>
      </c>
      <c r="N13" t="s">
        <v>38</v>
      </c>
      <c r="O13" t="s">
        <v>39</v>
      </c>
      <c r="P13">
        <v>2</v>
      </c>
      <c r="Q13">
        <v>16</v>
      </c>
      <c r="R13" t="s">
        <v>31</v>
      </c>
      <c r="S13" t="s">
        <v>29</v>
      </c>
      <c r="T13" t="s">
        <v>30</v>
      </c>
      <c r="U13">
        <v>16</v>
      </c>
    </row>
    <row r="14" spans="1:81" x14ac:dyDescent="0.3">
      <c r="A14" s="4" t="str">
        <f t="shared" si="0"/>
        <v>SM200102</v>
      </c>
      <c r="B14" t="s">
        <v>22</v>
      </c>
      <c r="C14" t="s">
        <v>36</v>
      </c>
      <c r="D14">
        <v>70</v>
      </c>
      <c r="E14">
        <v>16</v>
      </c>
      <c r="F14" t="s">
        <v>191</v>
      </c>
      <c r="G14" t="s">
        <v>227</v>
      </c>
      <c r="H14" t="s">
        <v>85</v>
      </c>
      <c r="I14" t="s">
        <v>149</v>
      </c>
      <c r="J14" t="s">
        <v>285</v>
      </c>
      <c r="K14" s="8">
        <v>43406</v>
      </c>
      <c r="L14" s="8">
        <v>43419</v>
      </c>
      <c r="M14" t="s">
        <v>37</v>
      </c>
      <c r="N14" t="s">
        <v>38</v>
      </c>
      <c r="O14" t="s">
        <v>39</v>
      </c>
      <c r="P14">
        <v>10</v>
      </c>
      <c r="Q14">
        <v>80</v>
      </c>
      <c r="R14" t="s">
        <v>31</v>
      </c>
      <c r="S14" t="s">
        <v>44</v>
      </c>
      <c r="T14" t="s">
        <v>30</v>
      </c>
      <c r="V14">
        <v>8</v>
      </c>
      <c r="W14">
        <v>40</v>
      </c>
      <c r="X14">
        <v>32</v>
      </c>
    </row>
    <row r="15" spans="1:81" x14ac:dyDescent="0.3">
      <c r="A15" s="4" t="str">
        <f t="shared" si="0"/>
        <v>SM200102</v>
      </c>
      <c r="B15" t="s">
        <v>22</v>
      </c>
      <c r="C15" t="s">
        <v>36</v>
      </c>
      <c r="D15">
        <v>70</v>
      </c>
      <c r="E15">
        <v>16</v>
      </c>
      <c r="F15" t="s">
        <v>192</v>
      </c>
      <c r="G15" t="s">
        <v>52</v>
      </c>
      <c r="H15" t="s">
        <v>86</v>
      </c>
      <c r="I15" t="s">
        <v>150</v>
      </c>
      <c r="J15" t="s">
        <v>13</v>
      </c>
      <c r="K15" s="8">
        <v>43594</v>
      </c>
      <c r="L15" s="8">
        <v>43607</v>
      </c>
      <c r="M15" t="s">
        <v>37</v>
      </c>
      <c r="N15" t="s">
        <v>38</v>
      </c>
      <c r="O15" t="s">
        <v>39</v>
      </c>
      <c r="P15">
        <v>10</v>
      </c>
      <c r="Q15">
        <v>80</v>
      </c>
      <c r="R15" t="s">
        <v>31</v>
      </c>
      <c r="S15" t="s">
        <v>29</v>
      </c>
      <c r="T15" t="s">
        <v>30</v>
      </c>
      <c r="AW15">
        <v>16</v>
      </c>
      <c r="AX15">
        <v>40</v>
      </c>
      <c r="AY15">
        <v>24</v>
      </c>
    </row>
    <row r="16" spans="1:81" x14ac:dyDescent="0.3">
      <c r="A16" s="4" t="str">
        <f t="shared" si="0"/>
        <v>SM200102</v>
      </c>
      <c r="B16" t="s">
        <v>22</v>
      </c>
      <c r="C16" t="s">
        <v>36</v>
      </c>
      <c r="D16">
        <v>70</v>
      </c>
      <c r="E16">
        <v>16</v>
      </c>
      <c r="F16" t="s">
        <v>193</v>
      </c>
      <c r="G16" t="s">
        <v>53</v>
      </c>
      <c r="H16" t="s">
        <v>87</v>
      </c>
      <c r="I16" t="s">
        <v>151</v>
      </c>
      <c r="J16" t="s">
        <v>13</v>
      </c>
      <c r="K16" s="8">
        <v>43515</v>
      </c>
      <c r="L16" s="8">
        <v>43535</v>
      </c>
      <c r="M16" t="s">
        <v>37</v>
      </c>
      <c r="N16" t="s">
        <v>38</v>
      </c>
      <c r="O16" t="s">
        <v>39</v>
      </c>
      <c r="P16">
        <v>15</v>
      </c>
      <c r="Q16">
        <v>120</v>
      </c>
      <c r="R16" t="s">
        <v>31</v>
      </c>
      <c r="S16" t="s">
        <v>29</v>
      </c>
      <c r="T16" t="s">
        <v>30</v>
      </c>
      <c r="AL16">
        <v>32</v>
      </c>
      <c r="AM16">
        <v>40</v>
      </c>
      <c r="AN16">
        <v>40</v>
      </c>
      <c r="AO16">
        <v>8</v>
      </c>
    </row>
    <row r="17" spans="1:75" x14ac:dyDescent="0.3">
      <c r="A17" s="4" t="str">
        <f t="shared" si="0"/>
        <v>W9900100</v>
      </c>
      <c r="B17" t="s">
        <v>22</v>
      </c>
      <c r="C17" t="s">
        <v>36</v>
      </c>
      <c r="D17">
        <v>70</v>
      </c>
      <c r="E17">
        <v>16</v>
      </c>
      <c r="F17" t="s">
        <v>194</v>
      </c>
      <c r="G17" t="s">
        <v>54</v>
      </c>
      <c r="H17" t="s">
        <v>88</v>
      </c>
      <c r="I17" t="s">
        <v>152</v>
      </c>
      <c r="J17" t="s">
        <v>45</v>
      </c>
      <c r="K17" s="8" t="s">
        <v>315</v>
      </c>
      <c r="L17" s="8">
        <v>43398</v>
      </c>
      <c r="M17" t="s">
        <v>37</v>
      </c>
      <c r="N17" t="s">
        <v>38</v>
      </c>
      <c r="O17" t="s">
        <v>39</v>
      </c>
      <c r="P17">
        <v>4</v>
      </c>
      <c r="Q17">
        <v>32</v>
      </c>
      <c r="R17" t="s">
        <v>31</v>
      </c>
      <c r="S17" t="s">
        <v>44</v>
      </c>
      <c r="T17" t="s">
        <v>30</v>
      </c>
      <c r="U17">
        <v>32</v>
      </c>
    </row>
    <row r="18" spans="1:75" x14ac:dyDescent="0.3">
      <c r="A18" s="4" t="str">
        <f t="shared" si="0"/>
        <v>W9900100</v>
      </c>
      <c r="B18" t="s">
        <v>22</v>
      </c>
      <c r="C18" t="s">
        <v>36</v>
      </c>
      <c r="D18">
        <v>70</v>
      </c>
      <c r="E18">
        <v>16</v>
      </c>
      <c r="F18" t="s">
        <v>195</v>
      </c>
      <c r="G18" t="s">
        <v>35</v>
      </c>
      <c r="H18" t="s">
        <v>89</v>
      </c>
      <c r="I18" t="s">
        <v>153</v>
      </c>
      <c r="J18" t="s">
        <v>51</v>
      </c>
      <c r="K18" s="8">
        <v>43532</v>
      </c>
      <c r="L18" s="8">
        <v>43535</v>
      </c>
      <c r="M18" t="s">
        <v>37</v>
      </c>
      <c r="N18" t="s">
        <v>38</v>
      </c>
      <c r="O18" t="s">
        <v>39</v>
      </c>
      <c r="P18">
        <v>2</v>
      </c>
      <c r="Q18">
        <v>16</v>
      </c>
      <c r="R18" t="s">
        <v>31</v>
      </c>
      <c r="S18" t="s">
        <v>29</v>
      </c>
      <c r="T18" t="s">
        <v>30</v>
      </c>
      <c r="AN18">
        <v>8</v>
      </c>
      <c r="AO18">
        <v>8</v>
      </c>
    </row>
    <row r="19" spans="1:75" x14ac:dyDescent="0.3">
      <c r="A19" s="4" t="str">
        <f t="shared" si="0"/>
        <v>W9900100</v>
      </c>
      <c r="B19" t="s">
        <v>22</v>
      </c>
      <c r="C19" t="s">
        <v>36</v>
      </c>
      <c r="D19">
        <v>70</v>
      </c>
      <c r="E19">
        <v>16</v>
      </c>
      <c r="F19" t="s">
        <v>195</v>
      </c>
      <c r="G19" t="s">
        <v>35</v>
      </c>
      <c r="H19" t="s">
        <v>89</v>
      </c>
      <c r="I19" t="s">
        <v>154</v>
      </c>
      <c r="J19" t="s">
        <v>13</v>
      </c>
      <c r="K19" s="8">
        <v>43539</v>
      </c>
      <c r="L19" s="8">
        <v>43552</v>
      </c>
      <c r="M19" t="s">
        <v>37</v>
      </c>
      <c r="N19" t="s">
        <v>38</v>
      </c>
      <c r="O19" t="s">
        <v>39</v>
      </c>
      <c r="P19">
        <v>10</v>
      </c>
      <c r="Q19">
        <v>80</v>
      </c>
      <c r="R19" t="s">
        <v>31</v>
      </c>
      <c r="S19" t="s">
        <v>44</v>
      </c>
      <c r="T19" t="s">
        <v>30</v>
      </c>
      <c r="AO19">
        <v>8</v>
      </c>
      <c r="AP19">
        <v>40</v>
      </c>
      <c r="AQ19">
        <v>32</v>
      </c>
    </row>
    <row r="20" spans="1:75" x14ac:dyDescent="0.3">
      <c r="A20" s="4" t="str">
        <f t="shared" si="0"/>
        <v>W9900100</v>
      </c>
      <c r="B20" t="s">
        <v>22</v>
      </c>
      <c r="C20" t="s">
        <v>36</v>
      </c>
      <c r="D20">
        <v>70</v>
      </c>
      <c r="E20">
        <v>16</v>
      </c>
      <c r="F20" t="s">
        <v>196</v>
      </c>
      <c r="G20" t="s">
        <v>55</v>
      </c>
      <c r="H20" t="s">
        <v>90</v>
      </c>
      <c r="I20" t="s">
        <v>155</v>
      </c>
      <c r="J20" t="s">
        <v>13</v>
      </c>
      <c r="K20" s="8">
        <v>43594</v>
      </c>
      <c r="L20" s="8">
        <v>43607</v>
      </c>
      <c r="M20" t="s">
        <v>37</v>
      </c>
      <c r="N20" t="s">
        <v>38</v>
      </c>
      <c r="O20" t="s">
        <v>39</v>
      </c>
      <c r="P20">
        <v>10</v>
      </c>
      <c r="Q20">
        <v>80</v>
      </c>
      <c r="R20" t="s">
        <v>31</v>
      </c>
      <c r="S20" t="s">
        <v>29</v>
      </c>
      <c r="T20" t="s">
        <v>30</v>
      </c>
      <c r="AW20">
        <v>16</v>
      </c>
      <c r="AX20">
        <v>40</v>
      </c>
      <c r="AY20">
        <v>24</v>
      </c>
    </row>
    <row r="21" spans="1:75" x14ac:dyDescent="0.3">
      <c r="A21" s="4" t="str">
        <f t="shared" si="0"/>
        <v>WLW00100</v>
      </c>
      <c r="B21" t="s">
        <v>22</v>
      </c>
      <c r="C21" t="s">
        <v>36</v>
      </c>
      <c r="D21">
        <v>70</v>
      </c>
      <c r="E21">
        <v>16</v>
      </c>
      <c r="F21" t="s">
        <v>197</v>
      </c>
      <c r="G21" t="s">
        <v>47</v>
      </c>
      <c r="H21" t="s">
        <v>91</v>
      </c>
      <c r="I21" t="s">
        <v>156</v>
      </c>
      <c r="J21" t="s">
        <v>13</v>
      </c>
      <c r="K21" s="8">
        <v>43452</v>
      </c>
      <c r="L21" s="8">
        <v>43469</v>
      </c>
      <c r="M21" t="s">
        <v>37</v>
      </c>
      <c r="N21" t="s">
        <v>38</v>
      </c>
      <c r="O21" t="s">
        <v>39</v>
      </c>
      <c r="P21">
        <v>7</v>
      </c>
      <c r="Q21">
        <v>56</v>
      </c>
      <c r="R21" t="s">
        <v>31</v>
      </c>
      <c r="S21" t="s">
        <v>29</v>
      </c>
      <c r="T21" t="s">
        <v>30</v>
      </c>
      <c r="AC21">
        <v>32</v>
      </c>
      <c r="AE21">
        <v>24</v>
      </c>
    </row>
    <row r="22" spans="1:75" x14ac:dyDescent="0.3">
      <c r="A22" s="4" t="str">
        <f t="shared" si="0"/>
        <v>WLW00100</v>
      </c>
      <c r="B22" t="s">
        <v>22</v>
      </c>
      <c r="C22" t="s">
        <v>36</v>
      </c>
      <c r="D22">
        <v>70</v>
      </c>
      <c r="E22">
        <v>16</v>
      </c>
      <c r="F22" t="s">
        <v>198</v>
      </c>
      <c r="G22" t="s">
        <v>222</v>
      </c>
      <c r="H22" t="s">
        <v>92</v>
      </c>
      <c r="I22" t="s">
        <v>157</v>
      </c>
      <c r="J22" t="s">
        <v>13</v>
      </c>
      <c r="K22" s="8">
        <v>43580</v>
      </c>
      <c r="L22" s="8">
        <v>43587</v>
      </c>
      <c r="M22" t="s">
        <v>37</v>
      </c>
      <c r="N22" t="s">
        <v>38</v>
      </c>
      <c r="O22" t="s">
        <v>39</v>
      </c>
      <c r="P22">
        <v>6</v>
      </c>
      <c r="Q22">
        <v>48</v>
      </c>
      <c r="R22" t="s">
        <v>31</v>
      </c>
      <c r="S22" t="s">
        <v>29</v>
      </c>
      <c r="T22" t="s">
        <v>30</v>
      </c>
      <c r="AU22">
        <v>16</v>
      </c>
      <c r="AV22">
        <v>32</v>
      </c>
    </row>
    <row r="23" spans="1:75" x14ac:dyDescent="0.3">
      <c r="A23" s="4" t="str">
        <f t="shared" si="0"/>
        <v>XE400100</v>
      </c>
      <c r="B23" t="s">
        <v>16</v>
      </c>
      <c r="C23" t="s">
        <v>36</v>
      </c>
      <c r="D23">
        <v>70</v>
      </c>
      <c r="E23">
        <v>16</v>
      </c>
      <c r="F23" t="s">
        <v>218</v>
      </c>
      <c r="G23" t="s">
        <v>58</v>
      </c>
      <c r="H23" t="s">
        <v>215</v>
      </c>
      <c r="I23" t="s">
        <v>158</v>
      </c>
      <c r="J23" t="s">
        <v>13</v>
      </c>
      <c r="K23" s="8">
        <v>43529</v>
      </c>
      <c r="L23" s="8">
        <v>43549</v>
      </c>
      <c r="M23" t="s">
        <v>37</v>
      </c>
      <c r="N23" t="s">
        <v>59</v>
      </c>
      <c r="O23" t="s">
        <v>39</v>
      </c>
      <c r="P23">
        <v>15</v>
      </c>
      <c r="Q23">
        <v>120</v>
      </c>
      <c r="R23" t="s">
        <v>31</v>
      </c>
      <c r="S23" t="s">
        <v>44</v>
      </c>
      <c r="T23" t="s">
        <v>30</v>
      </c>
      <c r="AN23">
        <v>32</v>
      </c>
      <c r="AO23">
        <v>40</v>
      </c>
      <c r="AP23">
        <v>40</v>
      </c>
      <c r="AQ23">
        <v>8</v>
      </c>
    </row>
    <row r="24" spans="1:75" x14ac:dyDescent="0.3">
      <c r="A24" s="4" t="str">
        <f t="shared" si="0"/>
        <v>MK700100</v>
      </c>
      <c r="B24" t="s">
        <v>20</v>
      </c>
      <c r="C24" t="s">
        <v>36</v>
      </c>
      <c r="D24">
        <v>70</v>
      </c>
      <c r="E24">
        <v>16</v>
      </c>
      <c r="F24" t="s">
        <v>199</v>
      </c>
      <c r="G24" t="s">
        <v>60</v>
      </c>
      <c r="H24" t="s">
        <v>93</v>
      </c>
      <c r="I24" t="s">
        <v>159</v>
      </c>
      <c r="J24" t="s">
        <v>13</v>
      </c>
      <c r="K24" s="8">
        <v>43749</v>
      </c>
      <c r="L24" s="8">
        <v>43762</v>
      </c>
      <c r="M24" t="s">
        <v>37</v>
      </c>
      <c r="N24" t="s">
        <v>59</v>
      </c>
      <c r="O24" t="s">
        <v>39</v>
      </c>
      <c r="P24">
        <v>10</v>
      </c>
      <c r="Q24">
        <v>80</v>
      </c>
      <c r="R24" t="s">
        <v>31</v>
      </c>
      <c r="S24" t="s">
        <v>29</v>
      </c>
      <c r="T24" t="s">
        <v>30</v>
      </c>
      <c r="BS24">
        <v>8</v>
      </c>
      <c r="BT24">
        <v>40</v>
      </c>
      <c r="BU24">
        <v>32</v>
      </c>
    </row>
    <row r="25" spans="1:75" x14ac:dyDescent="0.3">
      <c r="A25" s="4" t="str">
        <f t="shared" si="0"/>
        <v>MK800100</v>
      </c>
      <c r="B25" t="s">
        <v>20</v>
      </c>
      <c r="C25" t="s">
        <v>36</v>
      </c>
      <c r="D25">
        <v>70</v>
      </c>
      <c r="E25">
        <v>16</v>
      </c>
      <c r="F25" t="s">
        <v>200</v>
      </c>
      <c r="G25" t="s">
        <v>33</v>
      </c>
      <c r="H25" t="s">
        <v>94</v>
      </c>
      <c r="I25" t="s">
        <v>160</v>
      </c>
      <c r="J25" t="s">
        <v>13</v>
      </c>
      <c r="K25" s="8">
        <v>43409</v>
      </c>
      <c r="L25" s="8">
        <v>43412</v>
      </c>
      <c r="M25" t="s">
        <v>37</v>
      </c>
      <c r="N25" t="s">
        <v>59</v>
      </c>
      <c r="O25" t="s">
        <v>39</v>
      </c>
      <c r="P25">
        <v>4</v>
      </c>
      <c r="Q25">
        <v>32</v>
      </c>
      <c r="R25" t="s">
        <v>31</v>
      </c>
      <c r="S25" t="s">
        <v>29</v>
      </c>
      <c r="T25" t="s">
        <v>30</v>
      </c>
      <c r="W25">
        <v>32</v>
      </c>
    </row>
    <row r="26" spans="1:75" x14ac:dyDescent="0.3">
      <c r="A26" s="4" t="str">
        <f t="shared" si="0"/>
        <v>MK800100</v>
      </c>
      <c r="B26" t="s">
        <v>20</v>
      </c>
      <c r="C26" t="s">
        <v>36</v>
      </c>
      <c r="D26">
        <v>70</v>
      </c>
      <c r="E26">
        <v>16</v>
      </c>
      <c r="F26" t="s">
        <v>201</v>
      </c>
      <c r="G26" t="s">
        <v>32</v>
      </c>
      <c r="H26" t="s">
        <v>95</v>
      </c>
      <c r="I26" t="s">
        <v>161</v>
      </c>
      <c r="J26" t="s">
        <v>13</v>
      </c>
      <c r="K26" s="8">
        <v>43447</v>
      </c>
      <c r="L26" s="8">
        <v>43469</v>
      </c>
      <c r="M26" t="s">
        <v>37</v>
      </c>
      <c r="N26" t="s">
        <v>59</v>
      </c>
      <c r="O26" t="s">
        <v>39</v>
      </c>
      <c r="P26">
        <v>10</v>
      </c>
      <c r="Q26">
        <v>80</v>
      </c>
      <c r="R26" t="s">
        <v>31</v>
      </c>
      <c r="S26" t="s">
        <v>29</v>
      </c>
      <c r="T26" t="s">
        <v>30</v>
      </c>
      <c r="AB26">
        <v>16</v>
      </c>
      <c r="AC26">
        <v>40</v>
      </c>
      <c r="AE26">
        <v>24</v>
      </c>
    </row>
    <row r="27" spans="1:75" x14ac:dyDescent="0.3">
      <c r="A27" s="4" t="str">
        <f t="shared" si="0"/>
        <v>MK800100</v>
      </c>
      <c r="B27" t="s">
        <v>20</v>
      </c>
      <c r="C27" t="s">
        <v>36</v>
      </c>
      <c r="D27">
        <v>70</v>
      </c>
      <c r="E27">
        <v>16</v>
      </c>
      <c r="F27" t="s">
        <v>202</v>
      </c>
      <c r="G27" t="s">
        <v>60</v>
      </c>
      <c r="H27" t="s">
        <v>96</v>
      </c>
      <c r="I27" t="s">
        <v>162</v>
      </c>
      <c r="J27" t="s">
        <v>13</v>
      </c>
      <c r="K27" s="8">
        <v>43749</v>
      </c>
      <c r="L27" s="8">
        <v>43762</v>
      </c>
      <c r="M27" t="s">
        <v>37</v>
      </c>
      <c r="N27" t="s">
        <v>59</v>
      </c>
      <c r="O27" t="s">
        <v>39</v>
      </c>
      <c r="P27">
        <v>10</v>
      </c>
      <c r="Q27">
        <v>80</v>
      </c>
      <c r="R27" t="s">
        <v>31</v>
      </c>
      <c r="S27" t="s">
        <v>29</v>
      </c>
      <c r="T27" t="s">
        <v>30</v>
      </c>
      <c r="BS27">
        <v>8</v>
      </c>
      <c r="BT27">
        <v>40</v>
      </c>
      <c r="BU27">
        <v>32</v>
      </c>
    </row>
    <row r="28" spans="1:75" x14ac:dyDescent="0.3">
      <c r="A28" s="4" t="str">
        <f t="shared" si="0"/>
        <v>MK900100</v>
      </c>
      <c r="B28" t="s">
        <v>20</v>
      </c>
      <c r="C28" t="s">
        <v>36</v>
      </c>
      <c r="D28">
        <v>70</v>
      </c>
      <c r="E28">
        <v>16</v>
      </c>
      <c r="F28" t="s">
        <v>203</v>
      </c>
      <c r="G28" t="s">
        <v>33</v>
      </c>
      <c r="H28" t="s">
        <v>97</v>
      </c>
      <c r="I28" t="s">
        <v>163</v>
      </c>
      <c r="J28" t="s">
        <v>13</v>
      </c>
      <c r="K28" s="8">
        <v>43440</v>
      </c>
      <c r="L28" s="8">
        <v>43445</v>
      </c>
      <c r="M28" t="s">
        <v>37</v>
      </c>
      <c r="N28" t="s">
        <v>59</v>
      </c>
      <c r="O28" t="s">
        <v>39</v>
      </c>
      <c r="P28">
        <v>4</v>
      </c>
      <c r="Q28">
        <v>32</v>
      </c>
      <c r="R28" t="s">
        <v>31</v>
      </c>
      <c r="S28" t="s">
        <v>29</v>
      </c>
      <c r="T28" t="s">
        <v>30</v>
      </c>
      <c r="AA28">
        <v>16</v>
      </c>
      <c r="AB28">
        <v>16</v>
      </c>
    </row>
    <row r="29" spans="1:75" x14ac:dyDescent="0.3">
      <c r="A29" s="4" t="str">
        <f t="shared" si="0"/>
        <v>P1.10</v>
      </c>
      <c r="B29" t="s">
        <v>20</v>
      </c>
      <c r="C29" t="s">
        <v>36</v>
      </c>
      <c r="D29">
        <v>70</v>
      </c>
      <c r="E29">
        <v>16</v>
      </c>
      <c r="F29" t="s">
        <v>257</v>
      </c>
      <c r="G29" t="s">
        <v>56</v>
      </c>
      <c r="H29" t="s">
        <v>258</v>
      </c>
      <c r="I29" t="s">
        <v>164</v>
      </c>
      <c r="J29" t="s">
        <v>13</v>
      </c>
      <c r="K29" s="8">
        <v>43682</v>
      </c>
      <c r="L29" s="8">
        <v>43684</v>
      </c>
      <c r="M29" t="s">
        <v>37</v>
      </c>
      <c r="N29" t="s">
        <v>59</v>
      </c>
      <c r="O29" t="s">
        <v>39</v>
      </c>
      <c r="P29">
        <v>3</v>
      </c>
      <c r="Q29">
        <v>24</v>
      </c>
      <c r="R29" t="s">
        <v>31</v>
      </c>
      <c r="S29" t="s">
        <v>29</v>
      </c>
      <c r="T29" t="s">
        <v>30</v>
      </c>
      <c r="BJ29">
        <v>24</v>
      </c>
    </row>
    <row r="30" spans="1:75" x14ac:dyDescent="0.3">
      <c r="A30" s="4" t="str">
        <f t="shared" si="0"/>
        <v>P1.6</v>
      </c>
      <c r="B30" t="s">
        <v>20</v>
      </c>
      <c r="C30" t="s">
        <v>36</v>
      </c>
      <c r="D30">
        <v>70</v>
      </c>
      <c r="E30">
        <v>16</v>
      </c>
      <c r="F30" t="s">
        <v>259</v>
      </c>
      <c r="G30" t="s">
        <v>57</v>
      </c>
      <c r="H30" t="s">
        <v>260</v>
      </c>
      <c r="I30" t="s">
        <v>165</v>
      </c>
      <c r="J30" t="s">
        <v>13</v>
      </c>
      <c r="K30" s="8">
        <v>43769</v>
      </c>
      <c r="L30" s="8">
        <v>43773</v>
      </c>
      <c r="M30" t="s">
        <v>37</v>
      </c>
      <c r="N30" t="s">
        <v>59</v>
      </c>
      <c r="O30" t="s">
        <v>39</v>
      </c>
      <c r="P30">
        <v>3</v>
      </c>
      <c r="Q30">
        <v>24</v>
      </c>
      <c r="R30" t="s">
        <v>31</v>
      </c>
      <c r="S30" t="s">
        <v>29</v>
      </c>
      <c r="T30" t="s">
        <v>30</v>
      </c>
      <c r="BV30">
        <v>16</v>
      </c>
      <c r="BW30">
        <v>8</v>
      </c>
    </row>
    <row r="31" spans="1:75" x14ac:dyDescent="0.3">
      <c r="A31" s="4" t="str">
        <f t="shared" si="0"/>
        <v>EMB00251</v>
      </c>
      <c r="B31" t="s">
        <v>18</v>
      </c>
      <c r="C31" t="s">
        <v>36</v>
      </c>
      <c r="D31">
        <v>70</v>
      </c>
      <c r="E31">
        <v>16</v>
      </c>
      <c r="F31" t="s">
        <v>204</v>
      </c>
      <c r="G31" t="s">
        <v>62</v>
      </c>
      <c r="H31" t="s">
        <v>98</v>
      </c>
      <c r="I31" t="s">
        <v>166</v>
      </c>
      <c r="J31" t="s">
        <v>13</v>
      </c>
      <c r="K31" s="8">
        <v>43402</v>
      </c>
      <c r="L31" s="8">
        <v>43406</v>
      </c>
      <c r="M31" t="s">
        <v>37</v>
      </c>
      <c r="N31" t="s">
        <v>61</v>
      </c>
      <c r="O31" t="s">
        <v>39</v>
      </c>
      <c r="P31">
        <v>5</v>
      </c>
      <c r="Q31">
        <v>40</v>
      </c>
      <c r="R31" t="s">
        <v>31</v>
      </c>
      <c r="S31" t="s">
        <v>29</v>
      </c>
      <c r="T31" t="s">
        <v>30</v>
      </c>
      <c r="V31">
        <v>40</v>
      </c>
    </row>
    <row r="32" spans="1:75" x14ac:dyDescent="0.3">
      <c r="A32" s="4" t="str">
        <f t="shared" si="0"/>
        <v>EMB00251</v>
      </c>
      <c r="B32" t="s">
        <v>18</v>
      </c>
      <c r="C32" t="s">
        <v>36</v>
      </c>
      <c r="D32">
        <v>70</v>
      </c>
      <c r="E32">
        <v>16</v>
      </c>
      <c r="F32" t="s">
        <v>205</v>
      </c>
      <c r="G32" t="s">
        <v>63</v>
      </c>
      <c r="H32" t="s">
        <v>99</v>
      </c>
      <c r="I32" t="s">
        <v>167</v>
      </c>
      <c r="J32" t="s">
        <v>13</v>
      </c>
      <c r="K32" s="8">
        <v>43591</v>
      </c>
      <c r="L32" s="8">
        <v>43594</v>
      </c>
      <c r="M32" t="s">
        <v>37</v>
      </c>
      <c r="N32" t="s">
        <v>61</v>
      </c>
      <c r="O32" t="s">
        <v>39</v>
      </c>
      <c r="P32">
        <v>4</v>
      </c>
      <c r="Q32">
        <v>32</v>
      </c>
      <c r="R32" t="s">
        <v>31</v>
      </c>
      <c r="S32" t="s">
        <v>29</v>
      </c>
      <c r="T32" t="s">
        <v>30</v>
      </c>
      <c r="AW32">
        <v>32</v>
      </c>
    </row>
    <row r="33" spans="1:77" x14ac:dyDescent="0.3">
      <c r="A33" s="4" t="str">
        <f t="shared" si="0"/>
        <v>SGW00201</v>
      </c>
      <c r="B33" t="s">
        <v>26</v>
      </c>
      <c r="C33" t="s">
        <v>36</v>
      </c>
      <c r="D33">
        <v>70</v>
      </c>
      <c r="E33">
        <v>16</v>
      </c>
      <c r="F33" t="s">
        <v>206</v>
      </c>
      <c r="G33" t="s">
        <v>64</v>
      </c>
      <c r="H33" t="s">
        <v>100</v>
      </c>
      <c r="I33" t="s">
        <v>168</v>
      </c>
      <c r="J33" t="s">
        <v>65</v>
      </c>
      <c r="K33" s="8">
        <v>43535</v>
      </c>
      <c r="L33" s="8">
        <v>43539</v>
      </c>
      <c r="M33" t="s">
        <v>37</v>
      </c>
      <c r="N33" t="s">
        <v>132</v>
      </c>
      <c r="O33" t="s">
        <v>39</v>
      </c>
      <c r="P33">
        <v>5</v>
      </c>
      <c r="Q33">
        <v>40</v>
      </c>
      <c r="R33" t="s">
        <v>31</v>
      </c>
      <c r="S33" t="s">
        <v>29</v>
      </c>
      <c r="T33" t="s">
        <v>30</v>
      </c>
      <c r="AO33">
        <v>40</v>
      </c>
    </row>
    <row r="34" spans="1:77" x14ac:dyDescent="0.3">
      <c r="A34" s="4" t="str">
        <f t="shared" si="0"/>
        <v>SGW00201</v>
      </c>
      <c r="B34" t="s">
        <v>26</v>
      </c>
      <c r="C34" t="s">
        <v>36</v>
      </c>
      <c r="D34">
        <v>70</v>
      </c>
      <c r="E34">
        <v>16</v>
      </c>
      <c r="F34" t="s">
        <v>207</v>
      </c>
      <c r="G34" t="s">
        <v>66</v>
      </c>
      <c r="H34" t="s">
        <v>101</v>
      </c>
      <c r="I34" t="s">
        <v>169</v>
      </c>
      <c r="J34" t="s">
        <v>13</v>
      </c>
      <c r="K34" s="8">
        <v>43556</v>
      </c>
      <c r="L34" s="8">
        <v>43565</v>
      </c>
      <c r="M34" t="s">
        <v>37</v>
      </c>
      <c r="N34" t="s">
        <v>132</v>
      </c>
      <c r="O34" t="s">
        <v>39</v>
      </c>
      <c r="P34">
        <v>8</v>
      </c>
      <c r="Q34">
        <v>64</v>
      </c>
      <c r="R34" t="s">
        <v>31</v>
      </c>
      <c r="S34" t="s">
        <v>29</v>
      </c>
      <c r="T34" t="s">
        <v>30</v>
      </c>
      <c r="AR34">
        <v>40</v>
      </c>
      <c r="AS34">
        <v>24</v>
      </c>
    </row>
    <row r="35" spans="1:77" x14ac:dyDescent="0.3">
      <c r="A35" s="4" t="str">
        <f t="shared" si="0"/>
        <v>SGW00201</v>
      </c>
      <c r="B35" t="s">
        <v>26</v>
      </c>
      <c r="C35" t="s">
        <v>36</v>
      </c>
      <c r="D35">
        <v>70</v>
      </c>
      <c r="E35">
        <v>16</v>
      </c>
      <c r="F35" t="s">
        <v>208</v>
      </c>
      <c r="G35" t="s">
        <v>56</v>
      </c>
      <c r="H35" t="s">
        <v>102</v>
      </c>
      <c r="I35" t="s">
        <v>170</v>
      </c>
      <c r="J35" t="s">
        <v>13</v>
      </c>
      <c r="K35" s="8">
        <v>43567</v>
      </c>
      <c r="L35" s="8">
        <v>43571</v>
      </c>
      <c r="M35" t="s">
        <v>37</v>
      </c>
      <c r="N35" t="s">
        <v>132</v>
      </c>
      <c r="O35" t="s">
        <v>39</v>
      </c>
      <c r="P35">
        <v>3</v>
      </c>
      <c r="Q35">
        <v>24</v>
      </c>
      <c r="R35" t="s">
        <v>31</v>
      </c>
      <c r="S35" t="s">
        <v>29</v>
      </c>
      <c r="T35" t="s">
        <v>30</v>
      </c>
      <c r="AS35">
        <v>8</v>
      </c>
      <c r="AT35">
        <v>16</v>
      </c>
    </row>
    <row r="36" spans="1:77" x14ac:dyDescent="0.3">
      <c r="A36" s="4" t="str">
        <f t="shared" si="0"/>
        <v>SGW00201</v>
      </c>
      <c r="B36" t="s">
        <v>26</v>
      </c>
      <c r="C36" t="s">
        <v>36</v>
      </c>
      <c r="D36">
        <v>70</v>
      </c>
      <c r="E36">
        <v>16</v>
      </c>
      <c r="F36" t="s">
        <v>238</v>
      </c>
      <c r="G36" t="s">
        <v>12</v>
      </c>
      <c r="H36" t="s">
        <v>239</v>
      </c>
      <c r="I36" t="s">
        <v>171</v>
      </c>
      <c r="J36" t="s">
        <v>286</v>
      </c>
      <c r="K36" s="8">
        <v>43516</v>
      </c>
      <c r="L36" s="8">
        <v>43528</v>
      </c>
      <c r="M36" t="s">
        <v>37</v>
      </c>
      <c r="N36" t="s">
        <v>132</v>
      </c>
      <c r="O36" t="s">
        <v>39</v>
      </c>
      <c r="P36">
        <v>9</v>
      </c>
      <c r="Q36">
        <v>72</v>
      </c>
      <c r="R36" t="s">
        <v>31</v>
      </c>
      <c r="S36" t="s">
        <v>67</v>
      </c>
      <c r="T36" t="s">
        <v>30</v>
      </c>
      <c r="AL36">
        <v>24</v>
      </c>
      <c r="AM36">
        <v>40</v>
      </c>
      <c r="AN36">
        <v>8</v>
      </c>
    </row>
    <row r="37" spans="1:77" x14ac:dyDescent="0.3">
      <c r="A37" s="4" t="str">
        <f t="shared" si="0"/>
        <v>SGW00201</v>
      </c>
      <c r="B37" t="s">
        <v>26</v>
      </c>
      <c r="C37" t="s">
        <v>36</v>
      </c>
      <c r="D37">
        <v>70</v>
      </c>
      <c r="E37">
        <v>16</v>
      </c>
      <c r="F37" t="s">
        <v>209</v>
      </c>
      <c r="G37" t="s">
        <v>54</v>
      </c>
      <c r="H37" t="s">
        <v>103</v>
      </c>
      <c r="I37" t="s">
        <v>172</v>
      </c>
      <c r="J37" t="s">
        <v>42</v>
      </c>
      <c r="K37" s="8">
        <v>43594</v>
      </c>
      <c r="L37" s="8">
        <v>43595</v>
      </c>
      <c r="M37" t="s">
        <v>37</v>
      </c>
      <c r="N37" t="s">
        <v>132</v>
      </c>
      <c r="O37" t="s">
        <v>39</v>
      </c>
      <c r="P37">
        <v>2</v>
      </c>
      <c r="Q37">
        <v>16</v>
      </c>
      <c r="R37" t="s">
        <v>31</v>
      </c>
      <c r="S37" t="s">
        <v>29</v>
      </c>
      <c r="T37" t="s">
        <v>30</v>
      </c>
      <c r="AW37">
        <v>16</v>
      </c>
    </row>
    <row r="38" spans="1:77" x14ac:dyDescent="0.3">
      <c r="A38" s="4" t="str">
        <f t="shared" si="0"/>
        <v>SGW00201</v>
      </c>
      <c r="B38" t="s">
        <v>26</v>
      </c>
      <c r="C38" t="s">
        <v>36</v>
      </c>
      <c r="D38">
        <v>70</v>
      </c>
      <c r="E38">
        <v>16</v>
      </c>
      <c r="F38" t="s">
        <v>209</v>
      </c>
      <c r="G38" t="s">
        <v>54</v>
      </c>
      <c r="H38" t="s">
        <v>103</v>
      </c>
      <c r="I38" t="s">
        <v>173</v>
      </c>
      <c r="J38" t="s">
        <v>43</v>
      </c>
      <c r="K38" s="8">
        <v>43601</v>
      </c>
      <c r="L38" s="8">
        <v>43607</v>
      </c>
      <c r="M38" t="s">
        <v>37</v>
      </c>
      <c r="N38" t="s">
        <v>132</v>
      </c>
      <c r="O38" t="s">
        <v>39</v>
      </c>
      <c r="P38">
        <v>5</v>
      </c>
      <c r="Q38">
        <v>40</v>
      </c>
      <c r="R38" t="s">
        <v>31</v>
      </c>
      <c r="S38" t="s">
        <v>29</v>
      </c>
      <c r="T38" t="s">
        <v>30</v>
      </c>
      <c r="AX38">
        <v>16</v>
      </c>
      <c r="AY38">
        <v>24</v>
      </c>
    </row>
    <row r="39" spans="1:77" x14ac:dyDescent="0.3">
      <c r="A39" s="4" t="str">
        <f t="shared" si="0"/>
        <v>SGW00201</v>
      </c>
      <c r="B39" t="s">
        <v>26</v>
      </c>
      <c r="C39" t="s">
        <v>36</v>
      </c>
      <c r="D39">
        <v>70</v>
      </c>
      <c r="E39">
        <v>16</v>
      </c>
      <c r="F39" t="s">
        <v>209</v>
      </c>
      <c r="G39" t="s">
        <v>54</v>
      </c>
      <c r="H39" t="s">
        <v>103</v>
      </c>
      <c r="I39" t="s">
        <v>174</v>
      </c>
      <c r="J39" t="s">
        <v>45</v>
      </c>
      <c r="K39" s="8">
        <v>43609</v>
      </c>
      <c r="L39" s="8">
        <v>43615</v>
      </c>
      <c r="M39" t="s">
        <v>37</v>
      </c>
      <c r="N39" t="s">
        <v>132</v>
      </c>
      <c r="O39" t="s">
        <v>39</v>
      </c>
      <c r="P39">
        <v>4</v>
      </c>
      <c r="Q39">
        <v>32</v>
      </c>
      <c r="R39" t="s">
        <v>31</v>
      </c>
      <c r="S39" t="s">
        <v>29</v>
      </c>
      <c r="T39" t="s">
        <v>30</v>
      </c>
      <c r="AY39">
        <v>8</v>
      </c>
      <c r="AZ39">
        <v>24</v>
      </c>
    </row>
    <row r="40" spans="1:77" x14ac:dyDescent="0.3">
      <c r="A40" s="4" t="str">
        <f t="shared" si="0"/>
        <v>SGW00201</v>
      </c>
      <c r="B40" t="s">
        <v>26</v>
      </c>
      <c r="C40" t="s">
        <v>36</v>
      </c>
      <c r="D40">
        <v>70</v>
      </c>
      <c r="E40">
        <v>16</v>
      </c>
      <c r="F40" t="s">
        <v>209</v>
      </c>
      <c r="G40" t="s">
        <v>54</v>
      </c>
      <c r="H40" t="s">
        <v>103</v>
      </c>
      <c r="I40" t="s">
        <v>175</v>
      </c>
      <c r="J40" t="s">
        <v>46</v>
      </c>
      <c r="K40" s="8">
        <v>43621</v>
      </c>
      <c r="L40" s="8">
        <v>43622</v>
      </c>
      <c r="M40" t="s">
        <v>37</v>
      </c>
      <c r="N40" t="s">
        <v>132</v>
      </c>
      <c r="O40" t="s">
        <v>39</v>
      </c>
      <c r="P40">
        <v>2</v>
      </c>
      <c r="Q40">
        <v>16</v>
      </c>
      <c r="R40" t="s">
        <v>31</v>
      </c>
      <c r="S40" t="s">
        <v>29</v>
      </c>
      <c r="T40" t="s">
        <v>30</v>
      </c>
      <c r="BA40">
        <v>16</v>
      </c>
    </row>
    <row r="41" spans="1:77" x14ac:dyDescent="0.3">
      <c r="A41" s="4" t="str">
        <f t="shared" si="0"/>
        <v>MBY00100</v>
      </c>
      <c r="B41" t="s">
        <v>22</v>
      </c>
      <c r="C41" t="s">
        <v>36</v>
      </c>
      <c r="D41">
        <v>70</v>
      </c>
      <c r="E41">
        <v>16</v>
      </c>
      <c r="F41" t="s">
        <v>210</v>
      </c>
      <c r="G41" t="s">
        <v>133</v>
      </c>
      <c r="H41" t="s">
        <v>134</v>
      </c>
      <c r="I41" t="s">
        <v>176</v>
      </c>
      <c r="J41" t="s">
        <v>13</v>
      </c>
      <c r="K41" s="8">
        <v>43592</v>
      </c>
      <c r="L41" s="8">
        <v>43613</v>
      </c>
      <c r="M41" t="s">
        <v>37</v>
      </c>
      <c r="N41" t="s">
        <v>38</v>
      </c>
      <c r="O41" t="s">
        <v>39</v>
      </c>
      <c r="P41">
        <v>15</v>
      </c>
      <c r="Q41">
        <v>120</v>
      </c>
      <c r="R41" t="s">
        <v>31</v>
      </c>
      <c r="S41" t="s">
        <v>44</v>
      </c>
      <c r="T41" t="s">
        <v>30</v>
      </c>
      <c r="AW41">
        <v>32</v>
      </c>
      <c r="AX41">
        <v>40</v>
      </c>
      <c r="AY41">
        <v>40</v>
      </c>
      <c r="AZ41">
        <v>8</v>
      </c>
    </row>
    <row r="42" spans="1:77" x14ac:dyDescent="0.3">
      <c r="A42" s="4" t="str">
        <f t="shared" si="0"/>
        <v>MBY00100</v>
      </c>
      <c r="B42" t="s">
        <v>22</v>
      </c>
      <c r="C42" t="s">
        <v>36</v>
      </c>
      <c r="D42">
        <v>70</v>
      </c>
      <c r="E42">
        <v>16</v>
      </c>
      <c r="F42" t="s">
        <v>210</v>
      </c>
      <c r="G42" t="s">
        <v>133</v>
      </c>
      <c r="H42" t="s">
        <v>134</v>
      </c>
      <c r="I42" t="s">
        <v>177</v>
      </c>
      <c r="J42" t="s">
        <v>51</v>
      </c>
      <c r="K42" s="8">
        <v>43585</v>
      </c>
      <c r="L42" s="8">
        <v>43586</v>
      </c>
      <c r="M42" t="s">
        <v>37</v>
      </c>
      <c r="N42" t="s">
        <v>38</v>
      </c>
      <c r="O42" t="s">
        <v>39</v>
      </c>
      <c r="P42">
        <v>2</v>
      </c>
      <c r="Q42">
        <v>16</v>
      </c>
      <c r="R42" t="s">
        <v>31</v>
      </c>
      <c r="S42" t="s">
        <v>29</v>
      </c>
      <c r="T42" t="s">
        <v>30</v>
      </c>
      <c r="AV42">
        <v>16</v>
      </c>
    </row>
    <row r="43" spans="1:77" x14ac:dyDescent="0.3">
      <c r="A43" s="4" t="str">
        <f t="shared" si="0"/>
        <v>MBY00100</v>
      </c>
      <c r="B43" t="s">
        <v>22</v>
      </c>
      <c r="C43" t="s">
        <v>36</v>
      </c>
      <c r="D43">
        <v>70</v>
      </c>
      <c r="E43">
        <v>16</v>
      </c>
      <c r="F43" t="s">
        <v>210</v>
      </c>
      <c r="G43" t="s">
        <v>133</v>
      </c>
      <c r="H43" t="s">
        <v>134</v>
      </c>
      <c r="I43" t="s">
        <v>176</v>
      </c>
      <c r="J43" t="s">
        <v>13</v>
      </c>
      <c r="K43" s="8">
        <v>43592</v>
      </c>
      <c r="L43" s="8">
        <v>43613</v>
      </c>
      <c r="M43" t="s">
        <v>68</v>
      </c>
      <c r="N43" t="s">
        <v>69</v>
      </c>
      <c r="O43" t="s">
        <v>39</v>
      </c>
      <c r="P43">
        <v>15</v>
      </c>
      <c r="Q43">
        <v>120</v>
      </c>
      <c r="R43" t="s">
        <v>31</v>
      </c>
      <c r="S43" t="s">
        <v>44</v>
      </c>
      <c r="T43" t="s">
        <v>30</v>
      </c>
      <c r="AW43">
        <v>32</v>
      </c>
      <c r="AX43">
        <v>40</v>
      </c>
      <c r="AY43">
        <v>40</v>
      </c>
      <c r="AZ43">
        <v>8</v>
      </c>
    </row>
    <row r="44" spans="1:77" x14ac:dyDescent="0.3">
      <c r="A44" s="4" t="str">
        <f t="shared" si="0"/>
        <v>MBY00100</v>
      </c>
      <c r="B44" t="s">
        <v>22</v>
      </c>
      <c r="C44" t="s">
        <v>36</v>
      </c>
      <c r="D44">
        <v>70</v>
      </c>
      <c r="E44">
        <v>16</v>
      </c>
      <c r="F44" t="s">
        <v>210</v>
      </c>
      <c r="G44" t="s">
        <v>133</v>
      </c>
      <c r="H44" t="s">
        <v>134</v>
      </c>
      <c r="I44" t="s">
        <v>177</v>
      </c>
      <c r="J44" t="s">
        <v>51</v>
      </c>
      <c r="K44" s="8">
        <v>43585</v>
      </c>
      <c r="L44" s="8">
        <v>43586</v>
      </c>
      <c r="M44" t="s">
        <v>68</v>
      </c>
      <c r="N44" t="s">
        <v>69</v>
      </c>
      <c r="O44" t="s">
        <v>39</v>
      </c>
      <c r="P44">
        <v>2</v>
      </c>
      <c r="Q44">
        <v>16</v>
      </c>
      <c r="R44" t="s">
        <v>31</v>
      </c>
      <c r="S44" t="s">
        <v>29</v>
      </c>
      <c r="T44" t="s">
        <v>30</v>
      </c>
      <c r="AV44">
        <v>16</v>
      </c>
    </row>
    <row r="45" spans="1:77" x14ac:dyDescent="0.3">
      <c r="A45" s="4" t="str">
        <f t="shared" si="0"/>
        <v>MBY00100</v>
      </c>
      <c r="B45" t="s">
        <v>22</v>
      </c>
      <c r="C45" t="s">
        <v>36</v>
      </c>
      <c r="D45">
        <v>70</v>
      </c>
      <c r="E45">
        <v>16</v>
      </c>
      <c r="F45" t="s">
        <v>211</v>
      </c>
      <c r="G45" t="s">
        <v>75</v>
      </c>
      <c r="H45" t="s">
        <v>106</v>
      </c>
      <c r="I45" t="s">
        <v>182</v>
      </c>
      <c r="J45" t="s">
        <v>76</v>
      </c>
      <c r="K45" s="8">
        <v>43418</v>
      </c>
      <c r="L45" s="8">
        <v>43439</v>
      </c>
      <c r="M45" t="s">
        <v>68</v>
      </c>
      <c r="N45" t="s">
        <v>69</v>
      </c>
      <c r="O45" t="s">
        <v>39</v>
      </c>
      <c r="P45">
        <v>14</v>
      </c>
      <c r="Q45">
        <v>112</v>
      </c>
      <c r="R45" t="s">
        <v>31</v>
      </c>
      <c r="S45" t="s">
        <v>29</v>
      </c>
      <c r="T45" t="s">
        <v>30</v>
      </c>
      <c r="X45">
        <v>24</v>
      </c>
      <c r="Y45">
        <v>24</v>
      </c>
      <c r="Z45">
        <v>40</v>
      </c>
      <c r="AA45">
        <v>24</v>
      </c>
    </row>
    <row r="46" spans="1:77" x14ac:dyDescent="0.3">
      <c r="A46" s="4" t="str">
        <f t="shared" si="0"/>
        <v>MBY00100</v>
      </c>
      <c r="B46" t="s">
        <v>22</v>
      </c>
      <c r="C46" t="s">
        <v>36</v>
      </c>
      <c r="D46">
        <v>70</v>
      </c>
      <c r="E46">
        <v>16</v>
      </c>
      <c r="F46" t="s">
        <v>211</v>
      </c>
      <c r="G46" t="s">
        <v>75</v>
      </c>
      <c r="H46" t="s">
        <v>106</v>
      </c>
      <c r="I46" t="s">
        <v>182</v>
      </c>
      <c r="J46" t="s">
        <v>76</v>
      </c>
      <c r="K46" s="8">
        <v>43418</v>
      </c>
      <c r="L46" s="8">
        <v>43439</v>
      </c>
      <c r="M46" t="s">
        <v>37</v>
      </c>
      <c r="N46" t="s">
        <v>38</v>
      </c>
      <c r="O46" t="s">
        <v>39</v>
      </c>
      <c r="P46">
        <v>14</v>
      </c>
      <c r="Q46">
        <v>112</v>
      </c>
      <c r="R46" t="s">
        <v>31</v>
      </c>
      <c r="S46" t="s">
        <v>29</v>
      </c>
      <c r="T46" t="s">
        <v>30</v>
      </c>
      <c r="X46">
        <v>24</v>
      </c>
      <c r="Y46">
        <v>24</v>
      </c>
      <c r="Z46">
        <v>40</v>
      </c>
      <c r="AA46">
        <v>24</v>
      </c>
    </row>
    <row r="47" spans="1:77" x14ac:dyDescent="0.3">
      <c r="A47" s="4" t="str">
        <f t="shared" si="0"/>
        <v>MBY00100</v>
      </c>
      <c r="B47" t="s">
        <v>22</v>
      </c>
      <c r="C47" t="s">
        <v>36</v>
      </c>
      <c r="D47">
        <v>70</v>
      </c>
      <c r="E47">
        <v>16</v>
      </c>
      <c r="F47" t="s">
        <v>189</v>
      </c>
      <c r="G47" t="s">
        <v>49</v>
      </c>
      <c r="H47" t="s">
        <v>83</v>
      </c>
      <c r="I47" t="s">
        <v>143</v>
      </c>
      <c r="J47" t="s">
        <v>42</v>
      </c>
      <c r="K47" s="8">
        <v>43784</v>
      </c>
      <c r="L47" s="8">
        <v>43787</v>
      </c>
      <c r="M47" t="s">
        <v>68</v>
      </c>
      <c r="N47" t="s">
        <v>69</v>
      </c>
      <c r="O47" t="s">
        <v>39</v>
      </c>
      <c r="P47">
        <v>2</v>
      </c>
      <c r="Q47">
        <v>16</v>
      </c>
      <c r="R47" t="s">
        <v>31</v>
      </c>
      <c r="S47" t="s">
        <v>29</v>
      </c>
      <c r="T47" t="s">
        <v>30</v>
      </c>
      <c r="BX47">
        <v>8</v>
      </c>
      <c r="BY47">
        <v>8</v>
      </c>
    </row>
    <row r="48" spans="1:77" x14ac:dyDescent="0.3">
      <c r="A48" s="4" t="str">
        <f t="shared" si="0"/>
        <v>MBY00100</v>
      </c>
      <c r="B48" t="s">
        <v>22</v>
      </c>
      <c r="C48" t="s">
        <v>36</v>
      </c>
      <c r="D48">
        <v>70</v>
      </c>
      <c r="E48">
        <v>16</v>
      </c>
      <c r="F48" t="s">
        <v>189</v>
      </c>
      <c r="G48" t="s">
        <v>49</v>
      </c>
      <c r="H48" t="s">
        <v>83</v>
      </c>
      <c r="I48" t="s">
        <v>146</v>
      </c>
      <c r="J48" t="s">
        <v>46</v>
      </c>
      <c r="K48" s="8">
        <v>43788</v>
      </c>
      <c r="L48" s="8">
        <v>43789</v>
      </c>
      <c r="M48" t="s">
        <v>68</v>
      </c>
      <c r="N48" t="s">
        <v>69</v>
      </c>
      <c r="O48" t="s">
        <v>39</v>
      </c>
      <c r="P48">
        <v>2</v>
      </c>
      <c r="Q48">
        <v>16</v>
      </c>
      <c r="R48" t="s">
        <v>31</v>
      </c>
      <c r="S48" t="s">
        <v>29</v>
      </c>
      <c r="T48" t="s">
        <v>30</v>
      </c>
      <c r="BY48">
        <v>16</v>
      </c>
    </row>
    <row r="49" spans="1:80" x14ac:dyDescent="0.3">
      <c r="A49" s="4" t="str">
        <f t="shared" si="0"/>
        <v>MBY00100</v>
      </c>
      <c r="B49" t="s">
        <v>22</v>
      </c>
      <c r="C49" t="s">
        <v>36</v>
      </c>
      <c r="D49">
        <v>70</v>
      </c>
      <c r="E49">
        <v>16</v>
      </c>
      <c r="F49" t="s">
        <v>189</v>
      </c>
      <c r="G49" t="s">
        <v>49</v>
      </c>
      <c r="H49" t="s">
        <v>83</v>
      </c>
      <c r="I49" t="s">
        <v>144</v>
      </c>
      <c r="J49" t="s">
        <v>43</v>
      </c>
      <c r="K49" s="8">
        <v>43795</v>
      </c>
      <c r="L49" s="8">
        <v>43803</v>
      </c>
      <c r="M49" t="s">
        <v>68</v>
      </c>
      <c r="N49" t="s">
        <v>69</v>
      </c>
      <c r="O49" t="s">
        <v>39</v>
      </c>
      <c r="P49">
        <v>5</v>
      </c>
      <c r="Q49">
        <v>40</v>
      </c>
      <c r="R49" t="s">
        <v>31</v>
      </c>
      <c r="S49" t="s">
        <v>44</v>
      </c>
      <c r="T49" t="s">
        <v>30</v>
      </c>
      <c r="BZ49">
        <v>16</v>
      </c>
      <c r="CA49">
        <v>24</v>
      </c>
    </row>
    <row r="50" spans="1:80" x14ac:dyDescent="0.3">
      <c r="A50" s="4" t="str">
        <f t="shared" si="0"/>
        <v>MBY00100</v>
      </c>
      <c r="B50" t="s">
        <v>22</v>
      </c>
      <c r="C50" t="s">
        <v>36</v>
      </c>
      <c r="D50">
        <v>70</v>
      </c>
      <c r="E50">
        <v>16</v>
      </c>
      <c r="F50" t="s">
        <v>189</v>
      </c>
      <c r="G50" t="s">
        <v>49</v>
      </c>
      <c r="H50" t="s">
        <v>83</v>
      </c>
      <c r="I50" t="s">
        <v>145</v>
      </c>
      <c r="J50" t="s">
        <v>45</v>
      </c>
      <c r="K50" s="8">
        <v>43805</v>
      </c>
      <c r="L50" s="8">
        <v>43810</v>
      </c>
      <c r="M50" t="s">
        <v>68</v>
      </c>
      <c r="N50" t="s">
        <v>69</v>
      </c>
      <c r="O50" t="s">
        <v>39</v>
      </c>
      <c r="P50">
        <v>4</v>
      </c>
      <c r="Q50">
        <v>32</v>
      </c>
      <c r="R50" t="s">
        <v>31</v>
      </c>
      <c r="S50" t="s">
        <v>44</v>
      </c>
      <c r="T50" t="s">
        <v>30</v>
      </c>
      <c r="CA50">
        <v>8</v>
      </c>
      <c r="CB50">
        <v>24</v>
      </c>
    </row>
    <row r="51" spans="1:80" x14ac:dyDescent="0.3">
      <c r="A51" s="4" t="str">
        <f t="shared" si="0"/>
        <v>WLW00100</v>
      </c>
      <c r="B51" t="s">
        <v>22</v>
      </c>
      <c r="C51" t="s">
        <v>36</v>
      </c>
      <c r="D51">
        <v>70</v>
      </c>
      <c r="E51">
        <v>16</v>
      </c>
      <c r="F51" t="s">
        <v>223</v>
      </c>
      <c r="G51" t="s">
        <v>224</v>
      </c>
      <c r="H51" t="s">
        <v>225</v>
      </c>
      <c r="I51" t="s">
        <v>226</v>
      </c>
      <c r="J51" t="s">
        <v>13</v>
      </c>
      <c r="K51" s="8">
        <v>43479</v>
      </c>
      <c r="L51" s="8">
        <v>43482</v>
      </c>
      <c r="M51" t="s">
        <v>37</v>
      </c>
      <c r="N51" t="s">
        <v>38</v>
      </c>
      <c r="O51" t="s">
        <v>39</v>
      </c>
      <c r="P51">
        <v>4</v>
      </c>
      <c r="Q51">
        <v>32</v>
      </c>
      <c r="R51" t="s">
        <v>31</v>
      </c>
      <c r="S51" t="s">
        <v>29</v>
      </c>
      <c r="T51" t="s">
        <v>30</v>
      </c>
      <c r="AG51">
        <v>32</v>
      </c>
    </row>
    <row r="52" spans="1:80" x14ac:dyDescent="0.3">
      <c r="A52" s="4" t="str">
        <f t="shared" si="0"/>
        <v>WL900100</v>
      </c>
      <c r="B52" t="s">
        <v>21</v>
      </c>
      <c r="C52" t="s">
        <v>36</v>
      </c>
      <c r="D52">
        <v>70</v>
      </c>
      <c r="E52">
        <v>16</v>
      </c>
      <c r="F52" t="s">
        <v>240</v>
      </c>
      <c r="G52" t="s">
        <v>241</v>
      </c>
      <c r="H52" t="s">
        <v>242</v>
      </c>
      <c r="I52" t="s">
        <v>243</v>
      </c>
      <c r="J52" t="s">
        <v>13</v>
      </c>
      <c r="K52" s="8">
        <v>43651</v>
      </c>
      <c r="L52" s="8">
        <v>43664</v>
      </c>
      <c r="M52" t="s">
        <v>37</v>
      </c>
      <c r="N52" t="s">
        <v>61</v>
      </c>
      <c r="O52" t="s">
        <v>39</v>
      </c>
      <c r="P52">
        <v>10</v>
      </c>
      <c r="Q52">
        <v>80</v>
      </c>
      <c r="R52" t="s">
        <v>31</v>
      </c>
      <c r="S52" t="s">
        <v>29</v>
      </c>
      <c r="T52" t="s">
        <v>30</v>
      </c>
      <c r="BE52">
        <v>8</v>
      </c>
      <c r="BF52">
        <v>40</v>
      </c>
      <c r="BG52">
        <v>32</v>
      </c>
    </row>
    <row r="53" spans="1:80" x14ac:dyDescent="0.3">
      <c r="A53" s="4" t="str">
        <f t="shared" si="0"/>
        <v>TB2.41</v>
      </c>
      <c r="B53" t="s">
        <v>21</v>
      </c>
      <c r="C53" t="s">
        <v>36</v>
      </c>
      <c r="D53">
        <v>70</v>
      </c>
      <c r="E53">
        <v>16</v>
      </c>
      <c r="F53" t="s">
        <v>244</v>
      </c>
      <c r="G53" t="s">
        <v>241</v>
      </c>
      <c r="H53" t="s">
        <v>245</v>
      </c>
      <c r="I53" t="s">
        <v>246</v>
      </c>
      <c r="J53" t="s">
        <v>13</v>
      </c>
      <c r="K53" s="8">
        <v>43636</v>
      </c>
      <c r="L53" s="8">
        <v>43649</v>
      </c>
      <c r="M53" t="s">
        <v>37</v>
      </c>
      <c r="N53" t="s">
        <v>61</v>
      </c>
      <c r="O53" t="s">
        <v>39</v>
      </c>
      <c r="P53">
        <v>10</v>
      </c>
      <c r="Q53">
        <v>80</v>
      </c>
      <c r="R53" t="s">
        <v>31</v>
      </c>
      <c r="S53" t="s">
        <v>29</v>
      </c>
      <c r="T53" t="s">
        <v>30</v>
      </c>
      <c r="BC53">
        <v>16</v>
      </c>
      <c r="BD53">
        <v>40</v>
      </c>
      <c r="BE53">
        <v>24</v>
      </c>
    </row>
    <row r="54" spans="1:80" x14ac:dyDescent="0.3">
      <c r="A54" s="4" t="str">
        <f t="shared" si="0"/>
        <v>TB2.RP</v>
      </c>
      <c r="B54" t="s">
        <v>21</v>
      </c>
      <c r="C54" t="s">
        <v>36</v>
      </c>
      <c r="D54">
        <v>70</v>
      </c>
      <c r="E54">
        <v>16</v>
      </c>
      <c r="F54" t="s">
        <v>247</v>
      </c>
      <c r="G54" t="s">
        <v>34</v>
      </c>
      <c r="H54" t="s">
        <v>248</v>
      </c>
      <c r="I54" t="s">
        <v>249</v>
      </c>
      <c r="J54" t="s">
        <v>13</v>
      </c>
      <c r="K54" s="8">
        <v>43657</v>
      </c>
      <c r="L54" s="8">
        <v>43662</v>
      </c>
      <c r="M54" t="s">
        <v>37</v>
      </c>
      <c r="N54" t="s">
        <v>61</v>
      </c>
      <c r="O54" t="s">
        <v>39</v>
      </c>
      <c r="P54">
        <v>4</v>
      </c>
      <c r="Q54">
        <v>32</v>
      </c>
      <c r="R54" t="s">
        <v>31</v>
      </c>
      <c r="S54" t="s">
        <v>29</v>
      </c>
      <c r="T54" t="s">
        <v>30</v>
      </c>
      <c r="BF54">
        <v>16</v>
      </c>
      <c r="BG54">
        <v>16</v>
      </c>
    </row>
    <row r="55" spans="1:80" x14ac:dyDescent="0.3">
      <c r="A55" s="4" t="str">
        <f t="shared" si="0"/>
        <v>TB2.Cold</v>
      </c>
      <c r="B55" t="s">
        <v>21</v>
      </c>
      <c r="C55" t="s">
        <v>36</v>
      </c>
      <c r="D55">
        <v>70</v>
      </c>
      <c r="E55">
        <v>16</v>
      </c>
      <c r="F55" t="s">
        <v>250</v>
      </c>
      <c r="G55" t="s">
        <v>12</v>
      </c>
      <c r="H55" t="s">
        <v>251</v>
      </c>
      <c r="I55" t="s">
        <v>252</v>
      </c>
      <c r="J55" t="s">
        <v>13</v>
      </c>
      <c r="K55" s="8">
        <v>43766</v>
      </c>
      <c r="L55" s="8">
        <v>43809</v>
      </c>
      <c r="M55" t="s">
        <v>37</v>
      </c>
      <c r="N55" t="s">
        <v>61</v>
      </c>
      <c r="O55" t="s">
        <v>39</v>
      </c>
      <c r="P55">
        <v>30</v>
      </c>
      <c r="Q55">
        <v>240</v>
      </c>
      <c r="R55" t="s">
        <v>31</v>
      </c>
      <c r="S55" t="s">
        <v>67</v>
      </c>
      <c r="T55" t="s">
        <v>30</v>
      </c>
      <c r="BV55">
        <v>40</v>
      </c>
      <c r="BW55">
        <v>40</v>
      </c>
      <c r="BX55">
        <v>40</v>
      </c>
      <c r="BY55">
        <v>40</v>
      </c>
      <c r="BZ55">
        <v>24</v>
      </c>
      <c r="CA55">
        <v>40</v>
      </c>
      <c r="CB55">
        <v>16</v>
      </c>
    </row>
    <row r="56" spans="1:80" x14ac:dyDescent="0.3">
      <c r="A56" s="4" t="str">
        <f t="shared" si="0"/>
        <v>TB3.41</v>
      </c>
      <c r="B56" t="s">
        <v>21</v>
      </c>
      <c r="C56" t="s">
        <v>36</v>
      </c>
      <c r="D56">
        <v>70</v>
      </c>
      <c r="E56">
        <v>16</v>
      </c>
      <c r="F56" t="s">
        <v>261</v>
      </c>
      <c r="G56" t="s">
        <v>241</v>
      </c>
      <c r="H56" t="s">
        <v>262</v>
      </c>
      <c r="I56" t="s">
        <v>253</v>
      </c>
      <c r="J56" t="s">
        <v>13</v>
      </c>
      <c r="K56" s="8">
        <v>43734</v>
      </c>
      <c r="L56" s="8">
        <v>43754</v>
      </c>
      <c r="M56" t="s">
        <v>37</v>
      </c>
      <c r="N56" t="s">
        <v>61</v>
      </c>
      <c r="O56" t="s">
        <v>39</v>
      </c>
      <c r="P56">
        <v>15</v>
      </c>
      <c r="Q56">
        <v>120</v>
      </c>
      <c r="R56" t="s">
        <v>31</v>
      </c>
      <c r="S56" t="s">
        <v>29</v>
      </c>
      <c r="T56" t="s">
        <v>30</v>
      </c>
      <c r="BQ56">
        <v>16</v>
      </c>
      <c r="BR56">
        <v>40</v>
      </c>
      <c r="BS56">
        <v>40</v>
      </c>
      <c r="BT56">
        <v>24</v>
      </c>
    </row>
    <row r="57" spans="1:80" x14ac:dyDescent="0.3">
      <c r="A57" s="4" t="str">
        <f t="shared" si="0"/>
        <v>EJB00166</v>
      </c>
      <c r="B57" t="s">
        <v>316</v>
      </c>
      <c r="C57" t="s">
        <v>36</v>
      </c>
      <c r="D57">
        <v>70</v>
      </c>
      <c r="E57">
        <v>16</v>
      </c>
      <c r="F57" t="s">
        <v>317</v>
      </c>
      <c r="G57" t="s">
        <v>34</v>
      </c>
      <c r="H57" t="s">
        <v>263</v>
      </c>
      <c r="I57" t="s">
        <v>264</v>
      </c>
      <c r="J57" t="s">
        <v>13</v>
      </c>
      <c r="K57" s="8">
        <v>43537</v>
      </c>
      <c r="L57" s="8">
        <v>43550</v>
      </c>
      <c r="M57" t="s">
        <v>37</v>
      </c>
      <c r="N57" t="s">
        <v>61</v>
      </c>
      <c r="O57" t="s">
        <v>39</v>
      </c>
      <c r="P57">
        <v>10</v>
      </c>
      <c r="Q57">
        <v>80</v>
      </c>
      <c r="R57" t="s">
        <v>31</v>
      </c>
      <c r="S57" t="s">
        <v>29</v>
      </c>
      <c r="T57" t="s">
        <v>30</v>
      </c>
      <c r="AO57">
        <v>24</v>
      </c>
      <c r="AP57">
        <v>40</v>
      </c>
      <c r="AQ57">
        <v>16</v>
      </c>
    </row>
    <row r="58" spans="1:80" x14ac:dyDescent="0.3">
      <c r="A58" s="4" t="str">
        <f t="shared" si="0"/>
        <v>EJB00166</v>
      </c>
      <c r="B58" t="s">
        <v>316</v>
      </c>
      <c r="C58" t="s">
        <v>36</v>
      </c>
      <c r="D58">
        <v>70</v>
      </c>
      <c r="E58">
        <v>16</v>
      </c>
      <c r="F58" t="s">
        <v>318</v>
      </c>
      <c r="G58" t="s">
        <v>60</v>
      </c>
      <c r="H58" t="s">
        <v>265</v>
      </c>
      <c r="I58" t="s">
        <v>266</v>
      </c>
      <c r="J58" t="s">
        <v>13</v>
      </c>
      <c r="K58" s="8">
        <v>43565</v>
      </c>
      <c r="L58" s="8">
        <v>43573</v>
      </c>
      <c r="M58" t="s">
        <v>37</v>
      </c>
      <c r="N58" t="s">
        <v>61</v>
      </c>
      <c r="O58" t="s">
        <v>39</v>
      </c>
      <c r="P58">
        <v>7</v>
      </c>
      <c r="Q58">
        <v>56</v>
      </c>
      <c r="R58" t="s">
        <v>31</v>
      </c>
      <c r="S58" t="s">
        <v>29</v>
      </c>
      <c r="T58" t="s">
        <v>30</v>
      </c>
      <c r="AS58">
        <v>24</v>
      </c>
      <c r="AT58">
        <v>32</v>
      </c>
    </row>
    <row r="59" spans="1:80" x14ac:dyDescent="0.3">
      <c r="A59" s="4" t="str">
        <f t="shared" si="0"/>
        <v>PD2.20</v>
      </c>
      <c r="B59" t="s">
        <v>267</v>
      </c>
      <c r="C59" t="s">
        <v>36</v>
      </c>
      <c r="D59">
        <v>70</v>
      </c>
      <c r="E59">
        <v>16</v>
      </c>
      <c r="F59" t="s">
        <v>268</v>
      </c>
      <c r="G59" t="s">
        <v>56</v>
      </c>
      <c r="H59" t="s">
        <v>269</v>
      </c>
      <c r="I59" t="s">
        <v>270</v>
      </c>
      <c r="J59" t="s">
        <v>13</v>
      </c>
      <c r="K59" s="8">
        <v>43783</v>
      </c>
      <c r="L59" s="8">
        <v>43787</v>
      </c>
      <c r="M59" t="s">
        <v>37</v>
      </c>
      <c r="N59" t="s">
        <v>132</v>
      </c>
      <c r="O59" t="s">
        <v>39</v>
      </c>
      <c r="P59">
        <v>3</v>
      </c>
      <c r="Q59">
        <v>24</v>
      </c>
      <c r="R59" t="s">
        <v>31</v>
      </c>
      <c r="S59" t="s">
        <v>29</v>
      </c>
      <c r="T59" t="s">
        <v>30</v>
      </c>
      <c r="BX59">
        <v>16</v>
      </c>
      <c r="BY59">
        <v>8</v>
      </c>
    </row>
    <row r="60" spans="1:80" x14ac:dyDescent="0.3">
      <c r="A60" s="4" t="str">
        <f t="shared" si="0"/>
        <v>W7K00288</v>
      </c>
      <c r="B60" t="s">
        <v>267</v>
      </c>
      <c r="C60" t="s">
        <v>36</v>
      </c>
      <c r="D60">
        <v>70</v>
      </c>
      <c r="E60">
        <v>16</v>
      </c>
      <c r="F60" t="s">
        <v>271</v>
      </c>
      <c r="G60" t="s">
        <v>56</v>
      </c>
      <c r="H60" t="s">
        <v>272</v>
      </c>
      <c r="I60" t="s">
        <v>273</v>
      </c>
      <c r="J60" t="s">
        <v>13</v>
      </c>
      <c r="K60" s="8">
        <v>43504</v>
      </c>
      <c r="L60" s="8">
        <v>43508</v>
      </c>
      <c r="M60" t="s">
        <v>37</v>
      </c>
      <c r="N60" t="s">
        <v>132</v>
      </c>
      <c r="O60" t="s">
        <v>39</v>
      </c>
      <c r="P60">
        <v>3</v>
      </c>
      <c r="Q60">
        <v>24</v>
      </c>
      <c r="R60" t="s">
        <v>31</v>
      </c>
      <c r="S60" t="s">
        <v>29</v>
      </c>
      <c r="T60" t="s">
        <v>30</v>
      </c>
      <c r="AJ60">
        <v>8</v>
      </c>
      <c r="AK60">
        <v>16</v>
      </c>
    </row>
    <row r="61" spans="1:80" x14ac:dyDescent="0.3">
      <c r="A61" s="4" t="str">
        <f t="shared" si="0"/>
        <v>SGW00201</v>
      </c>
      <c r="B61" t="s">
        <v>26</v>
      </c>
      <c r="C61" t="s">
        <v>36</v>
      </c>
      <c r="D61">
        <v>70</v>
      </c>
      <c r="E61">
        <v>16</v>
      </c>
      <c r="F61" t="s">
        <v>281</v>
      </c>
      <c r="G61" t="s">
        <v>282</v>
      </c>
      <c r="H61" t="s">
        <v>283</v>
      </c>
      <c r="I61" t="s">
        <v>284</v>
      </c>
      <c r="J61" t="s">
        <v>13</v>
      </c>
      <c r="K61" s="8">
        <v>43413</v>
      </c>
      <c r="L61" s="8">
        <v>43417</v>
      </c>
      <c r="M61" t="s">
        <v>37</v>
      </c>
      <c r="N61" t="s">
        <v>132</v>
      </c>
      <c r="O61" t="s">
        <v>39</v>
      </c>
      <c r="P61">
        <v>3</v>
      </c>
      <c r="Q61">
        <v>24</v>
      </c>
      <c r="R61" t="s">
        <v>31</v>
      </c>
      <c r="S61" t="s">
        <v>29</v>
      </c>
      <c r="T61" t="s">
        <v>30</v>
      </c>
      <c r="W61">
        <v>8</v>
      </c>
      <c r="X61">
        <v>16</v>
      </c>
    </row>
    <row r="62" spans="1:80" x14ac:dyDescent="0.3">
      <c r="A62" s="4" t="str">
        <f t="shared" si="0"/>
        <v>SM200102</v>
      </c>
      <c r="B62" t="s">
        <v>22</v>
      </c>
      <c r="C62" t="s">
        <v>36</v>
      </c>
      <c r="D62">
        <v>70</v>
      </c>
      <c r="E62">
        <v>16</v>
      </c>
      <c r="F62" t="s">
        <v>287</v>
      </c>
      <c r="G62" t="s">
        <v>288</v>
      </c>
      <c r="H62" t="s">
        <v>289</v>
      </c>
      <c r="I62" t="s">
        <v>290</v>
      </c>
      <c r="J62" t="s">
        <v>42</v>
      </c>
      <c r="K62" s="8">
        <v>43649</v>
      </c>
      <c r="L62" s="8">
        <v>43651</v>
      </c>
      <c r="M62" t="s">
        <v>37</v>
      </c>
      <c r="N62" t="s">
        <v>38</v>
      </c>
      <c r="O62" t="s">
        <v>39</v>
      </c>
      <c r="P62">
        <v>2</v>
      </c>
      <c r="Q62">
        <v>16</v>
      </c>
      <c r="R62" t="s">
        <v>31</v>
      </c>
      <c r="S62" t="s">
        <v>29</v>
      </c>
      <c r="T62" t="s">
        <v>30</v>
      </c>
      <c r="BE62">
        <v>16</v>
      </c>
    </row>
    <row r="63" spans="1:80" x14ac:dyDescent="0.3">
      <c r="A63" s="4" t="str">
        <f t="shared" si="0"/>
        <v>SM200102</v>
      </c>
      <c r="B63" t="s">
        <v>22</v>
      </c>
      <c r="C63" t="s">
        <v>36</v>
      </c>
      <c r="D63">
        <v>70</v>
      </c>
      <c r="E63">
        <v>16</v>
      </c>
      <c r="F63" t="s">
        <v>287</v>
      </c>
      <c r="G63" t="s">
        <v>288</v>
      </c>
      <c r="H63" t="s">
        <v>289</v>
      </c>
      <c r="I63" t="s">
        <v>291</v>
      </c>
      <c r="J63" t="s">
        <v>292</v>
      </c>
      <c r="K63" s="8">
        <v>43661</v>
      </c>
      <c r="L63" s="8">
        <v>43665</v>
      </c>
      <c r="M63" t="s">
        <v>37</v>
      </c>
      <c r="N63" t="s">
        <v>38</v>
      </c>
      <c r="O63" t="s">
        <v>39</v>
      </c>
      <c r="P63">
        <v>5</v>
      </c>
      <c r="Q63">
        <v>40</v>
      </c>
      <c r="R63" t="s">
        <v>31</v>
      </c>
      <c r="S63" t="s">
        <v>44</v>
      </c>
      <c r="T63" t="s">
        <v>30</v>
      </c>
      <c r="BG63">
        <v>40</v>
      </c>
    </row>
    <row r="64" spans="1:80" x14ac:dyDescent="0.3">
      <c r="A64" s="4" t="str">
        <f t="shared" si="0"/>
        <v>SM200102</v>
      </c>
      <c r="B64" t="s">
        <v>22</v>
      </c>
      <c r="C64" t="s">
        <v>36</v>
      </c>
      <c r="D64">
        <v>70</v>
      </c>
      <c r="E64">
        <v>16</v>
      </c>
      <c r="F64" t="s">
        <v>287</v>
      </c>
      <c r="G64" t="s">
        <v>288</v>
      </c>
      <c r="H64" t="s">
        <v>289</v>
      </c>
      <c r="I64" t="s">
        <v>293</v>
      </c>
      <c r="J64" t="s">
        <v>45</v>
      </c>
      <c r="K64" s="8">
        <v>43668</v>
      </c>
      <c r="L64" s="8">
        <v>43671</v>
      </c>
      <c r="M64" t="s">
        <v>37</v>
      </c>
      <c r="N64" t="s">
        <v>38</v>
      </c>
      <c r="O64" t="s">
        <v>39</v>
      </c>
      <c r="P64">
        <v>4</v>
      </c>
      <c r="Q64">
        <v>32</v>
      </c>
      <c r="R64" t="s">
        <v>31</v>
      </c>
      <c r="S64" t="s">
        <v>44</v>
      </c>
      <c r="T64" t="s">
        <v>30</v>
      </c>
      <c r="BH64">
        <v>32</v>
      </c>
    </row>
    <row r="65" spans="1:81" x14ac:dyDescent="0.3">
      <c r="A65" s="4" t="str">
        <f t="shared" si="0"/>
        <v>SM200102</v>
      </c>
      <c r="B65" t="s">
        <v>22</v>
      </c>
      <c r="C65" t="s">
        <v>36</v>
      </c>
      <c r="D65">
        <v>70</v>
      </c>
      <c r="E65">
        <v>16</v>
      </c>
      <c r="F65" t="s">
        <v>287</v>
      </c>
      <c r="G65" t="s">
        <v>288</v>
      </c>
      <c r="H65" t="s">
        <v>289</v>
      </c>
      <c r="I65" t="s">
        <v>294</v>
      </c>
      <c r="J65" t="s">
        <v>46</v>
      </c>
      <c r="K65" s="8">
        <v>43654</v>
      </c>
      <c r="L65" s="8">
        <v>43655</v>
      </c>
      <c r="M65" t="s">
        <v>37</v>
      </c>
      <c r="N65" t="s">
        <v>38</v>
      </c>
      <c r="O65" t="s">
        <v>39</v>
      </c>
      <c r="P65">
        <v>2</v>
      </c>
      <c r="Q65">
        <v>16</v>
      </c>
      <c r="R65" t="s">
        <v>31</v>
      </c>
      <c r="S65" t="s">
        <v>29</v>
      </c>
      <c r="T65" t="s">
        <v>30</v>
      </c>
      <c r="BF65">
        <v>16</v>
      </c>
    </row>
    <row r="66" spans="1:81" x14ac:dyDescent="0.3">
      <c r="A66" s="4" t="str">
        <f t="shared" si="0"/>
        <v>PD2.3</v>
      </c>
      <c r="B66" t="s">
        <v>267</v>
      </c>
      <c r="C66" t="s">
        <v>36</v>
      </c>
      <c r="D66">
        <v>70</v>
      </c>
      <c r="E66">
        <v>16</v>
      </c>
      <c r="F66" t="s">
        <v>295</v>
      </c>
      <c r="G66" t="s">
        <v>296</v>
      </c>
      <c r="H66" t="s">
        <v>297</v>
      </c>
      <c r="I66" t="s">
        <v>298</v>
      </c>
      <c r="J66" t="s">
        <v>13</v>
      </c>
      <c r="K66" s="8">
        <v>43788</v>
      </c>
      <c r="L66" s="8">
        <v>43796</v>
      </c>
      <c r="M66" t="s">
        <v>37</v>
      </c>
      <c r="N66" t="s">
        <v>59</v>
      </c>
      <c r="O66" t="s">
        <v>39</v>
      </c>
      <c r="P66">
        <v>7</v>
      </c>
      <c r="Q66">
        <v>56</v>
      </c>
      <c r="R66" t="s">
        <v>31</v>
      </c>
      <c r="S66" t="s">
        <v>29</v>
      </c>
      <c r="T66" t="s">
        <v>30</v>
      </c>
      <c r="BY66">
        <v>32</v>
      </c>
      <c r="BZ66">
        <v>24</v>
      </c>
    </row>
    <row r="67" spans="1:81" x14ac:dyDescent="0.3">
      <c r="A67" s="4" t="str">
        <f t="shared" ref="A67:A108" si="1">MID(H67,FIND(".",H67)+1,8)</f>
        <v>PD2.RP</v>
      </c>
      <c r="B67" t="s">
        <v>267</v>
      </c>
      <c r="C67" t="s">
        <v>36</v>
      </c>
      <c r="D67">
        <v>70</v>
      </c>
      <c r="E67">
        <v>16</v>
      </c>
      <c r="F67" t="s">
        <v>299</v>
      </c>
      <c r="G67" t="s">
        <v>300</v>
      </c>
      <c r="H67" t="s">
        <v>301</v>
      </c>
      <c r="I67" t="s">
        <v>302</v>
      </c>
      <c r="J67" t="s">
        <v>13</v>
      </c>
      <c r="K67" s="8">
        <v>43805</v>
      </c>
      <c r="L67" s="8">
        <v>43815</v>
      </c>
      <c r="M67" t="s">
        <v>37</v>
      </c>
      <c r="N67" t="s">
        <v>59</v>
      </c>
      <c r="O67" t="s">
        <v>39</v>
      </c>
      <c r="P67">
        <v>7</v>
      </c>
      <c r="Q67">
        <v>56</v>
      </c>
      <c r="R67" t="s">
        <v>31</v>
      </c>
      <c r="S67" t="s">
        <v>29</v>
      </c>
      <c r="T67" t="s">
        <v>30</v>
      </c>
      <c r="CA67">
        <v>8</v>
      </c>
      <c r="CB67">
        <v>40</v>
      </c>
      <c r="CC67">
        <v>8</v>
      </c>
    </row>
    <row r="68" spans="1:81" x14ac:dyDescent="0.3">
      <c r="A68" s="4" t="str">
        <f t="shared" si="1"/>
        <v>SGW00201</v>
      </c>
      <c r="B68" t="s">
        <v>303</v>
      </c>
      <c r="C68" t="s">
        <v>36</v>
      </c>
      <c r="D68">
        <v>70</v>
      </c>
      <c r="E68">
        <v>16</v>
      </c>
      <c r="F68" t="s">
        <v>304</v>
      </c>
      <c r="G68" t="s">
        <v>34</v>
      </c>
      <c r="H68" t="s">
        <v>305</v>
      </c>
      <c r="I68" t="s">
        <v>306</v>
      </c>
      <c r="J68" t="s">
        <v>13</v>
      </c>
      <c r="K68" s="8">
        <v>43614</v>
      </c>
      <c r="L68" s="8">
        <v>43623</v>
      </c>
      <c r="M68" t="s">
        <v>37</v>
      </c>
      <c r="N68" t="s">
        <v>132</v>
      </c>
      <c r="O68" t="s">
        <v>39</v>
      </c>
      <c r="P68">
        <v>8</v>
      </c>
      <c r="Q68">
        <v>64</v>
      </c>
      <c r="R68" t="s">
        <v>31</v>
      </c>
      <c r="S68" t="s">
        <v>29</v>
      </c>
      <c r="T68" t="s">
        <v>30</v>
      </c>
      <c r="AZ68">
        <v>24</v>
      </c>
      <c r="BA68">
        <v>40</v>
      </c>
    </row>
    <row r="69" spans="1:81" x14ac:dyDescent="0.3">
      <c r="A69" s="4" t="str">
        <f t="shared" si="1"/>
        <v>SGW00201</v>
      </c>
      <c r="B69" t="s">
        <v>303</v>
      </c>
      <c r="C69" t="s">
        <v>36</v>
      </c>
      <c r="D69">
        <v>70</v>
      </c>
      <c r="E69">
        <v>16</v>
      </c>
      <c r="F69" t="s">
        <v>307</v>
      </c>
      <c r="G69" t="s">
        <v>282</v>
      </c>
      <c r="H69" t="s">
        <v>308</v>
      </c>
      <c r="I69" t="s">
        <v>309</v>
      </c>
      <c r="J69" t="s">
        <v>13</v>
      </c>
      <c r="K69" s="8">
        <v>43628</v>
      </c>
      <c r="L69" s="8">
        <v>43630</v>
      </c>
      <c r="M69" t="s">
        <v>37</v>
      </c>
      <c r="N69" t="s">
        <v>132</v>
      </c>
      <c r="O69" t="s">
        <v>39</v>
      </c>
      <c r="P69">
        <v>3</v>
      </c>
      <c r="Q69">
        <v>24</v>
      </c>
      <c r="R69" t="s">
        <v>31</v>
      </c>
      <c r="S69" t="s">
        <v>29</v>
      </c>
      <c r="T69" t="s">
        <v>30</v>
      </c>
      <c r="BB69">
        <v>24</v>
      </c>
    </row>
    <row r="70" spans="1:81" x14ac:dyDescent="0.3">
      <c r="A70" s="4" t="str">
        <f t="shared" si="1"/>
        <v>XE300100</v>
      </c>
      <c r="B70" t="s">
        <v>16</v>
      </c>
      <c r="C70" t="s">
        <v>36</v>
      </c>
      <c r="D70">
        <v>70</v>
      </c>
      <c r="E70">
        <v>16</v>
      </c>
      <c r="F70" t="s">
        <v>319</v>
      </c>
      <c r="G70" t="s">
        <v>320</v>
      </c>
      <c r="H70" t="s">
        <v>321</v>
      </c>
      <c r="I70" t="s">
        <v>322</v>
      </c>
      <c r="J70" t="s">
        <v>13</v>
      </c>
      <c r="K70" s="8">
        <v>43489</v>
      </c>
      <c r="L70" s="8">
        <v>43509</v>
      </c>
      <c r="M70" t="s">
        <v>37</v>
      </c>
      <c r="N70" t="s">
        <v>59</v>
      </c>
      <c r="O70" t="s">
        <v>39</v>
      </c>
      <c r="P70">
        <v>15</v>
      </c>
      <c r="Q70">
        <v>120</v>
      </c>
      <c r="R70" t="s">
        <v>31</v>
      </c>
      <c r="S70" t="s">
        <v>29</v>
      </c>
      <c r="T70" t="s">
        <v>30</v>
      </c>
      <c r="AH70">
        <v>16</v>
      </c>
      <c r="AI70">
        <v>40</v>
      </c>
      <c r="AJ70">
        <v>40</v>
      </c>
      <c r="AK70">
        <v>24</v>
      </c>
    </row>
    <row r="71" spans="1:81" x14ac:dyDescent="0.3">
      <c r="A71" s="4" t="str">
        <f t="shared" si="1"/>
        <v>XE400100</v>
      </c>
      <c r="B71" t="s">
        <v>16</v>
      </c>
      <c r="C71" t="s">
        <v>36</v>
      </c>
      <c r="D71">
        <v>70</v>
      </c>
      <c r="E71">
        <v>16</v>
      </c>
      <c r="F71" t="s">
        <v>218</v>
      </c>
      <c r="G71" t="s">
        <v>58</v>
      </c>
      <c r="H71" t="s">
        <v>215</v>
      </c>
      <c r="I71" t="s">
        <v>323</v>
      </c>
      <c r="J71" t="s">
        <v>324</v>
      </c>
      <c r="K71" s="8">
        <v>43521</v>
      </c>
      <c r="L71" s="8">
        <v>43522</v>
      </c>
      <c r="M71" t="s">
        <v>37</v>
      </c>
      <c r="N71" t="s">
        <v>59</v>
      </c>
      <c r="O71" t="s">
        <v>39</v>
      </c>
      <c r="P71">
        <v>2</v>
      </c>
      <c r="Q71">
        <v>16</v>
      </c>
      <c r="R71" t="s">
        <v>31</v>
      </c>
      <c r="T71" t="s">
        <v>30</v>
      </c>
      <c r="AM71">
        <v>16</v>
      </c>
    </row>
    <row r="72" spans="1:81" x14ac:dyDescent="0.3">
      <c r="A72" s="4" t="str">
        <f t="shared" si="1"/>
        <v>SGW00201</v>
      </c>
      <c r="B72" t="s">
        <v>26</v>
      </c>
      <c r="C72" t="s">
        <v>36</v>
      </c>
      <c r="D72">
        <v>70</v>
      </c>
      <c r="E72">
        <v>16</v>
      </c>
      <c r="F72" t="s">
        <v>207</v>
      </c>
      <c r="G72" t="s">
        <v>66</v>
      </c>
      <c r="H72" t="s">
        <v>101</v>
      </c>
      <c r="I72" t="s">
        <v>169</v>
      </c>
      <c r="J72" t="s">
        <v>13</v>
      </c>
      <c r="K72" s="8">
        <v>43556</v>
      </c>
      <c r="L72" s="8">
        <v>43565</v>
      </c>
      <c r="M72" t="s">
        <v>68</v>
      </c>
      <c r="N72" t="s">
        <v>74</v>
      </c>
      <c r="O72" t="s">
        <v>39</v>
      </c>
      <c r="P72">
        <v>8</v>
      </c>
      <c r="Q72">
        <v>64</v>
      </c>
      <c r="R72" t="s">
        <v>31</v>
      </c>
      <c r="S72" t="s">
        <v>29</v>
      </c>
      <c r="T72" t="s">
        <v>30</v>
      </c>
      <c r="AR72">
        <v>40</v>
      </c>
      <c r="AS72">
        <v>24</v>
      </c>
    </row>
    <row r="73" spans="1:81" x14ac:dyDescent="0.3">
      <c r="A73" s="4" t="str">
        <f t="shared" si="1"/>
        <v>SM200101</v>
      </c>
      <c r="B73" t="s">
        <v>22</v>
      </c>
      <c r="C73" t="s">
        <v>36</v>
      </c>
      <c r="D73">
        <v>70</v>
      </c>
      <c r="E73">
        <v>16</v>
      </c>
      <c r="F73" t="s">
        <v>186</v>
      </c>
      <c r="G73" t="s">
        <v>41</v>
      </c>
      <c r="H73" t="s">
        <v>80</v>
      </c>
      <c r="I73" t="s">
        <v>140</v>
      </c>
      <c r="J73" t="s">
        <v>45</v>
      </c>
      <c r="K73" s="8" t="s">
        <v>315</v>
      </c>
      <c r="L73" s="8">
        <v>43398</v>
      </c>
      <c r="M73" t="s">
        <v>68</v>
      </c>
      <c r="N73" t="s">
        <v>74</v>
      </c>
      <c r="O73" t="s">
        <v>39</v>
      </c>
      <c r="P73">
        <v>4</v>
      </c>
      <c r="Q73">
        <v>32</v>
      </c>
      <c r="R73" t="s">
        <v>31</v>
      </c>
      <c r="S73" t="s">
        <v>44</v>
      </c>
      <c r="T73" t="s">
        <v>30</v>
      </c>
      <c r="U73">
        <v>32</v>
      </c>
    </row>
    <row r="74" spans="1:81" x14ac:dyDescent="0.3">
      <c r="A74" s="4" t="str">
        <f t="shared" si="1"/>
        <v>SM200102</v>
      </c>
      <c r="B74" t="s">
        <v>22</v>
      </c>
      <c r="C74" t="s">
        <v>36</v>
      </c>
      <c r="D74">
        <v>70</v>
      </c>
      <c r="E74">
        <v>16</v>
      </c>
      <c r="F74" t="s">
        <v>190</v>
      </c>
      <c r="G74" t="s">
        <v>50</v>
      </c>
      <c r="H74" t="s">
        <v>84</v>
      </c>
      <c r="I74" t="s">
        <v>147</v>
      </c>
      <c r="J74" t="s">
        <v>13</v>
      </c>
      <c r="K74" s="8">
        <v>43448</v>
      </c>
      <c r="L74" s="8">
        <v>43452</v>
      </c>
      <c r="M74" t="s">
        <v>68</v>
      </c>
      <c r="N74" t="s">
        <v>74</v>
      </c>
      <c r="O74" t="s">
        <v>39</v>
      </c>
      <c r="P74">
        <v>3</v>
      </c>
      <c r="Q74">
        <v>24</v>
      </c>
      <c r="R74" t="s">
        <v>31</v>
      </c>
      <c r="S74" t="s">
        <v>29</v>
      </c>
      <c r="T74" t="s">
        <v>30</v>
      </c>
      <c r="AB74">
        <v>8</v>
      </c>
      <c r="AC74">
        <v>16</v>
      </c>
    </row>
    <row r="75" spans="1:81" x14ac:dyDescent="0.3">
      <c r="A75" s="4" t="str">
        <f t="shared" si="1"/>
        <v>W9900100</v>
      </c>
      <c r="B75" t="s">
        <v>22</v>
      </c>
      <c r="C75" t="s">
        <v>36</v>
      </c>
      <c r="D75">
        <v>70</v>
      </c>
      <c r="E75">
        <v>16</v>
      </c>
      <c r="F75" t="s">
        <v>194</v>
      </c>
      <c r="G75" t="s">
        <v>54</v>
      </c>
      <c r="H75" t="s">
        <v>88</v>
      </c>
      <c r="I75" t="s">
        <v>152</v>
      </c>
      <c r="J75" t="s">
        <v>45</v>
      </c>
      <c r="K75" s="8" t="s">
        <v>315</v>
      </c>
      <c r="L75" s="8">
        <v>43398</v>
      </c>
      <c r="M75" t="s">
        <v>68</v>
      </c>
      <c r="N75" t="s">
        <v>74</v>
      </c>
      <c r="O75" t="s">
        <v>39</v>
      </c>
      <c r="P75">
        <v>4</v>
      </c>
      <c r="Q75">
        <v>32</v>
      </c>
      <c r="R75" t="s">
        <v>31</v>
      </c>
      <c r="S75" t="s">
        <v>44</v>
      </c>
      <c r="T75" t="s">
        <v>30</v>
      </c>
      <c r="U75">
        <v>32</v>
      </c>
    </row>
    <row r="76" spans="1:81" x14ac:dyDescent="0.3">
      <c r="A76" s="4" t="str">
        <f t="shared" si="1"/>
        <v>WLW00100</v>
      </c>
      <c r="B76" t="s">
        <v>22</v>
      </c>
      <c r="C76" t="s">
        <v>36</v>
      </c>
      <c r="D76">
        <v>70</v>
      </c>
      <c r="E76">
        <v>16</v>
      </c>
      <c r="F76" t="s">
        <v>197</v>
      </c>
      <c r="G76" t="s">
        <v>47</v>
      </c>
      <c r="H76" t="s">
        <v>91</v>
      </c>
      <c r="I76" t="s">
        <v>156</v>
      </c>
      <c r="J76" t="s">
        <v>13</v>
      </c>
      <c r="K76" s="8">
        <v>43452</v>
      </c>
      <c r="L76" s="8">
        <v>43469</v>
      </c>
      <c r="M76" t="s">
        <v>68</v>
      </c>
      <c r="N76" t="s">
        <v>74</v>
      </c>
      <c r="O76" t="s">
        <v>39</v>
      </c>
      <c r="P76">
        <v>7</v>
      </c>
      <c r="Q76">
        <v>56</v>
      </c>
      <c r="R76" t="s">
        <v>31</v>
      </c>
      <c r="S76" t="s">
        <v>29</v>
      </c>
      <c r="T76" t="s">
        <v>30</v>
      </c>
      <c r="AC76">
        <v>32</v>
      </c>
      <c r="AE76">
        <v>24</v>
      </c>
    </row>
    <row r="77" spans="1:81" x14ac:dyDescent="0.3">
      <c r="A77" s="4" t="str">
        <f t="shared" si="1"/>
        <v>WLW00100</v>
      </c>
      <c r="B77" t="s">
        <v>22</v>
      </c>
      <c r="C77" t="s">
        <v>36</v>
      </c>
      <c r="D77">
        <v>70</v>
      </c>
      <c r="E77">
        <v>16</v>
      </c>
      <c r="F77" t="s">
        <v>198</v>
      </c>
      <c r="G77" t="s">
        <v>222</v>
      </c>
      <c r="H77" t="s">
        <v>92</v>
      </c>
      <c r="I77" t="s">
        <v>157</v>
      </c>
      <c r="J77" t="s">
        <v>13</v>
      </c>
      <c r="K77" s="8">
        <v>43580</v>
      </c>
      <c r="L77" s="8">
        <v>43587</v>
      </c>
      <c r="M77" t="s">
        <v>68</v>
      </c>
      <c r="N77" t="s">
        <v>74</v>
      </c>
      <c r="O77" t="s">
        <v>39</v>
      </c>
      <c r="P77">
        <v>6</v>
      </c>
      <c r="Q77">
        <v>48</v>
      </c>
      <c r="R77" t="s">
        <v>31</v>
      </c>
      <c r="S77" t="s">
        <v>29</v>
      </c>
      <c r="T77" t="s">
        <v>30</v>
      </c>
      <c r="AU77">
        <v>16</v>
      </c>
      <c r="AV77">
        <v>32</v>
      </c>
    </row>
    <row r="78" spans="1:81" x14ac:dyDescent="0.3">
      <c r="A78" s="4" t="str">
        <f t="shared" si="1"/>
        <v>MK800100</v>
      </c>
      <c r="B78" t="s">
        <v>20</v>
      </c>
      <c r="C78" t="s">
        <v>36</v>
      </c>
      <c r="D78">
        <v>70</v>
      </c>
      <c r="E78">
        <v>16</v>
      </c>
      <c r="F78" t="s">
        <v>201</v>
      </c>
      <c r="G78" t="s">
        <v>32</v>
      </c>
      <c r="H78" t="s">
        <v>95</v>
      </c>
      <c r="I78" t="s">
        <v>161</v>
      </c>
      <c r="J78" t="s">
        <v>13</v>
      </c>
      <c r="K78" s="8">
        <v>43447</v>
      </c>
      <c r="L78" s="8">
        <v>43469</v>
      </c>
      <c r="M78" t="s">
        <v>68</v>
      </c>
      <c r="N78" t="s">
        <v>74</v>
      </c>
      <c r="O78" t="s">
        <v>39</v>
      </c>
      <c r="P78">
        <v>10</v>
      </c>
      <c r="Q78">
        <v>80</v>
      </c>
      <c r="R78" t="s">
        <v>31</v>
      </c>
      <c r="S78" t="s">
        <v>29</v>
      </c>
      <c r="T78" t="s">
        <v>30</v>
      </c>
      <c r="AB78">
        <v>16</v>
      </c>
      <c r="AC78">
        <v>40</v>
      </c>
      <c r="AE78">
        <v>24</v>
      </c>
    </row>
    <row r="79" spans="1:81" x14ac:dyDescent="0.3">
      <c r="A79" s="4" t="str">
        <f t="shared" si="1"/>
        <v>MK900100</v>
      </c>
      <c r="B79" t="s">
        <v>20</v>
      </c>
      <c r="C79" t="s">
        <v>36</v>
      </c>
      <c r="D79">
        <v>70</v>
      </c>
      <c r="E79">
        <v>16</v>
      </c>
      <c r="F79" t="s">
        <v>203</v>
      </c>
      <c r="G79" t="s">
        <v>33</v>
      </c>
      <c r="H79" t="s">
        <v>97</v>
      </c>
      <c r="I79" t="s">
        <v>163</v>
      </c>
      <c r="J79" t="s">
        <v>13</v>
      </c>
      <c r="K79" s="8">
        <v>43440</v>
      </c>
      <c r="L79" s="8">
        <v>43445</v>
      </c>
      <c r="M79" t="s">
        <v>68</v>
      </c>
      <c r="N79" t="s">
        <v>74</v>
      </c>
      <c r="O79" t="s">
        <v>39</v>
      </c>
      <c r="P79">
        <v>4</v>
      </c>
      <c r="Q79">
        <v>32</v>
      </c>
      <c r="R79" t="s">
        <v>31</v>
      </c>
      <c r="S79" t="s">
        <v>29</v>
      </c>
      <c r="T79" t="s">
        <v>30</v>
      </c>
      <c r="AA79">
        <v>16</v>
      </c>
      <c r="AB79">
        <v>16</v>
      </c>
    </row>
    <row r="80" spans="1:81" x14ac:dyDescent="0.3">
      <c r="A80" s="4" t="str">
        <f t="shared" si="1"/>
        <v>EMB00251</v>
      </c>
      <c r="B80" t="s">
        <v>18</v>
      </c>
      <c r="C80" t="s">
        <v>36</v>
      </c>
      <c r="D80">
        <v>70</v>
      </c>
      <c r="E80">
        <v>16</v>
      </c>
      <c r="F80" t="s">
        <v>204</v>
      </c>
      <c r="G80" t="s">
        <v>62</v>
      </c>
      <c r="H80" t="s">
        <v>98</v>
      </c>
      <c r="I80" t="s">
        <v>166</v>
      </c>
      <c r="J80" t="s">
        <v>13</v>
      </c>
      <c r="K80" s="8">
        <v>43402</v>
      </c>
      <c r="L80" s="8">
        <v>43406</v>
      </c>
      <c r="M80" t="s">
        <v>68</v>
      </c>
      <c r="N80" t="s">
        <v>74</v>
      </c>
      <c r="O80" t="s">
        <v>39</v>
      </c>
      <c r="P80">
        <v>5</v>
      </c>
      <c r="Q80">
        <v>40</v>
      </c>
      <c r="R80" t="s">
        <v>31</v>
      </c>
      <c r="S80" t="s">
        <v>29</v>
      </c>
      <c r="T80" t="s">
        <v>30</v>
      </c>
      <c r="V80">
        <v>40</v>
      </c>
    </row>
    <row r="81" spans="1:72" x14ac:dyDescent="0.3">
      <c r="A81" s="4" t="str">
        <f t="shared" si="1"/>
        <v>EMB00251</v>
      </c>
      <c r="B81" t="s">
        <v>18</v>
      </c>
      <c r="C81" t="s">
        <v>36</v>
      </c>
      <c r="D81">
        <v>70</v>
      </c>
      <c r="E81">
        <v>16</v>
      </c>
      <c r="F81" t="s">
        <v>205</v>
      </c>
      <c r="G81" t="s">
        <v>63</v>
      </c>
      <c r="H81" t="s">
        <v>99</v>
      </c>
      <c r="I81" t="s">
        <v>167</v>
      </c>
      <c r="J81" t="s">
        <v>13</v>
      </c>
      <c r="K81" s="8">
        <v>43591</v>
      </c>
      <c r="L81" s="8">
        <v>43594</v>
      </c>
      <c r="M81" t="s">
        <v>68</v>
      </c>
      <c r="N81" t="s">
        <v>74</v>
      </c>
      <c r="O81" t="s">
        <v>39</v>
      </c>
      <c r="P81">
        <v>4</v>
      </c>
      <c r="Q81">
        <v>32</v>
      </c>
      <c r="R81" t="s">
        <v>31</v>
      </c>
      <c r="S81" t="s">
        <v>29</v>
      </c>
      <c r="T81" t="s">
        <v>30</v>
      </c>
      <c r="AW81">
        <v>32</v>
      </c>
    </row>
    <row r="82" spans="1:72" x14ac:dyDescent="0.3">
      <c r="A82" s="4" t="str">
        <f t="shared" si="1"/>
        <v>SGW00201</v>
      </c>
      <c r="B82" t="s">
        <v>26</v>
      </c>
      <c r="C82" t="s">
        <v>36</v>
      </c>
      <c r="D82">
        <v>70</v>
      </c>
      <c r="E82">
        <v>16</v>
      </c>
      <c r="F82" t="s">
        <v>214</v>
      </c>
      <c r="G82" t="s">
        <v>77</v>
      </c>
      <c r="H82" t="s">
        <v>107</v>
      </c>
      <c r="I82" t="s">
        <v>183</v>
      </c>
      <c r="J82" t="s">
        <v>13</v>
      </c>
      <c r="K82" s="8">
        <v>43657</v>
      </c>
      <c r="L82" s="8">
        <v>43658</v>
      </c>
      <c r="M82" t="s">
        <v>68</v>
      </c>
      <c r="N82" t="s">
        <v>74</v>
      </c>
      <c r="O82" t="s">
        <v>39</v>
      </c>
      <c r="P82">
        <v>2</v>
      </c>
      <c r="Q82">
        <v>16</v>
      </c>
      <c r="R82" t="s">
        <v>31</v>
      </c>
      <c r="S82" t="s">
        <v>29</v>
      </c>
      <c r="T82" t="s">
        <v>30</v>
      </c>
      <c r="BF82">
        <v>16</v>
      </c>
    </row>
    <row r="83" spans="1:72" x14ac:dyDescent="0.3">
      <c r="A83" s="4" t="str">
        <f t="shared" si="1"/>
        <v>SGW00201</v>
      </c>
      <c r="B83" t="s">
        <v>26</v>
      </c>
      <c r="C83" t="s">
        <v>36</v>
      </c>
      <c r="D83">
        <v>70</v>
      </c>
      <c r="E83">
        <v>16</v>
      </c>
      <c r="F83" t="s">
        <v>209</v>
      </c>
      <c r="G83" t="s">
        <v>54</v>
      </c>
      <c r="H83" t="s">
        <v>103</v>
      </c>
      <c r="I83" t="s">
        <v>172</v>
      </c>
      <c r="J83" t="s">
        <v>42</v>
      </c>
      <c r="K83" s="8">
        <v>43594</v>
      </c>
      <c r="L83" s="8">
        <v>43595</v>
      </c>
      <c r="M83" t="s">
        <v>68</v>
      </c>
      <c r="N83" t="s">
        <v>74</v>
      </c>
      <c r="O83" t="s">
        <v>39</v>
      </c>
      <c r="P83">
        <v>2</v>
      </c>
      <c r="Q83">
        <v>16</v>
      </c>
      <c r="R83" t="s">
        <v>31</v>
      </c>
      <c r="S83" t="s">
        <v>29</v>
      </c>
      <c r="T83" t="s">
        <v>30</v>
      </c>
      <c r="AW83">
        <v>16</v>
      </c>
    </row>
    <row r="84" spans="1:72" x14ac:dyDescent="0.3">
      <c r="A84" s="4" t="str">
        <f t="shared" si="1"/>
        <v>SGW00201</v>
      </c>
      <c r="B84" t="s">
        <v>26</v>
      </c>
      <c r="C84" t="s">
        <v>36</v>
      </c>
      <c r="D84">
        <v>70</v>
      </c>
      <c r="E84">
        <v>16</v>
      </c>
      <c r="F84" t="s">
        <v>209</v>
      </c>
      <c r="G84" t="s">
        <v>54</v>
      </c>
      <c r="H84" t="s">
        <v>103</v>
      </c>
      <c r="I84" t="s">
        <v>173</v>
      </c>
      <c r="J84" t="s">
        <v>43</v>
      </c>
      <c r="K84" s="8">
        <v>43601</v>
      </c>
      <c r="L84" s="8">
        <v>43607</v>
      </c>
      <c r="M84" t="s">
        <v>68</v>
      </c>
      <c r="N84" t="s">
        <v>74</v>
      </c>
      <c r="O84" t="s">
        <v>39</v>
      </c>
      <c r="P84">
        <v>5</v>
      </c>
      <c r="Q84">
        <v>40</v>
      </c>
      <c r="R84" t="s">
        <v>31</v>
      </c>
      <c r="S84" t="s">
        <v>29</v>
      </c>
      <c r="T84" t="s">
        <v>30</v>
      </c>
      <c r="AX84">
        <v>16</v>
      </c>
      <c r="AY84">
        <v>24</v>
      </c>
    </row>
    <row r="85" spans="1:72" x14ac:dyDescent="0.3">
      <c r="A85" s="4" t="str">
        <f t="shared" si="1"/>
        <v>SGW00201</v>
      </c>
      <c r="B85" t="s">
        <v>26</v>
      </c>
      <c r="C85" t="s">
        <v>36</v>
      </c>
      <c r="D85">
        <v>70</v>
      </c>
      <c r="E85">
        <v>16</v>
      </c>
      <c r="F85" t="s">
        <v>209</v>
      </c>
      <c r="G85" t="s">
        <v>54</v>
      </c>
      <c r="H85" t="s">
        <v>103</v>
      </c>
      <c r="I85" t="s">
        <v>174</v>
      </c>
      <c r="J85" t="s">
        <v>45</v>
      </c>
      <c r="K85" s="8">
        <v>43609</v>
      </c>
      <c r="L85" s="8">
        <v>43615</v>
      </c>
      <c r="M85" t="s">
        <v>68</v>
      </c>
      <c r="N85" t="s">
        <v>74</v>
      </c>
      <c r="O85" t="s">
        <v>39</v>
      </c>
      <c r="P85">
        <v>4</v>
      </c>
      <c r="Q85">
        <v>32</v>
      </c>
      <c r="R85" t="s">
        <v>31</v>
      </c>
      <c r="S85" t="s">
        <v>29</v>
      </c>
      <c r="T85" t="s">
        <v>30</v>
      </c>
      <c r="AY85">
        <v>8</v>
      </c>
      <c r="AZ85">
        <v>24</v>
      </c>
    </row>
    <row r="86" spans="1:72" x14ac:dyDescent="0.3">
      <c r="A86" s="4" t="str">
        <f t="shared" si="1"/>
        <v>SGW00201</v>
      </c>
      <c r="B86" t="s">
        <v>26</v>
      </c>
      <c r="C86" t="s">
        <v>36</v>
      </c>
      <c r="D86">
        <v>70</v>
      </c>
      <c r="E86">
        <v>16</v>
      </c>
      <c r="F86" t="s">
        <v>209</v>
      </c>
      <c r="G86" t="s">
        <v>54</v>
      </c>
      <c r="H86" t="s">
        <v>103</v>
      </c>
      <c r="I86" t="s">
        <v>175</v>
      </c>
      <c r="J86" t="s">
        <v>46</v>
      </c>
      <c r="K86" s="8">
        <v>43621</v>
      </c>
      <c r="L86" s="8">
        <v>43622</v>
      </c>
      <c r="M86" t="s">
        <v>68</v>
      </c>
      <c r="N86" t="s">
        <v>74</v>
      </c>
      <c r="O86" t="s">
        <v>39</v>
      </c>
      <c r="P86">
        <v>2</v>
      </c>
      <c r="Q86">
        <v>16</v>
      </c>
      <c r="R86" t="s">
        <v>31</v>
      </c>
      <c r="S86" t="s">
        <v>29</v>
      </c>
      <c r="T86" t="s">
        <v>30</v>
      </c>
      <c r="BA86">
        <v>16</v>
      </c>
    </row>
    <row r="87" spans="1:72" x14ac:dyDescent="0.3">
      <c r="A87" s="4" t="str">
        <f t="shared" si="1"/>
        <v>MK800100</v>
      </c>
      <c r="B87" t="s">
        <v>20</v>
      </c>
      <c r="C87" t="s">
        <v>36</v>
      </c>
      <c r="D87">
        <v>70</v>
      </c>
      <c r="E87">
        <v>16</v>
      </c>
      <c r="F87" t="s">
        <v>200</v>
      </c>
      <c r="G87" t="s">
        <v>33</v>
      </c>
      <c r="H87" t="s">
        <v>94</v>
      </c>
      <c r="I87" t="s">
        <v>160</v>
      </c>
      <c r="J87" t="s">
        <v>13</v>
      </c>
      <c r="K87" s="8">
        <v>43409</v>
      </c>
      <c r="L87" s="8">
        <v>43412</v>
      </c>
      <c r="M87" t="s">
        <v>68</v>
      </c>
      <c r="N87" t="s">
        <v>74</v>
      </c>
      <c r="O87" t="s">
        <v>39</v>
      </c>
      <c r="P87">
        <v>4</v>
      </c>
      <c r="Q87">
        <v>32</v>
      </c>
      <c r="R87" t="s">
        <v>31</v>
      </c>
      <c r="S87" t="s">
        <v>29</v>
      </c>
      <c r="T87" t="s">
        <v>30</v>
      </c>
      <c r="W87">
        <v>32</v>
      </c>
    </row>
    <row r="88" spans="1:72" x14ac:dyDescent="0.3">
      <c r="A88" s="4" t="str">
        <f t="shared" si="1"/>
        <v>WLW00100</v>
      </c>
      <c r="B88" t="s">
        <v>22</v>
      </c>
      <c r="C88" t="s">
        <v>36</v>
      </c>
      <c r="D88">
        <v>70</v>
      </c>
      <c r="E88">
        <v>16</v>
      </c>
      <c r="F88" t="s">
        <v>223</v>
      </c>
      <c r="G88" t="s">
        <v>224</v>
      </c>
      <c r="H88" t="s">
        <v>225</v>
      </c>
      <c r="I88" t="s">
        <v>226</v>
      </c>
      <c r="J88" t="s">
        <v>13</v>
      </c>
      <c r="K88" s="8">
        <v>43479</v>
      </c>
      <c r="L88" s="8">
        <v>43482</v>
      </c>
      <c r="M88" t="s">
        <v>68</v>
      </c>
      <c r="N88" t="s">
        <v>74</v>
      </c>
      <c r="O88" t="s">
        <v>39</v>
      </c>
      <c r="P88">
        <v>4</v>
      </c>
      <c r="Q88">
        <v>32</v>
      </c>
      <c r="R88" t="s">
        <v>31</v>
      </c>
      <c r="S88" t="s">
        <v>29</v>
      </c>
      <c r="T88" t="s">
        <v>30</v>
      </c>
      <c r="AG88">
        <v>32</v>
      </c>
    </row>
    <row r="89" spans="1:72" x14ac:dyDescent="0.3">
      <c r="A89" s="4" t="str">
        <f t="shared" si="1"/>
        <v>M5T00101</v>
      </c>
      <c r="B89" t="s">
        <v>231</v>
      </c>
      <c r="C89" t="s">
        <v>36</v>
      </c>
      <c r="D89">
        <v>70</v>
      </c>
      <c r="E89">
        <v>16</v>
      </c>
      <c r="F89" t="s">
        <v>232</v>
      </c>
      <c r="G89" t="s">
        <v>233</v>
      </c>
      <c r="H89" t="s">
        <v>234</v>
      </c>
      <c r="I89" t="s">
        <v>235</v>
      </c>
      <c r="J89" t="s">
        <v>13</v>
      </c>
      <c r="K89" s="8">
        <v>43402</v>
      </c>
      <c r="L89" s="8">
        <v>43404</v>
      </c>
      <c r="M89" t="s">
        <v>68</v>
      </c>
      <c r="N89" t="s">
        <v>74</v>
      </c>
      <c r="O89" t="s">
        <v>39</v>
      </c>
      <c r="P89">
        <v>3</v>
      </c>
      <c r="Q89">
        <v>24</v>
      </c>
      <c r="R89" t="s">
        <v>31</v>
      </c>
      <c r="S89" t="s">
        <v>29</v>
      </c>
      <c r="T89" t="s">
        <v>30</v>
      </c>
      <c r="V89">
        <v>24</v>
      </c>
    </row>
    <row r="90" spans="1:72" x14ac:dyDescent="0.3">
      <c r="A90" s="4" t="str">
        <f t="shared" si="1"/>
        <v>WL900100</v>
      </c>
      <c r="B90" t="s">
        <v>21</v>
      </c>
      <c r="C90" t="s">
        <v>36</v>
      </c>
      <c r="D90">
        <v>70</v>
      </c>
      <c r="E90">
        <v>16</v>
      </c>
      <c r="F90" t="s">
        <v>240</v>
      </c>
      <c r="G90" t="s">
        <v>241</v>
      </c>
      <c r="H90" t="s">
        <v>242</v>
      </c>
      <c r="I90" t="s">
        <v>243</v>
      </c>
      <c r="J90" t="s">
        <v>13</v>
      </c>
      <c r="K90" s="8">
        <v>43651</v>
      </c>
      <c r="L90" s="8">
        <v>43664</v>
      </c>
      <c r="M90" t="s">
        <v>68</v>
      </c>
      <c r="N90" t="s">
        <v>74</v>
      </c>
      <c r="O90" t="s">
        <v>39</v>
      </c>
      <c r="P90">
        <v>10</v>
      </c>
      <c r="Q90">
        <v>80</v>
      </c>
      <c r="R90" t="s">
        <v>31</v>
      </c>
      <c r="S90" t="s">
        <v>29</v>
      </c>
      <c r="T90" t="s">
        <v>30</v>
      </c>
      <c r="BE90">
        <v>8</v>
      </c>
      <c r="BF90">
        <v>40</v>
      </c>
      <c r="BG90">
        <v>32</v>
      </c>
    </row>
    <row r="91" spans="1:72" x14ac:dyDescent="0.3">
      <c r="A91" s="4" t="str">
        <f t="shared" si="1"/>
        <v>TB2.41</v>
      </c>
      <c r="B91" t="s">
        <v>21</v>
      </c>
      <c r="C91" t="s">
        <v>36</v>
      </c>
      <c r="D91">
        <v>70</v>
      </c>
      <c r="E91">
        <v>16</v>
      </c>
      <c r="F91" t="s">
        <v>244</v>
      </c>
      <c r="G91" t="s">
        <v>241</v>
      </c>
      <c r="H91" t="s">
        <v>245</v>
      </c>
      <c r="I91" t="s">
        <v>246</v>
      </c>
      <c r="J91" t="s">
        <v>13</v>
      </c>
      <c r="K91" s="8">
        <v>43636</v>
      </c>
      <c r="L91" s="8">
        <v>43649</v>
      </c>
      <c r="M91" t="s">
        <v>68</v>
      </c>
      <c r="N91" t="s">
        <v>74</v>
      </c>
      <c r="O91" t="s">
        <v>39</v>
      </c>
      <c r="P91">
        <v>10</v>
      </c>
      <c r="Q91">
        <v>80</v>
      </c>
      <c r="R91" t="s">
        <v>31</v>
      </c>
      <c r="S91" t="s">
        <v>29</v>
      </c>
      <c r="T91" t="s">
        <v>30</v>
      </c>
      <c r="BC91">
        <v>16</v>
      </c>
      <c r="BD91">
        <v>40</v>
      </c>
      <c r="BE91">
        <v>24</v>
      </c>
    </row>
    <row r="92" spans="1:72" x14ac:dyDescent="0.3">
      <c r="A92" s="4" t="str">
        <f t="shared" si="1"/>
        <v>TB2.RP</v>
      </c>
      <c r="B92" t="s">
        <v>21</v>
      </c>
      <c r="C92" t="s">
        <v>36</v>
      </c>
      <c r="D92">
        <v>70</v>
      </c>
      <c r="E92">
        <v>16</v>
      </c>
      <c r="F92" t="s">
        <v>247</v>
      </c>
      <c r="G92" t="s">
        <v>34</v>
      </c>
      <c r="H92" t="s">
        <v>248</v>
      </c>
      <c r="I92" t="s">
        <v>249</v>
      </c>
      <c r="J92" t="s">
        <v>13</v>
      </c>
      <c r="K92" s="8">
        <v>43657</v>
      </c>
      <c r="L92" s="8">
        <v>43662</v>
      </c>
      <c r="M92" t="s">
        <v>68</v>
      </c>
      <c r="N92" t="s">
        <v>74</v>
      </c>
      <c r="O92" t="s">
        <v>39</v>
      </c>
      <c r="P92">
        <v>4</v>
      </c>
      <c r="Q92">
        <v>32</v>
      </c>
      <c r="R92" t="s">
        <v>31</v>
      </c>
      <c r="S92" t="s">
        <v>29</v>
      </c>
      <c r="T92" t="s">
        <v>30</v>
      </c>
      <c r="BF92">
        <v>16</v>
      </c>
      <c r="BG92">
        <v>16</v>
      </c>
    </row>
    <row r="93" spans="1:72" x14ac:dyDescent="0.3">
      <c r="A93" s="4" t="str">
        <f t="shared" si="1"/>
        <v>TB3.41</v>
      </c>
      <c r="B93" t="s">
        <v>21</v>
      </c>
      <c r="C93" t="s">
        <v>36</v>
      </c>
      <c r="D93">
        <v>70</v>
      </c>
      <c r="E93">
        <v>16</v>
      </c>
      <c r="F93" t="s">
        <v>261</v>
      </c>
      <c r="G93" t="s">
        <v>241</v>
      </c>
      <c r="H93" t="s">
        <v>262</v>
      </c>
      <c r="I93" t="s">
        <v>253</v>
      </c>
      <c r="J93" t="s">
        <v>13</v>
      </c>
      <c r="K93" s="8">
        <v>43734</v>
      </c>
      <c r="L93" s="8">
        <v>43754</v>
      </c>
      <c r="M93" t="s">
        <v>68</v>
      </c>
      <c r="N93" t="s">
        <v>74</v>
      </c>
      <c r="O93" t="s">
        <v>39</v>
      </c>
      <c r="P93">
        <v>15</v>
      </c>
      <c r="Q93">
        <v>120</v>
      </c>
      <c r="R93" t="s">
        <v>31</v>
      </c>
      <c r="S93" t="s">
        <v>29</v>
      </c>
      <c r="T93" t="s">
        <v>30</v>
      </c>
      <c r="BQ93">
        <v>16</v>
      </c>
      <c r="BR93">
        <v>40</v>
      </c>
      <c r="BS93">
        <v>40</v>
      </c>
      <c r="BT93">
        <v>24</v>
      </c>
    </row>
    <row r="94" spans="1:72" x14ac:dyDescent="0.3">
      <c r="A94" s="4" t="str">
        <f t="shared" si="1"/>
        <v>EJB00166</v>
      </c>
      <c r="B94" t="s">
        <v>316</v>
      </c>
      <c r="C94" t="s">
        <v>36</v>
      </c>
      <c r="D94">
        <v>70</v>
      </c>
      <c r="E94">
        <v>16</v>
      </c>
      <c r="F94" t="s">
        <v>317</v>
      </c>
      <c r="G94" t="s">
        <v>34</v>
      </c>
      <c r="H94" t="s">
        <v>263</v>
      </c>
      <c r="I94" t="s">
        <v>264</v>
      </c>
      <c r="J94" t="s">
        <v>13</v>
      </c>
      <c r="K94" s="8">
        <v>43537</v>
      </c>
      <c r="L94" s="8">
        <v>43550</v>
      </c>
      <c r="M94" t="s">
        <v>68</v>
      </c>
      <c r="N94" t="s">
        <v>74</v>
      </c>
      <c r="O94" t="s">
        <v>39</v>
      </c>
      <c r="P94">
        <v>10</v>
      </c>
      <c r="Q94">
        <v>80</v>
      </c>
      <c r="R94" t="s">
        <v>31</v>
      </c>
      <c r="S94" t="s">
        <v>29</v>
      </c>
      <c r="T94" t="s">
        <v>30</v>
      </c>
      <c r="AO94">
        <v>24</v>
      </c>
      <c r="AP94">
        <v>40</v>
      </c>
      <c r="AQ94">
        <v>16</v>
      </c>
    </row>
    <row r="95" spans="1:72" x14ac:dyDescent="0.3">
      <c r="A95" s="4" t="str">
        <f t="shared" si="1"/>
        <v>SGW00201</v>
      </c>
      <c r="B95" t="s">
        <v>26</v>
      </c>
      <c r="C95" t="s">
        <v>36</v>
      </c>
      <c r="D95">
        <v>70</v>
      </c>
      <c r="E95">
        <v>16</v>
      </c>
      <c r="F95" t="s">
        <v>281</v>
      </c>
      <c r="G95" t="s">
        <v>282</v>
      </c>
      <c r="H95" t="s">
        <v>283</v>
      </c>
      <c r="I95" t="s">
        <v>284</v>
      </c>
      <c r="J95" t="s">
        <v>13</v>
      </c>
      <c r="K95" s="8">
        <v>43413</v>
      </c>
      <c r="L95" s="8">
        <v>43417</v>
      </c>
      <c r="M95" t="s">
        <v>68</v>
      </c>
      <c r="N95" t="s">
        <v>74</v>
      </c>
      <c r="O95" t="s">
        <v>39</v>
      </c>
      <c r="P95">
        <v>3</v>
      </c>
      <c r="Q95">
        <v>24</v>
      </c>
      <c r="R95" t="s">
        <v>31</v>
      </c>
      <c r="S95" t="s">
        <v>29</v>
      </c>
      <c r="T95" t="s">
        <v>30</v>
      </c>
      <c r="W95">
        <v>8</v>
      </c>
      <c r="X95">
        <v>16</v>
      </c>
    </row>
    <row r="96" spans="1:72" x14ac:dyDescent="0.3">
      <c r="A96" s="4" t="str">
        <f t="shared" si="1"/>
        <v>SM200102</v>
      </c>
      <c r="B96" t="s">
        <v>22</v>
      </c>
      <c r="C96" t="s">
        <v>36</v>
      </c>
      <c r="D96">
        <v>70</v>
      </c>
      <c r="E96">
        <v>16</v>
      </c>
      <c r="F96" t="s">
        <v>287</v>
      </c>
      <c r="G96" t="s">
        <v>288</v>
      </c>
      <c r="H96" t="s">
        <v>289</v>
      </c>
      <c r="I96" t="s">
        <v>290</v>
      </c>
      <c r="J96" t="s">
        <v>42</v>
      </c>
      <c r="K96" s="8">
        <v>43649</v>
      </c>
      <c r="L96" s="8">
        <v>43651</v>
      </c>
      <c r="M96" t="s">
        <v>68</v>
      </c>
      <c r="N96" t="s">
        <v>74</v>
      </c>
      <c r="O96" t="s">
        <v>39</v>
      </c>
      <c r="P96">
        <v>2</v>
      </c>
      <c r="Q96">
        <v>16</v>
      </c>
      <c r="R96" t="s">
        <v>31</v>
      </c>
      <c r="S96" t="s">
        <v>29</v>
      </c>
      <c r="T96" t="s">
        <v>30</v>
      </c>
      <c r="BE96">
        <v>16</v>
      </c>
    </row>
    <row r="97" spans="1:81" x14ac:dyDescent="0.3">
      <c r="A97" s="4" t="str">
        <f t="shared" si="1"/>
        <v>SM200102</v>
      </c>
      <c r="B97" t="s">
        <v>22</v>
      </c>
      <c r="C97" t="s">
        <v>36</v>
      </c>
      <c r="D97">
        <v>70</v>
      </c>
      <c r="E97">
        <v>16</v>
      </c>
      <c r="F97" t="s">
        <v>287</v>
      </c>
      <c r="G97" t="s">
        <v>288</v>
      </c>
      <c r="H97" t="s">
        <v>289</v>
      </c>
      <c r="I97" t="s">
        <v>291</v>
      </c>
      <c r="J97" t="s">
        <v>292</v>
      </c>
      <c r="K97" s="8">
        <v>43661</v>
      </c>
      <c r="L97" s="8">
        <v>43665</v>
      </c>
      <c r="M97" t="s">
        <v>68</v>
      </c>
      <c r="N97" t="s">
        <v>74</v>
      </c>
      <c r="O97" t="s">
        <v>39</v>
      </c>
      <c r="P97">
        <v>5</v>
      </c>
      <c r="Q97">
        <v>40</v>
      </c>
      <c r="R97" t="s">
        <v>31</v>
      </c>
      <c r="S97" t="s">
        <v>44</v>
      </c>
      <c r="T97" t="s">
        <v>30</v>
      </c>
      <c r="BG97">
        <v>40</v>
      </c>
    </row>
    <row r="98" spans="1:81" x14ac:dyDescent="0.3">
      <c r="A98" s="4" t="str">
        <f t="shared" si="1"/>
        <v>SM200102</v>
      </c>
      <c r="B98" t="s">
        <v>22</v>
      </c>
      <c r="C98" t="s">
        <v>36</v>
      </c>
      <c r="D98">
        <v>70</v>
      </c>
      <c r="E98">
        <v>16</v>
      </c>
      <c r="F98" t="s">
        <v>287</v>
      </c>
      <c r="G98" t="s">
        <v>288</v>
      </c>
      <c r="H98" t="s">
        <v>289</v>
      </c>
      <c r="I98" t="s">
        <v>293</v>
      </c>
      <c r="J98" t="s">
        <v>45</v>
      </c>
      <c r="K98" s="8">
        <v>43668</v>
      </c>
      <c r="L98" s="8">
        <v>43671</v>
      </c>
      <c r="M98" t="s">
        <v>68</v>
      </c>
      <c r="N98" t="s">
        <v>74</v>
      </c>
      <c r="O98" t="s">
        <v>39</v>
      </c>
      <c r="P98">
        <v>4</v>
      </c>
      <c r="Q98">
        <v>32</v>
      </c>
      <c r="R98" t="s">
        <v>31</v>
      </c>
      <c r="S98" t="s">
        <v>44</v>
      </c>
      <c r="T98" t="s">
        <v>30</v>
      </c>
      <c r="BH98">
        <v>32</v>
      </c>
    </row>
    <row r="99" spans="1:81" x14ac:dyDescent="0.3">
      <c r="A99" s="4" t="str">
        <f t="shared" si="1"/>
        <v>SM200102</v>
      </c>
      <c r="B99" t="s">
        <v>22</v>
      </c>
      <c r="C99" t="s">
        <v>36</v>
      </c>
      <c r="D99">
        <v>70</v>
      </c>
      <c r="E99">
        <v>16</v>
      </c>
      <c r="F99" t="s">
        <v>287</v>
      </c>
      <c r="G99" t="s">
        <v>288</v>
      </c>
      <c r="H99" t="s">
        <v>289</v>
      </c>
      <c r="I99" t="s">
        <v>294</v>
      </c>
      <c r="J99" t="s">
        <v>46</v>
      </c>
      <c r="K99" s="8">
        <v>43654</v>
      </c>
      <c r="L99" s="8">
        <v>43655</v>
      </c>
      <c r="M99" t="s">
        <v>68</v>
      </c>
      <c r="N99" t="s">
        <v>74</v>
      </c>
      <c r="O99" t="s">
        <v>39</v>
      </c>
      <c r="P99">
        <v>2</v>
      </c>
      <c r="Q99">
        <v>16</v>
      </c>
      <c r="R99" t="s">
        <v>31</v>
      </c>
      <c r="S99" t="s">
        <v>29</v>
      </c>
      <c r="T99" t="s">
        <v>30</v>
      </c>
      <c r="BF99">
        <v>16</v>
      </c>
    </row>
    <row r="100" spans="1:81" x14ac:dyDescent="0.3">
      <c r="A100" s="4" t="str">
        <f t="shared" si="1"/>
        <v>PD2.3</v>
      </c>
      <c r="B100" t="s">
        <v>267</v>
      </c>
      <c r="C100" t="s">
        <v>36</v>
      </c>
      <c r="D100">
        <v>70</v>
      </c>
      <c r="E100">
        <v>16</v>
      </c>
      <c r="F100" t="s">
        <v>295</v>
      </c>
      <c r="G100" t="s">
        <v>296</v>
      </c>
      <c r="H100" t="s">
        <v>297</v>
      </c>
      <c r="I100" t="s">
        <v>298</v>
      </c>
      <c r="J100" t="s">
        <v>13</v>
      </c>
      <c r="K100" s="8">
        <v>43788</v>
      </c>
      <c r="L100" s="8">
        <v>43796</v>
      </c>
      <c r="M100" t="s">
        <v>68</v>
      </c>
      <c r="N100" t="s">
        <v>74</v>
      </c>
      <c r="O100" t="s">
        <v>39</v>
      </c>
      <c r="P100">
        <v>7</v>
      </c>
      <c r="Q100">
        <v>56</v>
      </c>
      <c r="R100" t="s">
        <v>31</v>
      </c>
      <c r="S100" t="s">
        <v>29</v>
      </c>
      <c r="T100" t="s">
        <v>30</v>
      </c>
      <c r="BY100">
        <v>32</v>
      </c>
      <c r="BZ100">
        <v>24</v>
      </c>
    </row>
    <row r="101" spans="1:81" x14ac:dyDescent="0.3">
      <c r="A101" s="4" t="str">
        <f t="shared" si="1"/>
        <v>PD2.RP</v>
      </c>
      <c r="B101" t="s">
        <v>267</v>
      </c>
      <c r="C101" t="s">
        <v>36</v>
      </c>
      <c r="D101">
        <v>70</v>
      </c>
      <c r="E101">
        <v>16</v>
      </c>
      <c r="F101" t="s">
        <v>299</v>
      </c>
      <c r="G101" t="s">
        <v>300</v>
      </c>
      <c r="H101" t="s">
        <v>301</v>
      </c>
      <c r="I101" t="s">
        <v>302</v>
      </c>
      <c r="J101" t="s">
        <v>13</v>
      </c>
      <c r="K101" s="8">
        <v>43805</v>
      </c>
      <c r="L101" s="8">
        <v>43815</v>
      </c>
      <c r="M101" t="s">
        <v>68</v>
      </c>
      <c r="N101" t="s">
        <v>74</v>
      </c>
      <c r="O101" t="s">
        <v>39</v>
      </c>
      <c r="P101">
        <v>7</v>
      </c>
      <c r="Q101">
        <v>56</v>
      </c>
      <c r="R101" t="s">
        <v>31</v>
      </c>
      <c r="S101" t="s">
        <v>29</v>
      </c>
      <c r="T101" t="s">
        <v>30</v>
      </c>
      <c r="CA101">
        <v>8</v>
      </c>
      <c r="CB101">
        <v>40</v>
      </c>
      <c r="CC101">
        <v>8</v>
      </c>
    </row>
    <row r="102" spans="1:81" x14ac:dyDescent="0.3">
      <c r="A102" s="4" t="str">
        <f t="shared" si="1"/>
        <v>SGW00201</v>
      </c>
      <c r="B102" t="s">
        <v>303</v>
      </c>
      <c r="C102" t="s">
        <v>36</v>
      </c>
      <c r="D102">
        <v>70</v>
      </c>
      <c r="E102">
        <v>16</v>
      </c>
      <c r="F102" t="s">
        <v>304</v>
      </c>
      <c r="G102" t="s">
        <v>34</v>
      </c>
      <c r="H102" t="s">
        <v>305</v>
      </c>
      <c r="I102" t="s">
        <v>306</v>
      </c>
      <c r="J102" t="s">
        <v>13</v>
      </c>
      <c r="K102" s="8">
        <v>43614</v>
      </c>
      <c r="L102" s="8">
        <v>43623</v>
      </c>
      <c r="M102" t="s">
        <v>68</v>
      </c>
      <c r="N102" t="s">
        <v>74</v>
      </c>
      <c r="O102" t="s">
        <v>39</v>
      </c>
      <c r="P102">
        <v>8</v>
      </c>
      <c r="Q102">
        <v>64</v>
      </c>
      <c r="R102" t="s">
        <v>31</v>
      </c>
      <c r="S102" t="s">
        <v>29</v>
      </c>
      <c r="T102" t="s">
        <v>30</v>
      </c>
      <c r="AZ102">
        <v>24</v>
      </c>
      <c r="BA102">
        <v>40</v>
      </c>
    </row>
    <row r="103" spans="1:81" x14ac:dyDescent="0.3">
      <c r="A103" s="4" t="str">
        <f t="shared" si="1"/>
        <v>SGW00201</v>
      </c>
      <c r="B103" t="s">
        <v>303</v>
      </c>
      <c r="C103" t="s">
        <v>36</v>
      </c>
      <c r="D103">
        <v>70</v>
      </c>
      <c r="E103">
        <v>16</v>
      </c>
      <c r="F103" t="s">
        <v>307</v>
      </c>
      <c r="G103" t="s">
        <v>282</v>
      </c>
      <c r="H103" t="s">
        <v>308</v>
      </c>
      <c r="I103" t="s">
        <v>309</v>
      </c>
      <c r="J103" t="s">
        <v>13</v>
      </c>
      <c r="K103" s="8">
        <v>43628</v>
      </c>
      <c r="L103" s="8">
        <v>43630</v>
      </c>
      <c r="M103" t="s">
        <v>68</v>
      </c>
      <c r="N103" t="s">
        <v>74</v>
      </c>
      <c r="O103" t="s">
        <v>39</v>
      </c>
      <c r="P103">
        <v>3</v>
      </c>
      <c r="Q103">
        <v>24</v>
      </c>
      <c r="R103" t="s">
        <v>31</v>
      </c>
      <c r="S103" t="s">
        <v>29</v>
      </c>
      <c r="T103" t="s">
        <v>30</v>
      </c>
      <c r="BB103">
        <v>24</v>
      </c>
    </row>
    <row r="104" spans="1:81" x14ac:dyDescent="0.3">
      <c r="A104" s="4" t="str">
        <f t="shared" si="1"/>
        <v>MBY00100</v>
      </c>
      <c r="B104" t="s">
        <v>22</v>
      </c>
      <c r="C104" t="s">
        <v>36</v>
      </c>
      <c r="D104">
        <v>314</v>
      </c>
      <c r="E104">
        <v>2</v>
      </c>
      <c r="F104" t="s">
        <v>212</v>
      </c>
      <c r="G104" t="s">
        <v>70</v>
      </c>
      <c r="H104" t="s">
        <v>104</v>
      </c>
      <c r="I104" t="s">
        <v>178</v>
      </c>
      <c r="J104" t="s">
        <v>71</v>
      </c>
      <c r="K104" s="8">
        <v>43643</v>
      </c>
      <c r="L104" s="8">
        <v>43657</v>
      </c>
      <c r="M104" t="s">
        <v>68</v>
      </c>
      <c r="N104" t="s">
        <v>72</v>
      </c>
      <c r="O104" t="s">
        <v>39</v>
      </c>
      <c r="P104">
        <v>10</v>
      </c>
      <c r="Q104">
        <v>80</v>
      </c>
      <c r="R104" t="s">
        <v>31</v>
      </c>
      <c r="S104" t="s">
        <v>29</v>
      </c>
      <c r="T104" t="s">
        <v>30</v>
      </c>
      <c r="BD104">
        <v>16</v>
      </c>
      <c r="BE104">
        <v>32</v>
      </c>
      <c r="BF104">
        <v>32</v>
      </c>
    </row>
    <row r="105" spans="1:81" x14ac:dyDescent="0.3">
      <c r="A105" s="4" t="str">
        <f t="shared" si="1"/>
        <v>MBY00100</v>
      </c>
      <c r="B105" t="s">
        <v>22</v>
      </c>
      <c r="C105" t="s">
        <v>36</v>
      </c>
      <c r="D105">
        <v>314</v>
      </c>
      <c r="E105">
        <v>2</v>
      </c>
      <c r="F105" t="s">
        <v>213</v>
      </c>
      <c r="G105" t="s">
        <v>73</v>
      </c>
      <c r="H105" t="s">
        <v>105</v>
      </c>
      <c r="I105" t="s">
        <v>179</v>
      </c>
      <c r="J105" t="s">
        <v>13</v>
      </c>
      <c r="K105" s="8">
        <v>43658</v>
      </c>
      <c r="L105" s="8">
        <v>43662</v>
      </c>
      <c r="M105" t="s">
        <v>68</v>
      </c>
      <c r="N105" t="s">
        <v>72</v>
      </c>
      <c r="O105" t="s">
        <v>39</v>
      </c>
      <c r="P105">
        <v>3</v>
      </c>
      <c r="Q105">
        <v>24</v>
      </c>
      <c r="R105" t="s">
        <v>31</v>
      </c>
      <c r="S105" t="s">
        <v>29</v>
      </c>
      <c r="T105" t="s">
        <v>30</v>
      </c>
      <c r="BF105">
        <v>8</v>
      </c>
      <c r="BG105">
        <v>16</v>
      </c>
    </row>
    <row r="106" spans="1:81" x14ac:dyDescent="0.3">
      <c r="A106" s="4" t="str">
        <f t="shared" si="1"/>
        <v>XE300100</v>
      </c>
      <c r="B106" t="s">
        <v>16</v>
      </c>
      <c r="C106" t="s">
        <v>36</v>
      </c>
      <c r="D106">
        <v>314</v>
      </c>
      <c r="E106">
        <v>2</v>
      </c>
      <c r="F106" t="s">
        <v>219</v>
      </c>
      <c r="G106" t="s">
        <v>70</v>
      </c>
      <c r="H106" t="s">
        <v>216</v>
      </c>
      <c r="I106" t="s">
        <v>180</v>
      </c>
      <c r="J106" t="s">
        <v>313</v>
      </c>
      <c r="K106" s="8">
        <v>43420</v>
      </c>
      <c r="L106" s="8">
        <v>43437</v>
      </c>
      <c r="M106" t="s">
        <v>68</v>
      </c>
      <c r="N106" t="s">
        <v>72</v>
      </c>
      <c r="O106" t="s">
        <v>39</v>
      </c>
      <c r="P106">
        <v>10</v>
      </c>
      <c r="Q106">
        <v>80</v>
      </c>
      <c r="R106" t="s">
        <v>31</v>
      </c>
      <c r="S106" t="s">
        <v>29</v>
      </c>
      <c r="T106" t="s">
        <v>30</v>
      </c>
      <c r="X106">
        <v>8</v>
      </c>
      <c r="Y106">
        <v>24</v>
      </c>
      <c r="Z106">
        <v>40</v>
      </c>
      <c r="AA106">
        <v>8</v>
      </c>
    </row>
    <row r="107" spans="1:81" x14ac:dyDescent="0.3">
      <c r="A107" s="4" t="str">
        <f t="shared" si="1"/>
        <v>XE300100</v>
      </c>
      <c r="B107" t="s">
        <v>16</v>
      </c>
      <c r="C107" t="s">
        <v>36</v>
      </c>
      <c r="D107">
        <v>314</v>
      </c>
      <c r="E107">
        <v>2</v>
      </c>
      <c r="F107" t="s">
        <v>220</v>
      </c>
      <c r="G107" t="s">
        <v>73</v>
      </c>
      <c r="H107" t="s">
        <v>217</v>
      </c>
      <c r="I107" t="s">
        <v>181</v>
      </c>
      <c r="J107" t="s">
        <v>13</v>
      </c>
      <c r="K107" s="8">
        <v>43444</v>
      </c>
      <c r="L107" s="8">
        <v>43446</v>
      </c>
      <c r="M107" t="s">
        <v>68</v>
      </c>
      <c r="N107" t="s">
        <v>72</v>
      </c>
      <c r="O107" t="s">
        <v>39</v>
      </c>
      <c r="P107">
        <v>3</v>
      </c>
      <c r="Q107">
        <v>24</v>
      </c>
      <c r="R107" t="s">
        <v>31</v>
      </c>
      <c r="S107" t="s">
        <v>29</v>
      </c>
      <c r="T107" t="s">
        <v>30</v>
      </c>
      <c r="AB107">
        <v>24</v>
      </c>
    </row>
    <row r="108" spans="1:81" x14ac:dyDescent="0.3">
      <c r="A108" s="4" t="str">
        <f t="shared" si="1"/>
        <v>MK800100</v>
      </c>
      <c r="B108" t="s">
        <v>20</v>
      </c>
      <c r="C108" t="s">
        <v>36</v>
      </c>
      <c r="D108">
        <v>314</v>
      </c>
      <c r="E108">
        <v>2</v>
      </c>
      <c r="F108" t="s">
        <v>228</v>
      </c>
      <c r="G108" t="s">
        <v>73</v>
      </c>
      <c r="H108" t="s">
        <v>229</v>
      </c>
      <c r="I108" t="s">
        <v>230</v>
      </c>
      <c r="J108" t="s">
        <v>13</v>
      </c>
      <c r="K108" s="8">
        <v>43472</v>
      </c>
      <c r="L108" s="8">
        <v>43474</v>
      </c>
      <c r="M108" t="s">
        <v>68</v>
      </c>
      <c r="N108" t="s">
        <v>72</v>
      </c>
      <c r="O108" t="s">
        <v>39</v>
      </c>
      <c r="P108">
        <v>3</v>
      </c>
      <c r="Q108">
        <v>24</v>
      </c>
      <c r="R108" t="s">
        <v>31</v>
      </c>
      <c r="S108" t="s">
        <v>29</v>
      </c>
      <c r="T108" t="s">
        <v>30</v>
      </c>
      <c r="AF108">
        <v>24</v>
      </c>
    </row>
  </sheetData>
  <autoFilter ref="A1:CC118" xr:uid="{00000000-0009-0000-0000-000002000000}"/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Summary</vt:lpstr>
      <vt:lpstr>Sheet1</vt:lpstr>
      <vt:lpstr>Week Detail</vt:lpstr>
      <vt:lpstr>Data by Wk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Guppy</dc:creator>
  <cp:lastModifiedBy>Viresh B Shah</cp:lastModifiedBy>
  <dcterms:created xsi:type="dcterms:W3CDTF">2013-08-08T18:11:41Z</dcterms:created>
  <dcterms:modified xsi:type="dcterms:W3CDTF">2018-11-19T22:59:11Z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Ref">
    <vt:lpwstr>https://api.informationprotection.azure.com/api/ceb177bf-013b-49ab-8a9c-4abce32afc1e</vt:lpwstr>
  </property>
  <property fmtid="{D5CDD505-2E9C-101B-9397-08002B2CF9AE}" pid="5" name="MSIP_Label_fb5e2db6-eecf-4aa2-8fc3-174bf94bce19_SetDate">
    <vt:lpwstr>2018-03-22T07:10:30.2408074-05:00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