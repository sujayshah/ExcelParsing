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VB\Desktop\ExcelParsing\program_validation\980GC\"/>
    </mc:Choice>
  </mc:AlternateContent>
  <xr:revisionPtr revIDLastSave="0" documentId="13_ncr:1_{809BF9B4-6F22-47C9-BB6B-172A6562EF9C}" xr6:coauthVersionLast="41" xr6:coauthVersionMax="41" xr10:uidLastSave="{00000000-0000-0000-0000-000000000000}"/>
  <bookViews>
    <workbookView xWindow="-108" yWindow="-108" windowWidth="23256" windowHeight="12576" activeTab="2" xr2:uid="{54F87F3C-E7C3-436F-A1F3-78583A5D8C01}"/>
  </bookViews>
  <sheets>
    <sheet name="sheet1" sheetId="2" r:id="rId1"/>
    <sheet name="calendar" sheetId="22" r:id="rId2"/>
    <sheet name="Pre GW 1 &amp; 2" sheetId="18" r:id="rId3"/>
    <sheet name="DR 1 &amp; 2 (old)" sheetId="16" r:id="rId4"/>
    <sheet name="STCW option 2" sheetId="15" r:id="rId5"/>
    <sheet name="STCW Option 1" sheetId="14" r:id="rId6"/>
    <sheet name="STCW" sheetId="13" r:id="rId7"/>
    <sheet name="PMO- April 4 2019" sheetId="12" r:id="rId8"/>
    <sheet name="PMO-March 6 2019" sheetId="11" r:id="rId9"/>
    <sheet name="PMO- Feb 28 2019" sheetId="10" r:id="rId10"/>
    <sheet name="2Sheet2" sheetId="3" r:id="rId11"/>
    <sheet name="Raw data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" i="2" l="1"/>
  <c r="L2" i="2"/>
  <c r="D144" i="2" l="1"/>
  <c r="C145" i="2" s="1"/>
  <c r="D63" i="2" l="1"/>
  <c r="C64" i="2" s="1"/>
  <c r="D16" i="2"/>
  <c r="D13" i="2"/>
  <c r="D12" i="2"/>
  <c r="D11" i="2"/>
  <c r="D10" i="2"/>
  <c r="D5" i="2"/>
  <c r="D7" i="2"/>
  <c r="H10" i="2"/>
  <c r="G10" i="2"/>
  <c r="C114" i="2"/>
  <c r="D9" i="2" l="1"/>
  <c r="D14" i="2"/>
  <c r="C118" i="2"/>
  <c r="D118" i="2" s="1"/>
  <c r="D40" i="2" l="1"/>
  <c r="C41" i="2" s="1"/>
  <c r="D41" i="2" s="1"/>
  <c r="C42" i="2" s="1"/>
  <c r="D42" i="2" s="1"/>
  <c r="C134" i="2" l="1"/>
  <c r="D6" i="2" l="1"/>
  <c r="C21" i="2"/>
  <c r="C2" i="2"/>
  <c r="D134" i="2" l="1"/>
  <c r="D99" i="2"/>
  <c r="D44" i="2"/>
  <c r="D67" i="2"/>
  <c r="D38" i="2"/>
  <c r="C39" i="2" s="1"/>
  <c r="D26" i="2"/>
  <c r="D25" i="2"/>
  <c r="D24" i="2"/>
  <c r="D23" i="2"/>
  <c r="D22" i="2"/>
  <c r="D20" i="2"/>
  <c r="D19" i="2"/>
  <c r="D18" i="2"/>
  <c r="D17" i="2"/>
  <c r="D15" i="2"/>
  <c r="D4" i="2"/>
  <c r="C68" i="2" l="1"/>
  <c r="C45" i="2"/>
  <c r="C100" i="2"/>
  <c r="C135" i="2"/>
  <c r="D2" i="2"/>
  <c r="D21" i="2"/>
  <c r="D39" i="2"/>
  <c r="M91" i="13"/>
  <c r="L92" i="13" s="1"/>
  <c r="M123" i="13"/>
  <c r="L123" i="13"/>
  <c r="L121" i="13"/>
  <c r="M121" i="13" s="1"/>
  <c r="M103" i="13"/>
  <c r="L104" i="13" s="1"/>
  <c r="M101" i="13"/>
  <c r="M68" i="13"/>
  <c r="L69" i="13" s="1"/>
  <c r="M69" i="13" s="1"/>
  <c r="M46" i="13"/>
  <c r="L47" i="13" s="1"/>
  <c r="M47" i="13" s="1"/>
  <c r="M40" i="13"/>
  <c r="L41" i="13" s="1"/>
  <c r="L38" i="13"/>
  <c r="M38" i="13" s="1"/>
  <c r="L36" i="13"/>
  <c r="M36" i="13" s="1"/>
  <c r="L35" i="13"/>
  <c r="M35" i="13" s="1"/>
  <c r="L34" i="13"/>
  <c r="M34" i="13" s="1"/>
  <c r="M28" i="13"/>
  <c r="M27" i="13"/>
  <c r="M26" i="13"/>
  <c r="M25" i="13"/>
  <c r="M24" i="13"/>
  <c r="L23" i="13"/>
  <c r="M22" i="13"/>
  <c r="M21" i="13"/>
  <c r="M20" i="13"/>
  <c r="M19" i="13"/>
  <c r="M18" i="13"/>
  <c r="M17" i="13"/>
  <c r="M16" i="13"/>
  <c r="M15" i="13"/>
  <c r="M14" i="13"/>
  <c r="M13" i="13"/>
  <c r="L70" i="13" s="1"/>
  <c r="L11" i="13"/>
  <c r="M11" i="13" s="1"/>
  <c r="M10" i="13"/>
  <c r="M9" i="13"/>
  <c r="M8" i="13"/>
  <c r="M7" i="13"/>
  <c r="M6" i="13"/>
  <c r="M5" i="13"/>
  <c r="D67" i="13"/>
  <c r="C68" i="13" s="1"/>
  <c r="D68" i="13" s="1"/>
  <c r="D100" i="2" l="1"/>
  <c r="C119" i="2"/>
  <c r="D45" i="2"/>
  <c r="D135" i="2"/>
  <c r="D68" i="2"/>
  <c r="L3" i="13"/>
  <c r="L113" i="13"/>
  <c r="L122" i="13"/>
  <c r="M122" i="13" s="1"/>
  <c r="L37" i="13"/>
  <c r="M37" i="13" s="1"/>
  <c r="M104" i="13"/>
  <c r="M70" i="13"/>
  <c r="M3" i="13"/>
  <c r="L48" i="13"/>
  <c r="M41" i="13"/>
  <c r="L42" i="13" s="1"/>
  <c r="M42" i="13" s="1"/>
  <c r="L43" i="13" s="1"/>
  <c r="M43" i="13" s="1"/>
  <c r="L44" i="13" s="1"/>
  <c r="M44" i="13" s="1"/>
  <c r="M113" i="13"/>
  <c r="D27" i="13"/>
  <c r="C46" i="2" l="1"/>
  <c r="D46" i="2" s="1"/>
  <c r="C136" i="2"/>
  <c r="D119" i="2"/>
  <c r="C69" i="2"/>
  <c r="C101" i="2"/>
  <c r="M39" i="13"/>
  <c r="L105" i="13"/>
  <c r="M48" i="13"/>
  <c r="L71" i="13"/>
  <c r="L39" i="13"/>
  <c r="D17" i="13"/>
  <c r="D13" i="13"/>
  <c r="C69" i="13" s="1"/>
  <c r="D69" i="13" s="1"/>
  <c r="C70" i="13" s="1"/>
  <c r="D9" i="13"/>
  <c r="D22" i="13"/>
  <c r="D18" i="13"/>
  <c r="D16" i="13"/>
  <c r="C11" i="13"/>
  <c r="D11" i="13" s="1"/>
  <c r="D20" i="13"/>
  <c r="D117" i="13"/>
  <c r="C117" i="13"/>
  <c r="C115" i="13"/>
  <c r="D115" i="13" s="1"/>
  <c r="C116" i="13" s="1"/>
  <c r="D116" i="13" s="1"/>
  <c r="D97" i="13"/>
  <c r="C98" i="13" s="1"/>
  <c r="D46" i="13"/>
  <c r="C47" i="13" s="1"/>
  <c r="D47" i="13" s="1"/>
  <c r="D40" i="13"/>
  <c r="C41" i="13" s="1"/>
  <c r="C38" i="13"/>
  <c r="D38" i="13" s="1"/>
  <c r="C36" i="13"/>
  <c r="D36" i="13" s="1"/>
  <c r="C35" i="13"/>
  <c r="D35" i="13" s="1"/>
  <c r="C34" i="13"/>
  <c r="D34" i="13" s="1"/>
  <c r="D28" i="13"/>
  <c r="D26" i="13"/>
  <c r="D25" i="13"/>
  <c r="D24" i="13"/>
  <c r="C23" i="13"/>
  <c r="D21" i="13"/>
  <c r="D19" i="13"/>
  <c r="D14" i="13"/>
  <c r="D15" i="13"/>
  <c r="D10" i="13"/>
  <c r="D8" i="13"/>
  <c r="D7" i="13"/>
  <c r="D6" i="13"/>
  <c r="D5" i="13"/>
  <c r="C37" i="2" l="1"/>
  <c r="D37" i="2"/>
  <c r="D136" i="2"/>
  <c r="C137" i="2" s="1"/>
  <c r="D137" i="2" s="1"/>
  <c r="D69" i="2"/>
  <c r="C120" i="2"/>
  <c r="D101" i="2"/>
  <c r="L49" i="13"/>
  <c r="M71" i="13"/>
  <c r="M105" i="13"/>
  <c r="C107" i="13"/>
  <c r="C3" i="13"/>
  <c r="D3" i="13"/>
  <c r="D41" i="13"/>
  <c r="D98" i="13"/>
  <c r="C37" i="13"/>
  <c r="D37" i="13" s="1"/>
  <c r="D107" i="13"/>
  <c r="C47" i="2" l="1"/>
  <c r="D47" i="2" s="1"/>
  <c r="D120" i="2"/>
  <c r="C70" i="2"/>
  <c r="C102" i="2"/>
  <c r="C138" i="2"/>
  <c r="C32" i="2"/>
  <c r="D32" i="2" s="1"/>
  <c r="L106" i="13"/>
  <c r="L72" i="13"/>
  <c r="M49" i="13"/>
  <c r="C99" i="13"/>
  <c r="D99" i="13" s="1"/>
  <c r="C42" i="13"/>
  <c r="C48" i="13"/>
  <c r="D102" i="2" l="1"/>
  <c r="D70" i="2"/>
  <c r="C121" i="2"/>
  <c r="D138" i="2"/>
  <c r="M72" i="13"/>
  <c r="L50" i="13"/>
  <c r="M106" i="13"/>
  <c r="D42" i="13"/>
  <c r="D70" i="13"/>
  <c r="D48" i="13"/>
  <c r="C71" i="2" l="1"/>
  <c r="C33" i="2"/>
  <c r="D33" i="2" s="1"/>
  <c r="C139" i="2"/>
  <c r="D121" i="2"/>
  <c r="C48" i="2"/>
  <c r="D48" i="2" s="1"/>
  <c r="C103" i="2"/>
  <c r="C104" i="2"/>
  <c r="D104" i="2" s="1"/>
  <c r="C105" i="2" s="1"/>
  <c r="D105" i="2" s="1"/>
  <c r="C106" i="2" s="1"/>
  <c r="L73" i="13"/>
  <c r="L107" i="13"/>
  <c r="M50" i="13"/>
  <c r="C100" i="13"/>
  <c r="D100" i="13" s="1"/>
  <c r="C71" i="13"/>
  <c r="C49" i="13"/>
  <c r="D49" i="13" s="1"/>
  <c r="C50" i="13" s="1"/>
  <c r="D50" i="13" s="1"/>
  <c r="C51" i="13" s="1"/>
  <c r="C43" i="13"/>
  <c r="C122" i="2" l="1"/>
  <c r="D139" i="2"/>
  <c r="D103" i="2"/>
  <c r="D71" i="2"/>
  <c r="L51" i="13"/>
  <c r="M107" i="13"/>
  <c r="M73" i="13"/>
  <c r="L74" i="13" s="1"/>
  <c r="D43" i="13"/>
  <c r="D71" i="13"/>
  <c r="C49" i="2" l="1"/>
  <c r="D49" i="2" s="1"/>
  <c r="C140" i="2"/>
  <c r="C72" i="2"/>
  <c r="C74" i="2"/>
  <c r="D74" i="2" s="1"/>
  <c r="C75" i="2" s="1"/>
  <c r="D75" i="2" s="1"/>
  <c r="C76" i="2" s="1"/>
  <c r="D76" i="2" s="1"/>
  <c r="C77" i="2" s="1"/>
  <c r="D77" i="2" s="1"/>
  <c r="D122" i="2"/>
  <c r="L108" i="13"/>
  <c r="M51" i="13"/>
  <c r="C72" i="13"/>
  <c r="C44" i="13"/>
  <c r="C101" i="13"/>
  <c r="D72" i="2" l="1"/>
  <c r="C73" i="2" s="1"/>
  <c r="D73" i="2" s="1"/>
  <c r="D140" i="2"/>
  <c r="C141" i="2" s="1"/>
  <c r="D141" i="2" s="1"/>
  <c r="C142" i="2" s="1"/>
  <c r="D142" i="2" s="1"/>
  <c r="C123" i="2"/>
  <c r="D123" i="2" s="1"/>
  <c r="C124" i="2" s="1"/>
  <c r="D124" i="2" s="1"/>
  <c r="C50" i="2"/>
  <c r="L52" i="13"/>
  <c r="M108" i="13"/>
  <c r="D101" i="13"/>
  <c r="D44" i="13"/>
  <c r="D39" i="13" s="1"/>
  <c r="C39" i="13"/>
  <c r="D72" i="13"/>
  <c r="D51" i="13"/>
  <c r="D50" i="2" l="1"/>
  <c r="C51" i="2" s="1"/>
  <c r="C125" i="2"/>
  <c r="D125" i="2" s="1"/>
  <c r="C126" i="2" s="1"/>
  <c r="C143" i="2"/>
  <c r="D143" i="2" s="1"/>
  <c r="D145" i="2" s="1"/>
  <c r="C35" i="2"/>
  <c r="D35" i="2" s="1"/>
  <c r="L109" i="13"/>
  <c r="M109" i="13" s="1"/>
  <c r="L110" i="13" s="1"/>
  <c r="M110" i="13" s="1"/>
  <c r="L111" i="13" s="1"/>
  <c r="M111" i="13" s="1"/>
  <c r="L112" i="13" s="1"/>
  <c r="M52" i="13"/>
  <c r="L53" i="13" s="1"/>
  <c r="M53" i="13" s="1"/>
  <c r="L54" i="13" s="1"/>
  <c r="M54" i="13" s="1"/>
  <c r="L55" i="13" s="1"/>
  <c r="M55" i="13" s="1"/>
  <c r="L56" i="13" s="1"/>
  <c r="M56" i="13" s="1"/>
  <c r="C52" i="13"/>
  <c r="C73" i="13"/>
  <c r="C102" i="13"/>
  <c r="D51" i="2" l="1"/>
  <c r="C52" i="2" s="1"/>
  <c r="D126" i="2"/>
  <c r="C127" i="2" s="1"/>
  <c r="D127" i="2" s="1"/>
  <c r="C128" i="2" s="1"/>
  <c r="D128" i="2" s="1"/>
  <c r="C129" i="2" s="1"/>
  <c r="C36" i="2"/>
  <c r="D36" i="2" s="1"/>
  <c r="C146" i="2"/>
  <c r="C78" i="2"/>
  <c r="D78" i="2" s="1"/>
  <c r="L57" i="13"/>
  <c r="M57" i="13" s="1"/>
  <c r="L58" i="13" s="1"/>
  <c r="M58" i="13" s="1"/>
  <c r="M112" i="13"/>
  <c r="M102" i="13" s="1"/>
  <c r="L102" i="13"/>
  <c r="D102" i="13"/>
  <c r="D73" i="13"/>
  <c r="D52" i="13"/>
  <c r="D146" i="2" l="1"/>
  <c r="C147" i="2" s="1"/>
  <c r="D52" i="2"/>
  <c r="C53" i="2" s="1"/>
  <c r="D129" i="2"/>
  <c r="C130" i="2" s="1"/>
  <c r="D130" i="2" s="1"/>
  <c r="C79" i="2"/>
  <c r="D79" i="2" s="1"/>
  <c r="C80" i="2" s="1"/>
  <c r="D80" i="2" s="1"/>
  <c r="C81" i="2" s="1"/>
  <c r="L60" i="13"/>
  <c r="M60" i="13" s="1"/>
  <c r="L61" i="13" s="1"/>
  <c r="M61" i="13" s="1"/>
  <c r="L62" i="13" s="1"/>
  <c r="M62" i="13" s="1"/>
  <c r="L59" i="13"/>
  <c r="M59" i="13" s="1"/>
  <c r="L31" i="13"/>
  <c r="M31" i="13" s="1"/>
  <c r="L63" i="13"/>
  <c r="M63" i="13" s="1"/>
  <c r="C53" i="13"/>
  <c r="D53" i="13" s="1"/>
  <c r="C54" i="13" s="1"/>
  <c r="D54" i="13" s="1"/>
  <c r="C55" i="13" s="1"/>
  <c r="D55" i="13" s="1"/>
  <c r="C56" i="13" s="1"/>
  <c r="D56" i="13" s="1"/>
  <c r="C74" i="13"/>
  <c r="C103" i="13"/>
  <c r="D103" i="13" s="1"/>
  <c r="C104" i="13" s="1"/>
  <c r="D104" i="13" s="1"/>
  <c r="C105" i="13" s="1"/>
  <c r="D105" i="13" s="1"/>
  <c r="C106" i="13" s="1"/>
  <c r="I75" i="3"/>
  <c r="I71" i="3"/>
  <c r="C59" i="3"/>
  <c r="C75" i="3" s="1"/>
  <c r="I52" i="3"/>
  <c r="C40" i="3"/>
  <c r="C52" i="3" s="1"/>
  <c r="C26" i="3"/>
  <c r="C28" i="3" s="1"/>
  <c r="B15" i="3"/>
  <c r="D147" i="2" l="1"/>
  <c r="C132" i="2"/>
  <c r="D53" i="2"/>
  <c r="C54" i="2" s="1"/>
  <c r="D54" i="2" s="1"/>
  <c r="C131" i="2"/>
  <c r="D131" i="2" s="1"/>
  <c r="C34" i="2"/>
  <c r="D34" i="2" s="1"/>
  <c r="D81" i="2"/>
  <c r="D74" i="13"/>
  <c r="C75" i="13" s="1"/>
  <c r="D75" i="13" s="1"/>
  <c r="C76" i="13" s="1"/>
  <c r="D76" i="13" s="1"/>
  <c r="C77" i="13" s="1"/>
  <c r="D77" i="13" s="1"/>
  <c r="C78" i="13" s="1"/>
  <c r="D78" i="13" s="1"/>
  <c r="L30" i="13"/>
  <c r="L64" i="13"/>
  <c r="M64" i="13" s="1"/>
  <c r="L65" i="13" s="1"/>
  <c r="M92" i="13"/>
  <c r="C57" i="13"/>
  <c r="D57" i="13" s="1"/>
  <c r="D106" i="13"/>
  <c r="D96" i="13" s="1"/>
  <c r="C96" i="13"/>
  <c r="C55" i="2" l="1"/>
  <c r="D55" i="2" s="1"/>
  <c r="C56" i="2" s="1"/>
  <c r="D56" i="2" s="1"/>
  <c r="C57" i="2" s="1"/>
  <c r="D57" i="2" s="1"/>
  <c r="C58" i="2" s="1"/>
  <c r="D58" i="2" s="1"/>
  <c r="C59" i="2" s="1"/>
  <c r="L93" i="13"/>
  <c r="C58" i="13"/>
  <c r="D58" i="13" s="1"/>
  <c r="C59" i="13"/>
  <c r="D59" i="13" s="1"/>
  <c r="C60" i="13" s="1"/>
  <c r="C79" i="13"/>
  <c r="D79" i="13" s="1"/>
  <c r="C80" i="13" s="1"/>
  <c r="D80" i="13" s="1"/>
  <c r="C81" i="13" s="1"/>
  <c r="D81" i="13" s="1"/>
  <c r="M65" i="13"/>
  <c r="L45" i="13"/>
  <c r="M30" i="13"/>
  <c r="D59" i="2" l="1"/>
  <c r="C60" i="2" s="1"/>
  <c r="C82" i="2"/>
  <c r="D82" i="2" s="1"/>
  <c r="C83" i="2" s="1"/>
  <c r="D83" i="2" s="1"/>
  <c r="M93" i="13"/>
  <c r="L66" i="13"/>
  <c r="M66" i="13" s="1"/>
  <c r="M45" i="13"/>
  <c r="C82" i="13"/>
  <c r="D82" i="13" s="1"/>
  <c r="C83" i="13" s="1"/>
  <c r="D83" i="13" s="1"/>
  <c r="C84" i="13" s="1"/>
  <c r="D84" i="13" s="1"/>
  <c r="C85" i="13" s="1"/>
  <c r="D85" i="13" s="1"/>
  <c r="C86" i="13" s="1"/>
  <c r="D86" i="13" s="1"/>
  <c r="C87" i="13" s="1"/>
  <c r="D87" i="13" s="1"/>
  <c r="C88" i="13" s="1"/>
  <c r="D88" i="13" s="1"/>
  <c r="C89" i="13" s="1"/>
  <c r="D89" i="13" s="1"/>
  <c r="C90" i="13" s="1"/>
  <c r="C33" i="13"/>
  <c r="D33" i="13" s="1"/>
  <c r="D60" i="13"/>
  <c r="C61" i="13" s="1"/>
  <c r="C28" i="2" l="1"/>
  <c r="D28" i="2" s="1"/>
  <c r="L94" i="13"/>
  <c r="D90" i="13"/>
  <c r="C91" i="13" s="1"/>
  <c r="C32" i="13"/>
  <c r="D32" i="13" s="1"/>
  <c r="D60" i="2" l="1"/>
  <c r="C29" i="2" s="1"/>
  <c r="M94" i="13"/>
  <c r="D91" i="13"/>
  <c r="C92" i="13" s="1"/>
  <c r="D95" i="13"/>
  <c r="C61" i="2" l="1"/>
  <c r="D29" i="2"/>
  <c r="L95" i="13"/>
  <c r="D92" i="13"/>
  <c r="C93" i="13" s="1"/>
  <c r="D93" i="13" s="1"/>
  <c r="C94" i="13" s="1"/>
  <c r="D94" i="13" s="1"/>
  <c r="D66" i="13" s="1"/>
  <c r="D61" i="2" l="1"/>
  <c r="C62" i="2" s="1"/>
  <c r="D62" i="2" s="1"/>
  <c r="D64" i="2" s="1"/>
  <c r="M95" i="13"/>
  <c r="C66" i="13"/>
  <c r="C65" i="2" l="1"/>
  <c r="D65" i="2" s="1"/>
  <c r="C84" i="2"/>
  <c r="D84" i="2" s="1"/>
  <c r="L96" i="13"/>
  <c r="C43" i="2" l="1"/>
  <c r="C85" i="2"/>
  <c r="D85" i="2" s="1"/>
  <c r="M96" i="13"/>
  <c r="L97" i="13" s="1"/>
  <c r="M97" i="13" s="1"/>
  <c r="L98" i="13" s="1"/>
  <c r="M98" i="13" s="1"/>
  <c r="L99" i="13" s="1"/>
  <c r="M99" i="13" s="1"/>
  <c r="C86" i="2" l="1"/>
  <c r="D86" i="2" s="1"/>
  <c r="C87" i="2" s="1"/>
  <c r="D87" i="2" s="1"/>
  <c r="C88" i="2" s="1"/>
  <c r="L100" i="13"/>
  <c r="M100" i="13" s="1"/>
  <c r="M90" i="13" s="1"/>
  <c r="L90" i="13" l="1"/>
  <c r="D61" i="13" l="1"/>
  <c r="D88" i="2" l="1"/>
  <c r="C31" i="2" s="1"/>
  <c r="C62" i="13"/>
  <c r="C31" i="13"/>
  <c r="D31" i="13" s="1"/>
  <c r="C89" i="2" l="1"/>
  <c r="D89" i="2" s="1"/>
  <c r="C90" i="2" s="1"/>
  <c r="D90" i="2" s="1"/>
  <c r="C91" i="2" s="1"/>
  <c r="D31" i="2"/>
  <c r="D62" i="13"/>
  <c r="C63" i="13" s="1"/>
  <c r="D63" i="13" s="1"/>
  <c r="C64" i="13" s="1"/>
  <c r="C30" i="13" l="1"/>
  <c r="D30" i="13" l="1"/>
  <c r="D29" i="13" s="1"/>
  <c r="D23" i="13" s="1"/>
  <c r="C29" i="13"/>
  <c r="D64" i="13"/>
  <c r="C45" i="13"/>
  <c r="C65" i="13" l="1"/>
  <c r="D65" i="13" s="1"/>
  <c r="D45" i="13"/>
  <c r="M74" i="13"/>
  <c r="L75" i="13" s="1"/>
  <c r="M75" i="13" s="1"/>
  <c r="L76" i="13" s="1"/>
  <c r="M76" i="13" s="1"/>
  <c r="L77" i="13" s="1"/>
  <c r="M77" i="13" s="1"/>
  <c r="L78" i="13" s="1"/>
  <c r="M78" i="13" s="1"/>
  <c r="L79" i="13" s="1"/>
  <c r="M79" i="13" s="1"/>
  <c r="L80" i="13" s="1"/>
  <c r="M80" i="13" s="1"/>
  <c r="L81" i="13" s="1"/>
  <c r="M81" i="13" s="1"/>
  <c r="L82" i="13" s="1"/>
  <c r="M82" i="13" s="1"/>
  <c r="L83" i="13" s="1"/>
  <c r="M83" i="13" s="1"/>
  <c r="L84" i="13" s="1"/>
  <c r="M84" i="13" s="1"/>
  <c r="L85" i="13" l="1"/>
  <c r="M85" i="13" s="1"/>
  <c r="L86" i="13" s="1"/>
  <c r="M86" i="13" s="1"/>
  <c r="L87" i="13" s="1"/>
  <c r="M87" i="13" s="1"/>
  <c r="L88" i="13" s="1"/>
  <c r="M88" i="13" s="1"/>
  <c r="L89" i="13" s="1"/>
  <c r="M89" i="13" s="1"/>
  <c r="L32" i="13" s="1"/>
  <c r="L33" i="13"/>
  <c r="M33" i="13" s="1"/>
  <c r="M67" i="13"/>
  <c r="L29" i="13" l="1"/>
  <c r="M32" i="13"/>
  <c r="M29" i="13" s="1"/>
  <c r="M23" i="13" s="1"/>
  <c r="L67" i="13"/>
  <c r="D106" i="2" l="1"/>
  <c r="C107" i="2" s="1"/>
  <c r="D107" i="2" l="1"/>
  <c r="C108" i="2"/>
  <c r="D108" i="2" s="1"/>
  <c r="C109" i="2" s="1"/>
  <c r="D109" i="2" s="1"/>
  <c r="C110" i="2" s="1"/>
  <c r="D110" i="2" l="1"/>
  <c r="C111" i="2" s="1"/>
  <c r="D111" i="2" l="1"/>
  <c r="C112" i="2" s="1"/>
  <c r="D112" i="2" s="1"/>
  <c r="C113" i="2" s="1"/>
  <c r="D114" i="2"/>
  <c r="C116" i="2" l="1"/>
  <c r="D132" i="2" l="1"/>
  <c r="D43" i="2"/>
  <c r="C115" i="2"/>
  <c r="D116" i="2"/>
  <c r="D91" i="2"/>
  <c r="C92" i="2" s="1"/>
  <c r="D92" i="2" s="1"/>
  <c r="C93" i="2" s="1"/>
  <c r="D93" i="2" s="1"/>
  <c r="C94" i="2" s="1"/>
  <c r="D94" i="2" s="1"/>
  <c r="C95" i="2" s="1"/>
  <c r="D95" i="2" s="1"/>
  <c r="C98" i="2" l="1"/>
  <c r="D115" i="2"/>
  <c r="D98" i="2" s="1"/>
  <c r="C30" i="2"/>
  <c r="C96" i="2"/>
  <c r="D96" i="2" s="1"/>
  <c r="C97" i="2" s="1"/>
  <c r="D97" i="2" s="1"/>
  <c r="D66" i="2" l="1"/>
  <c r="C66" i="2"/>
  <c r="D30" i="2"/>
  <c r="D27" i="2" s="1"/>
  <c r="C27" i="2"/>
  <c r="F2" i="2" l="1"/>
  <c r="G2" i="2"/>
  <c r="I3" i="2"/>
  <c r="I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Viresh B Shah</author>
  </authors>
  <commentList>
    <comment ref="B104" authorId="0" shapeId="0" xr:uid="{92B5CC49-C829-4323-B925-0BE6E92D5CD4}">
      <text>
        <r>
          <rPr>
            <b/>
            <sz val="9"/>
            <color indexed="81"/>
            <rFont val="Tahoma"/>
            <family val="2"/>
          </rPr>
          <t>Viresh B Shah:</t>
        </r>
        <r>
          <rPr>
            <sz val="9"/>
            <color indexed="81"/>
            <rFont val="Tahoma"/>
            <family val="2"/>
          </rPr>
          <t xml:space="preserve">
Trans Control Throttle; Opr Eval; Xsmn Shifting Quality-Opr Eval; Machine Stability chk-Opr Eval;Trans Neutralizer Functional Check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Viresh B Shah</author>
  </authors>
  <commentList>
    <comment ref="B89" authorId="0" shapeId="0" xr:uid="{6AD15CF4-D916-4221-998B-45C5945471DE}">
      <text>
        <r>
          <rPr>
            <b/>
            <sz val="9"/>
            <color indexed="81"/>
            <rFont val="Tahoma"/>
            <family val="2"/>
          </rPr>
          <t>Viresh B Shah:</t>
        </r>
        <r>
          <rPr>
            <sz val="9"/>
            <color indexed="81"/>
            <rFont val="Tahoma"/>
            <family val="2"/>
          </rPr>
          <t xml:space="preserve">
Trans Control Throttle; Opr Eval; Xsmn Shifting Quality-Opr Eval; Machine Stability chk-Opr Eval;Trans Neutralizer Functional Check</t>
        </r>
      </text>
    </comment>
    <comment ref="K95" authorId="0" shapeId="0" xr:uid="{9BFBDB4A-CC33-4BAA-8D27-CE159D191C02}">
      <text>
        <r>
          <rPr>
            <b/>
            <sz val="9"/>
            <color indexed="81"/>
            <rFont val="Tahoma"/>
            <family val="2"/>
          </rPr>
          <t>Viresh B Shah:</t>
        </r>
        <r>
          <rPr>
            <sz val="9"/>
            <color indexed="81"/>
            <rFont val="Tahoma"/>
            <family val="2"/>
          </rPr>
          <t xml:space="preserve">
Trans Control Throttle; Opr Eval; Xsmn Shifting Quality-Opr Eval; Machine Stability chk-Opr Eval;Trans Neutralizer Functional Check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Andy McCallister</author>
  </authors>
  <commentList>
    <comment ref="C26" authorId="0" shapeId="0" xr:uid="{872EF754-9B06-4271-95BA-C2766CA043D0}">
      <text>
        <r>
          <rPr>
            <b/>
            <sz val="9"/>
            <color indexed="81"/>
            <rFont val="Tahoma"/>
            <family val="2"/>
          </rPr>
          <t>Andy McCallister:</t>
        </r>
        <r>
          <rPr>
            <sz val="9"/>
            <color indexed="81"/>
            <rFont val="Tahoma"/>
            <family val="2"/>
          </rPr>
          <t xml:space="preserve">
Not confirmed/budgeted activity
</t>
        </r>
      </text>
    </comment>
  </commentList>
</comments>
</file>

<file path=xl/sharedStrings.xml><?xml version="1.0" encoding="utf-8"?>
<sst xmlns="http://schemas.openxmlformats.org/spreadsheetml/2006/main" count="3149" uniqueCount="844">
  <si>
    <t>Activity ID</t>
  </si>
  <si>
    <t>Activity Name</t>
  </si>
  <si>
    <t>Original Duration</t>
  </si>
  <si>
    <t>Start</t>
  </si>
  <si>
    <t>Finish</t>
  </si>
  <si>
    <t>Budgeted Total Cost</t>
  </si>
  <si>
    <t>Remaining Total Cost</t>
  </si>
  <si>
    <t>PDGT GMD Channel Count</t>
  </si>
  <si>
    <t>Primary Resource</t>
  </si>
  <si>
    <t>GPM Location</t>
  </si>
  <si>
    <t>980GC Validation Program</t>
  </si>
  <si>
    <t>01-Mar-17 A</t>
  </si>
  <si>
    <t xml:space="preserve">  Project Management</t>
  </si>
  <si>
    <t xml:space="preserve">    966GC-1070</t>
  </si>
  <si>
    <t>Project Management - 2017</t>
  </si>
  <si>
    <t>22-Dec-17 A</t>
  </si>
  <si>
    <t>guppyam.Guppy Amy M</t>
  </si>
  <si>
    <t>PPG</t>
  </si>
  <si>
    <t xml:space="preserve">    980GC-105655</t>
  </si>
  <si>
    <t>Project Management - 2019</t>
  </si>
  <si>
    <t>02-Jan-19 A</t>
  </si>
  <si>
    <t xml:space="preserve">    980GC-108330</t>
  </si>
  <si>
    <t>Project Management - 2020</t>
  </si>
  <si>
    <t>02-Jan-20*</t>
  </si>
  <si>
    <t xml:space="preserve">  Budget Alignment</t>
  </si>
  <si>
    <t>03-Apr-17 A</t>
  </si>
  <si>
    <t xml:space="preserve">    966GC-1000</t>
  </si>
  <si>
    <t>PPG Engineer Support - 2017</t>
  </si>
  <si>
    <t>rogerar2.Rogers Adam R</t>
  </si>
  <si>
    <t xml:space="preserve">    966GC-1010</t>
  </si>
  <si>
    <t>Budget Alignment 2017 - Machine Supervisor</t>
  </si>
  <si>
    <t>mccalad.McCallister Andy D</t>
  </si>
  <si>
    <t xml:space="preserve">    966GC-1020</t>
  </si>
  <si>
    <t>Budget Alignment 2017 - L6 Val Engr</t>
  </si>
  <si>
    <t>shahvb.Shah Viresh B</t>
  </si>
  <si>
    <t xml:space="preserve">    966GC-1040</t>
  </si>
  <si>
    <t>Budget Alignment 2017 - APPG</t>
  </si>
  <si>
    <t>01-May-17 A</t>
  </si>
  <si>
    <t>APPG</t>
  </si>
  <si>
    <t xml:space="preserve">    966GC-105905</t>
  </si>
  <si>
    <t>L6 Val Engr - Trip #1 to China</t>
  </si>
  <si>
    <t>25-Jun-18 A</t>
  </si>
  <si>
    <t>29-Jun-18 A</t>
  </si>
  <si>
    <t>Field</t>
  </si>
  <si>
    <t xml:space="preserve">    980GC-108205</t>
  </si>
  <si>
    <t>Budget Alignment - Machine Supervisor 2019</t>
  </si>
  <si>
    <t xml:space="preserve">    980GC-108210</t>
  </si>
  <si>
    <t>Budget Alignment - L6 Val Engr 2019</t>
  </si>
  <si>
    <t xml:space="preserve">    980GC-108215</t>
  </si>
  <si>
    <t>PPG Engineer Support - 2019</t>
  </si>
  <si>
    <t>layjd.Lay Joe D</t>
  </si>
  <si>
    <t xml:space="preserve">    980GC-110680</t>
  </si>
  <si>
    <t>L6 Val Engr - 2019 Trip #3 to China</t>
  </si>
  <si>
    <t>07-Oct-19*</t>
  </si>
  <si>
    <t xml:space="preserve">    980GC-108225</t>
  </si>
  <si>
    <t>Budget Alignment - L6 Val Engr 2020</t>
  </si>
  <si>
    <t xml:space="preserve">    980GC-108230</t>
  </si>
  <si>
    <t>PPG Engineer Support - 2020</t>
  </si>
  <si>
    <t xml:space="preserve">    980GC-108220</t>
  </si>
  <si>
    <t>Budget Alignment - Machine Supervisor 2020</t>
  </si>
  <si>
    <t xml:space="preserve">  Sound Work</t>
  </si>
  <si>
    <t xml:space="preserve">    980GC-110685</t>
  </si>
  <si>
    <t>Sound Validation Engineer Support 980GC  - 2019</t>
  </si>
  <si>
    <t>01-55700-400.TSD557MGT - SEC00 RES400 GLOBAL SOUND SOLUTIONS-NA - Management Labor-Program</t>
  </si>
  <si>
    <t xml:space="preserve">    980GC-110690</t>
  </si>
  <si>
    <t>Sound Validation Engineer Support 980GC  - 2020</t>
  </si>
  <si>
    <t xml:space="preserve">  Key Project Milestones</t>
  </si>
  <si>
    <t>20-Nov-17 A</t>
  </si>
  <si>
    <t xml:space="preserve">    966GC-105190</t>
  </si>
  <si>
    <t>GW 2/3</t>
  </si>
  <si>
    <t xml:space="preserve">    980XE-1000</t>
  </si>
  <si>
    <t>GW 4</t>
  </si>
  <si>
    <t>19-Mar-18 A</t>
  </si>
  <si>
    <t xml:space="preserve">    966GC-1005</t>
  </si>
  <si>
    <t>GW 5</t>
  </si>
  <si>
    <t>15-Jun-18 A</t>
  </si>
  <si>
    <t xml:space="preserve">    966GC-106950</t>
  </si>
  <si>
    <t>Machine Ready for Field (9/4/18)</t>
  </si>
  <si>
    <t>23-Jul-18 A</t>
  </si>
  <si>
    <t xml:space="preserve">    966GC-105160</t>
  </si>
  <si>
    <t>Receive 966GC Early Pilot</t>
  </si>
  <si>
    <t>25-Jul-18 A</t>
  </si>
  <si>
    <t xml:space="preserve">    980GC-1016</t>
  </si>
  <si>
    <t>Pilot EDS Freeze</t>
  </si>
  <si>
    <t>13-Sep-19*</t>
  </si>
  <si>
    <t xml:space="preserve">    980GC-1011</t>
  </si>
  <si>
    <t>PD Build</t>
  </si>
  <si>
    <t>14-Feb-20*</t>
  </si>
  <si>
    <t xml:space="preserve">    980GC-108340</t>
  </si>
  <si>
    <t>Pilot Build</t>
  </si>
  <si>
    <t xml:space="preserve">    980GC-108350</t>
  </si>
  <si>
    <t>Production EDS Freeze</t>
  </si>
  <si>
    <t>13-Nov-20*</t>
  </si>
  <si>
    <t xml:space="preserve">    980GC-108360</t>
  </si>
  <si>
    <t>Production</t>
  </si>
  <si>
    <t>16-Apr-21*</t>
  </si>
  <si>
    <t xml:space="preserve">  Software Milestones</t>
  </si>
  <si>
    <t>20-Apr-18 A</t>
  </si>
  <si>
    <t xml:space="preserve">    966GC-105900</t>
  </si>
  <si>
    <t>Receive V01 SW</t>
  </si>
  <si>
    <t>egantr.Egan Thomas R</t>
  </si>
  <si>
    <t xml:space="preserve">    966GC-105930</t>
  </si>
  <si>
    <t>Receive V03 SW</t>
  </si>
  <si>
    <t>25-May-18 A</t>
  </si>
  <si>
    <t xml:space="preserve">    966GC-105920</t>
  </si>
  <si>
    <t>Receive V02 SW</t>
  </si>
  <si>
    <t>29-May-18 A</t>
  </si>
  <si>
    <t xml:space="preserve">    966GC-105940</t>
  </si>
  <si>
    <t>Receive V04 SW</t>
  </si>
  <si>
    <t xml:space="preserve">  Testbed Phase</t>
  </si>
  <si>
    <t xml:space="preserve">    PPG 980GC TB (W7K00288)</t>
  </si>
  <si>
    <t xml:space="preserve">      LOE</t>
  </si>
  <si>
    <t xml:space="preserve">        980GC-108240</t>
  </si>
  <si>
    <t>Start Testing 980GC Testbed</t>
  </si>
  <si>
    <t xml:space="preserve">        980GC-108250</t>
  </si>
  <si>
    <t>LOE: 980GC Testbed</t>
  </si>
  <si>
    <t xml:space="preserve">        980GC-108260</t>
  </si>
  <si>
    <t>Testing Complete 980GC Testbed</t>
  </si>
  <si>
    <t xml:space="preserve">        980GC-108270</t>
  </si>
  <si>
    <t>Reports Complete 980GC Testbed</t>
  </si>
  <si>
    <t xml:space="preserve">      OMSA Shake Test</t>
  </si>
  <si>
    <t xml:space="preserve">        980GC-110700</t>
  </si>
  <si>
    <t>Planning &amp; Procurement</t>
  </si>
  <si>
    <t>01-88109-400.TSD881MGT - SEC09 RES400 STRUCTURES Validation - Management Labor-Program</t>
  </si>
  <si>
    <t xml:space="preserve">        980GC-110710</t>
  </si>
  <si>
    <t>SGL Strain Gage Lab - Instrument Parts</t>
  </si>
  <si>
    <t xml:space="preserve">        980GC-110770</t>
  </si>
  <si>
    <t>Setup - Shop Support Work</t>
  </si>
  <si>
    <t>11-Mar-19*</t>
  </si>
  <si>
    <t>01-88108-241.TSD881HRY - SEC08 RES241 OPERATIONS &amp; FACILITIES - Mechanic-ABC</t>
  </si>
  <si>
    <t xml:space="preserve">        980GC-110720</t>
  </si>
  <si>
    <t>Instrument - Setup Bay</t>
  </si>
  <si>
    <t xml:space="preserve">        980GC-110780</t>
  </si>
  <si>
    <t>Field Prep for OMSA</t>
  </si>
  <si>
    <t xml:space="preserve">        980GC-110730</t>
  </si>
  <si>
    <t>Run</t>
  </si>
  <si>
    <t xml:space="preserve">        980GC-110740</t>
  </si>
  <si>
    <t>Teardown</t>
  </si>
  <si>
    <t xml:space="preserve">        980GC-110750</t>
  </si>
  <si>
    <t>Preliminary Analysis/Reporting</t>
  </si>
  <si>
    <t xml:space="preserve">        980GC-110760</t>
  </si>
  <si>
    <t>TIC Report</t>
  </si>
  <si>
    <t xml:space="preserve">      980GC TB Machine Build (hyd pump, implement valve)</t>
  </si>
  <si>
    <t xml:space="preserve">        980GC-108430</t>
  </si>
  <si>
    <t>Plan</t>
  </si>
  <si>
    <t xml:space="preserve">        980GC-108440</t>
  </si>
  <si>
    <t>Setup</t>
  </si>
  <si>
    <t xml:space="preserve">      Machine Checkout STP-64</t>
  </si>
  <si>
    <t xml:space="preserve">        980GC-108280</t>
  </si>
  <si>
    <t xml:space="preserve">        980GC-108290</t>
  </si>
  <si>
    <t xml:space="preserve">      Implement SW Checkout</t>
  </si>
  <si>
    <t xml:space="preserve">        980GC-108310</t>
  </si>
  <si>
    <t>01-88107-440.TSD881MGT - SEC07 RES440 MACHINE CONTROLS - Management Labor-Program-ABC</t>
  </si>
  <si>
    <t xml:space="preserve">        980GC-108300</t>
  </si>
  <si>
    <t xml:space="preserve">      Operator Eval</t>
  </si>
  <si>
    <t xml:space="preserve">        980GC-108320</t>
  </si>
  <si>
    <t xml:space="preserve">      Hydraulic Development</t>
  </si>
  <si>
    <t xml:space="preserve">        980GC-108380</t>
  </si>
  <si>
    <t>01-88103-400.TSD881MGT - SEC03 RES400 HYDRAULICS DEVELOPMENT - Management Labor-Program</t>
  </si>
  <si>
    <t xml:space="preserve">        980GC-108390</t>
  </si>
  <si>
    <t xml:space="preserve">        980GC-108400</t>
  </si>
  <si>
    <t>Instrument</t>
  </si>
  <si>
    <t>Instrument Tech.Instrumentation Setup Tech</t>
  </si>
  <si>
    <t xml:space="preserve">        980GC-108370</t>
  </si>
  <si>
    <t xml:space="preserve">        980GC-108410</t>
  </si>
  <si>
    <t xml:space="preserve">        980GC-108420</t>
  </si>
  <si>
    <t xml:space="preserve">  PD  Phase</t>
  </si>
  <si>
    <t xml:space="preserve">    CQL 980GC LRC PD#1 (SN)</t>
  </si>
  <si>
    <t xml:space="preserve">        980GC-109270</t>
  </si>
  <si>
    <t>Planning</t>
  </si>
  <si>
    <t xml:space="preserve">lus1.Lu Shuliang </t>
  </si>
  <si>
    <t>QPG</t>
  </si>
  <si>
    <t xml:space="preserve">        980GC-109230</t>
  </si>
  <si>
    <t>Machine Preparation</t>
  </si>
  <si>
    <t>13-Jan-20*</t>
  </si>
  <si>
    <t xml:space="preserve">        980GC-109240</t>
  </si>
  <si>
    <t xml:space="preserve">        980GC-109250</t>
  </si>
  <si>
    <t>Preliminary Report</t>
  </si>
  <si>
    <t xml:space="preserve">        980GC-109260</t>
  </si>
  <si>
    <t xml:space="preserve">      Software Checkout #1</t>
  </si>
  <si>
    <t xml:space="preserve">        980GC-109305</t>
  </si>
  <si>
    <t xml:space="preserve">        980GC-109295</t>
  </si>
  <si>
    <t xml:space="preserve">        980GC-109300</t>
  </si>
  <si>
    <t>Report - Data Archiving no TIC</t>
  </si>
  <si>
    <t xml:space="preserve">      Sound Testing</t>
  </si>
  <si>
    <t xml:space="preserve">        980GC-109275</t>
  </si>
  <si>
    <t xml:space="preserve">        980GC-109280</t>
  </si>
  <si>
    <t xml:space="preserve">        980GC-109285</t>
  </si>
  <si>
    <t xml:space="preserve">        980GC-109290</t>
  </si>
  <si>
    <t>Report</t>
  </si>
  <si>
    <t xml:space="preserve">LinHW.Lin Hongwei </t>
  </si>
  <si>
    <t xml:space="preserve">      L5 Tuning and Performance Check</t>
  </si>
  <si>
    <t xml:space="preserve">        980GC-110590</t>
  </si>
  <si>
    <t xml:space="preserve">        980GC-110600</t>
  </si>
  <si>
    <t xml:space="preserve">      Operator Eval #1</t>
  </si>
  <si>
    <t xml:space="preserve">        980GC-109600</t>
  </si>
  <si>
    <t xml:space="preserve">      Hydraulic Test</t>
  </si>
  <si>
    <t xml:space="preserve">        980GC-109630</t>
  </si>
  <si>
    <t xml:space="preserve">        980GC-109605</t>
  </si>
  <si>
    <t xml:space="preserve">        980GC-109635</t>
  </si>
  <si>
    <t>Setup/Instrument</t>
  </si>
  <si>
    <t xml:space="preserve">        980GC-109610</t>
  </si>
  <si>
    <t xml:space="preserve">        980GC-109615</t>
  </si>
  <si>
    <t xml:space="preserve">        980GC-109620</t>
  </si>
  <si>
    <t xml:space="preserve">        980GC-109625</t>
  </si>
  <si>
    <t xml:space="preserve">      Software Checkout #2</t>
  </si>
  <si>
    <t xml:space="preserve">        980GC-109320</t>
  </si>
  <si>
    <t xml:space="preserve">        980GC-109310</t>
  </si>
  <si>
    <t xml:space="preserve">        980GC-109315</t>
  </si>
  <si>
    <t xml:space="preserve">      Operator Eval #2</t>
  </si>
  <si>
    <t xml:space="preserve">        980GC-109675</t>
  </si>
  <si>
    <t xml:space="preserve">      LRC Water Flow Test</t>
  </si>
  <si>
    <t xml:space="preserve">        980GC-110510</t>
  </si>
  <si>
    <t xml:space="preserve">        980GC-110530</t>
  </si>
  <si>
    <t xml:space="preserve">        980GC-110490</t>
  </si>
  <si>
    <t xml:space="preserve">        980GC-110500</t>
  </si>
  <si>
    <t xml:space="preserve">      LRC Cooling Test</t>
  </si>
  <si>
    <t xml:space="preserve">        980GC-110470</t>
  </si>
  <si>
    <t xml:space="preserve">        980GC-110420</t>
  </si>
  <si>
    <t xml:space="preserve">        980GC-110480</t>
  </si>
  <si>
    <t xml:space="preserve">        980GC-110430</t>
  </si>
  <si>
    <t xml:space="preserve">        980GC-110440</t>
  </si>
  <si>
    <t xml:space="preserve">        980GC-110450</t>
  </si>
  <si>
    <t xml:space="preserve">        980GC-110460</t>
  </si>
  <si>
    <t xml:space="preserve">      LRC STP 401 Engine Audit</t>
  </si>
  <si>
    <t xml:space="preserve">        980GC-110570</t>
  </si>
  <si>
    <t xml:space="preserve">        980GC-110580</t>
  </si>
  <si>
    <t xml:space="preserve">      OMSA Hood</t>
  </si>
  <si>
    <t xml:space="preserve">        980GC-109530</t>
  </si>
  <si>
    <t xml:space="preserve">        980GC-109545</t>
  </si>
  <si>
    <t>Setup/Instument</t>
  </si>
  <si>
    <t xml:space="preserve">        980GC-109540</t>
  </si>
  <si>
    <t xml:space="preserve">        980GC-109690</t>
  </si>
  <si>
    <t xml:space="preserve">        980GC-109550</t>
  </si>
  <si>
    <t>Analyze</t>
  </si>
  <si>
    <t xml:space="preserve">        980GC-109535</t>
  </si>
  <si>
    <t xml:space="preserve">      Software Checkout #3</t>
  </si>
  <si>
    <t xml:space="preserve">        980GC-109570</t>
  </si>
  <si>
    <t xml:space="preserve">        980GC-109560</t>
  </si>
  <si>
    <t xml:space="preserve">        980GC-109565</t>
  </si>
  <si>
    <t xml:space="preserve">      ISO 5010</t>
  </si>
  <si>
    <t xml:space="preserve">        980GC-109210</t>
  </si>
  <si>
    <t xml:space="preserve">        980GC-109160</t>
  </si>
  <si>
    <t xml:space="preserve">        980GC-109220</t>
  </si>
  <si>
    <t xml:space="preserve">        980GC-109170</t>
  </si>
  <si>
    <t xml:space="preserve">        980GC-109180</t>
  </si>
  <si>
    <t xml:space="preserve">        980GC-109190</t>
  </si>
  <si>
    <t xml:space="preserve">        980GC-109200</t>
  </si>
  <si>
    <t>TiC Report</t>
  </si>
  <si>
    <t xml:space="preserve">      ISO 3450 Brake Cert STP24</t>
  </si>
  <si>
    <t xml:space="preserve">        980GC-109140</t>
  </si>
  <si>
    <t xml:space="preserve">        980GC-109090</t>
  </si>
  <si>
    <t xml:space="preserve">        980GC-109150</t>
  </si>
  <si>
    <t xml:space="preserve">        980GC-109100</t>
  </si>
  <si>
    <t xml:space="preserve">        980GC-109110</t>
  </si>
  <si>
    <t xml:space="preserve">        980GC-109120</t>
  </si>
  <si>
    <t xml:space="preserve">        980GC-109130</t>
  </si>
  <si>
    <t xml:space="preserve">      980GC Endurance 0-500 hrs</t>
  </si>
  <si>
    <t xml:space="preserve">        980GC-109585</t>
  </si>
  <si>
    <t xml:space="preserve">        980GC-109580</t>
  </si>
  <si>
    <t>Endurance (0-250hr)</t>
  </si>
  <si>
    <t xml:space="preserve">        980GC-109595</t>
  </si>
  <si>
    <t>250hr Service/Inspect</t>
  </si>
  <si>
    <t xml:space="preserve">        980GC-109590</t>
  </si>
  <si>
    <t>Endurance (251-500hr)</t>
  </si>
  <si>
    <t xml:space="preserve">        980GC-109575</t>
  </si>
  <si>
    <t>500hr Service/Inspect/Update</t>
  </si>
  <si>
    <t xml:space="preserve">    PPG 980GC HRC PD#2 (SN)</t>
  </si>
  <si>
    <t xml:space="preserve">        966GC-1090</t>
  </si>
  <si>
    <t>Start Testing 980GC HRC PD #2</t>
  </si>
  <si>
    <t xml:space="preserve">        980GC-1100</t>
  </si>
  <si>
    <t>LOE: 980GC HRC PD #2</t>
  </si>
  <si>
    <t xml:space="preserve">        980GC-1110</t>
  </si>
  <si>
    <t>Testing Complete 980GC HRC PD #2</t>
  </si>
  <si>
    <t xml:space="preserve">        980GC-1120</t>
  </si>
  <si>
    <t>Reports Complete 980GC HRC PD #2</t>
  </si>
  <si>
    <t xml:space="preserve">        966GC-1210</t>
  </si>
  <si>
    <t xml:space="preserve">        966GC-1230</t>
  </si>
  <si>
    <t>21-Jan-20*</t>
  </si>
  <si>
    <t xml:space="preserve">        980GC-106400</t>
  </si>
  <si>
    <t xml:space="preserve">      L5 Tuning and Performance Check #1</t>
  </si>
  <si>
    <t xml:space="preserve">        980GC-110190</t>
  </si>
  <si>
    <t xml:space="preserve">        980GC-110200</t>
  </si>
  <si>
    <t xml:space="preserve">      Rimpull and Response Test</t>
  </si>
  <si>
    <t xml:space="preserve">        980GC-110240</t>
  </si>
  <si>
    <t xml:space="preserve">        980GC-110290</t>
  </si>
  <si>
    <t xml:space="preserve">        980GC-110250</t>
  </si>
  <si>
    <t xml:space="preserve">        980GC-110260</t>
  </si>
  <si>
    <t xml:space="preserve">        980GC-110230</t>
  </si>
  <si>
    <t xml:space="preserve">        980GC-110270</t>
  </si>
  <si>
    <t xml:space="preserve">        980GC-110280</t>
  </si>
  <si>
    <t xml:space="preserve">        980GC-110300</t>
  </si>
  <si>
    <t xml:space="preserve">      SW Checkout</t>
  </si>
  <si>
    <t xml:space="preserve">        980GC-110180</t>
  </si>
  <si>
    <t xml:space="preserve">      XMSN Tuning</t>
  </si>
  <si>
    <t xml:space="preserve">        980GC-108710</t>
  </si>
  <si>
    <t>01-97209-400.RES400 HAULING &amp; OEM XSMN DEVELOPMENT - Management Labor-Program</t>
  </si>
  <si>
    <t xml:space="preserve">        980GC-108720</t>
  </si>
  <si>
    <t xml:space="preserve">        980GC-108700</t>
  </si>
  <si>
    <t xml:space="preserve">        980GC-108730</t>
  </si>
  <si>
    <t xml:space="preserve">      L5 Tuning  with Operator</t>
  </si>
  <si>
    <t xml:space="preserve">        980GC-110210</t>
  </si>
  <si>
    <t xml:space="preserve">        980GC-110220</t>
  </si>
  <si>
    <t xml:space="preserve">        980GC-108580</t>
  </si>
  <si>
    <t>PPG.Sound.Bld</t>
  </si>
  <si>
    <t xml:space="preserve">        980GC-108590</t>
  </si>
  <si>
    <t xml:space="preserve">      EMC Testing</t>
  </si>
  <si>
    <t xml:space="preserve">        980GC-110310</t>
  </si>
  <si>
    <t>01-75304-400.E&amp;E753MGT - SEC04 RES400 ROBUST ELECT HARDWARE DESIGN - Management Labor-Program</t>
  </si>
  <si>
    <t xml:space="preserve">        980GC-110320</t>
  </si>
  <si>
    <t xml:space="preserve">        980GC-110330</t>
  </si>
  <si>
    <t xml:space="preserve">        980GC-110340</t>
  </si>
  <si>
    <t xml:space="preserve">        980GC-110360</t>
  </si>
  <si>
    <t>Analysis</t>
  </si>
  <si>
    <t xml:space="preserve">        980GC-110350</t>
  </si>
  <si>
    <t xml:space="preserve">      STP-153 (Airflow Testing)</t>
  </si>
  <si>
    <t xml:space="preserve">        980GC-108450</t>
  </si>
  <si>
    <t xml:space="preserve">        980GC-108460</t>
  </si>
  <si>
    <t>Setup/Run</t>
  </si>
  <si>
    <t xml:space="preserve">        980GC-108600</t>
  </si>
  <si>
    <t xml:space="preserve">        980GC-108470</t>
  </si>
  <si>
    <t>Report (Class 1)</t>
  </si>
  <si>
    <t xml:space="preserve">      STP-155 (Water Flow Test)</t>
  </si>
  <si>
    <t xml:space="preserve">        980GC-108480</t>
  </si>
  <si>
    <t xml:space="preserve">        980GC-108490</t>
  </si>
  <si>
    <t xml:space="preserve">        980GC-108610</t>
  </si>
  <si>
    <t xml:space="preserve">        980GC-108500</t>
  </si>
  <si>
    <t xml:space="preserve">      HRC STP-152 (Ambient Capability) &amp; STP-154 (IMT) w/ UHT</t>
  </si>
  <si>
    <t xml:space="preserve">        980GC-108620</t>
  </si>
  <si>
    <t xml:space="preserve">        980GC-108630</t>
  </si>
  <si>
    <t xml:space="preserve">        980GC-108680</t>
  </si>
  <si>
    <t xml:space="preserve">        980GC-108670</t>
  </si>
  <si>
    <t>Prep Field - MDC</t>
  </si>
  <si>
    <t>Field_Prep1.Field Prep 1</t>
  </si>
  <si>
    <t xml:space="preserve">        980GC-108640</t>
  </si>
  <si>
    <t xml:space="preserve">        980GC-108650</t>
  </si>
  <si>
    <t xml:space="preserve">        980GC-108660</t>
  </si>
  <si>
    <t>Report (Class 3)</t>
  </si>
  <si>
    <t xml:space="preserve">      STP 401 HRC Engine Audit</t>
  </si>
  <si>
    <t xml:space="preserve">        980GC-110630</t>
  </si>
  <si>
    <t xml:space="preserve">        980GC-110610</t>
  </si>
  <si>
    <t xml:space="preserve">        980GC-110640</t>
  </si>
  <si>
    <t xml:space="preserve">        980GC-110650</t>
  </si>
  <si>
    <t>01-88180-242.TSD881HRY - SEC80 RES242 PPG TEST OPERATIONS - Vehicle Operator-ABC</t>
  </si>
  <si>
    <t xml:space="preserve">        980GC-110660</t>
  </si>
  <si>
    <t xml:space="preserve">        980GC-110670</t>
  </si>
  <si>
    <t xml:space="preserve">        980GC-110070</t>
  </si>
  <si>
    <t xml:space="preserve">        980GC-110080</t>
  </si>
  <si>
    <t xml:space="preserve">        980GC-110090</t>
  </si>
  <si>
    <t xml:space="preserve">        980GC-110060</t>
  </si>
  <si>
    <t xml:space="preserve">        980GC-110100</t>
  </si>
  <si>
    <t xml:space="preserve">        980GC-110110</t>
  </si>
  <si>
    <t xml:space="preserve">        980GC-110150</t>
  </si>
  <si>
    <t xml:space="preserve">        980GC-110120</t>
  </si>
  <si>
    <t xml:space="preserve">        980GC-110130</t>
  </si>
  <si>
    <t xml:space="preserve">        980GC-110170</t>
  </si>
  <si>
    <t xml:space="preserve">        980GC-110140</t>
  </si>
  <si>
    <t xml:space="preserve">        980GC-110160</t>
  </si>
  <si>
    <t xml:space="preserve">  Pilot Phase</t>
  </si>
  <si>
    <t xml:space="preserve">    PPG 980GC HRC Pilot #1 (SN)</t>
  </si>
  <si>
    <t xml:space="preserve">        980GC-110380</t>
  </si>
  <si>
    <t>Start Testing 980GC HRC Pilot #1</t>
  </si>
  <si>
    <t xml:space="preserve">        980GC-110390</t>
  </si>
  <si>
    <t>LOE: 980GC HRC Pilot #1</t>
  </si>
  <si>
    <t xml:space="preserve">        980GC-110400</t>
  </si>
  <si>
    <t>Testing Complete 980GC HRC Pilot #1</t>
  </si>
  <si>
    <t xml:space="preserve">        980GC-110410</t>
  </si>
  <si>
    <t>Reports Complete 980GC HRC Pilot #1</t>
  </si>
  <si>
    <t xml:space="preserve">        980GC-109700</t>
  </si>
  <si>
    <t xml:space="preserve">        980GC-109710</t>
  </si>
  <si>
    <t>01-Dec-20*</t>
  </si>
  <si>
    <t xml:space="preserve">      SW Checkout #1</t>
  </si>
  <si>
    <t xml:space="preserve">        980GC-109800</t>
  </si>
  <si>
    <t xml:space="preserve">        980GC-109720</t>
  </si>
  <si>
    <t xml:space="preserve">        980GC-109730</t>
  </si>
  <si>
    <t xml:space="preserve">        980GC-109950</t>
  </si>
  <si>
    <t xml:space="preserve">      SW Checkout #2</t>
  </si>
  <si>
    <t xml:space="preserve">        980GC-109810</t>
  </si>
  <si>
    <t xml:space="preserve">        980GC-109960</t>
  </si>
  <si>
    <t xml:space="preserve">      OMSA Light Fabs Hood</t>
  </si>
  <si>
    <t xml:space="preserve">        980GC-109970</t>
  </si>
  <si>
    <t xml:space="preserve">        980GC-109980</t>
  </si>
  <si>
    <t xml:space="preserve">        980GC-110040</t>
  </si>
  <si>
    <t xml:space="preserve">        980GC-109990</t>
  </si>
  <si>
    <t xml:space="preserve">        980GC-110050</t>
  </si>
  <si>
    <t xml:space="preserve">        980GC-110000</t>
  </si>
  <si>
    <t xml:space="preserve">        980GC-110010</t>
  </si>
  <si>
    <t xml:space="preserve">        980GC-110020</t>
  </si>
  <si>
    <t xml:space="preserve">        980GC-110030</t>
  </si>
  <si>
    <t xml:space="preserve">      SW Checkout #3</t>
  </si>
  <si>
    <t xml:space="preserve">        980GC-109820</t>
  </si>
  <si>
    <t>Run &amp; Checkout S13</t>
  </si>
  <si>
    <t xml:space="preserve">        980GC-109840</t>
  </si>
  <si>
    <t xml:space="preserve">        980GC-109850</t>
  </si>
  <si>
    <t xml:space="preserve">        980GC-109860</t>
  </si>
  <si>
    <t xml:space="preserve">        980GC-109830</t>
  </si>
  <si>
    <t xml:space="preserve">        980GC-109870</t>
  </si>
  <si>
    <t xml:space="preserve">        980GC-109880</t>
  </si>
  <si>
    <t xml:space="preserve">        980GC-109920</t>
  </si>
  <si>
    <t xml:space="preserve">        980GC-109890</t>
  </si>
  <si>
    <t xml:space="preserve">        980GC-109900</t>
  </si>
  <si>
    <t xml:space="preserve">        980GC-109940</t>
  </si>
  <si>
    <t xml:space="preserve">        980GC-109910</t>
  </si>
  <si>
    <t xml:space="preserve">        980GC-109930</t>
  </si>
  <si>
    <t xml:space="preserve">        980GC-108510</t>
  </si>
  <si>
    <t xml:space="preserve">        980GC-108520</t>
  </si>
  <si>
    <t xml:space="preserve">        980GC-108530</t>
  </si>
  <si>
    <t xml:space="preserve">        980GC-108540</t>
  </si>
  <si>
    <t xml:space="preserve">        980GC-108690</t>
  </si>
  <si>
    <t xml:space="preserve">        980GC-108550</t>
  </si>
  <si>
    <t xml:space="preserve">    CQL 980GC LRC Pilot #2 (SN)</t>
  </si>
  <si>
    <t xml:space="preserve">        980GC-109000</t>
  </si>
  <si>
    <t xml:space="preserve">        980GC-108960</t>
  </si>
  <si>
    <t>06-Apr-20*</t>
  </si>
  <si>
    <t xml:space="preserve">        980GC-108970</t>
  </si>
  <si>
    <t xml:space="preserve">        980GC-108980</t>
  </si>
  <si>
    <t xml:space="preserve">        980GC-108990</t>
  </si>
  <si>
    <t xml:space="preserve">      Software Checkout</t>
  </si>
  <si>
    <t xml:space="preserve">        980GC-109355</t>
  </si>
  <si>
    <t xml:space="preserve">        980GC-109345</t>
  </si>
  <si>
    <t xml:space="preserve">        980GC-109350</t>
  </si>
  <si>
    <t xml:space="preserve">        980GC-108940</t>
  </si>
  <si>
    <t xml:space="preserve">        980GC-108890</t>
  </si>
  <si>
    <t xml:space="preserve">        980GC-108950</t>
  </si>
  <si>
    <t xml:space="preserve">        980GC-108900</t>
  </si>
  <si>
    <t xml:space="preserve">        980GC-108910</t>
  </si>
  <si>
    <t xml:space="preserve">        980GC-108920</t>
  </si>
  <si>
    <t xml:space="preserve">        980GC-108930</t>
  </si>
  <si>
    <t xml:space="preserve">        980GC-108870</t>
  </si>
  <si>
    <t xml:space="preserve">        980GC-108820</t>
  </si>
  <si>
    <t xml:space="preserve">        980GC-108880</t>
  </si>
  <si>
    <t xml:space="preserve">        980GC-108830</t>
  </si>
  <si>
    <t xml:space="preserve">        980GC-108840</t>
  </si>
  <si>
    <t xml:space="preserve">        980GC-108850</t>
  </si>
  <si>
    <t xml:space="preserve">        980GC-108860</t>
  </si>
  <si>
    <t xml:space="preserve">        980GC-108810</t>
  </si>
  <si>
    <t xml:space="preserve">        980GC-108800</t>
  </si>
  <si>
    <t xml:space="preserve">        980GC-108780</t>
  </si>
  <si>
    <t>Ship to EMC Location</t>
  </si>
  <si>
    <t xml:space="preserve">        980GC-108770</t>
  </si>
  <si>
    <t xml:space="preserve">        980GC-108750</t>
  </si>
  <si>
    <t xml:space="preserve">        980GC-108740</t>
  </si>
  <si>
    <t>Retest</t>
  </si>
  <si>
    <t xml:space="preserve">        980GC-108790</t>
  </si>
  <si>
    <t>Ship to CQL</t>
  </si>
  <si>
    <t xml:space="preserve">        980GC-108760</t>
  </si>
  <si>
    <t xml:space="preserve">      Hydraulic Signature Test</t>
  </si>
  <si>
    <t xml:space="preserve">        980GC-109665</t>
  </si>
  <si>
    <t xml:space="preserve">        980GC-109640</t>
  </si>
  <si>
    <t xml:space="preserve">        980GC-109670</t>
  </si>
  <si>
    <t xml:space="preserve">        980GC-109645</t>
  </si>
  <si>
    <t xml:space="preserve">        980GC-109650</t>
  </si>
  <si>
    <t xml:space="preserve">        980GC-109655</t>
  </si>
  <si>
    <t xml:space="preserve">        980GC-109660</t>
  </si>
  <si>
    <t xml:space="preserve">    CQL 980GC HRC Pilot #3 (SN)</t>
  </si>
  <si>
    <t xml:space="preserve">        980GC-109380</t>
  </si>
  <si>
    <t xml:space="preserve">        980GC-109360</t>
  </si>
  <si>
    <t xml:space="preserve">        980GC-109365</t>
  </si>
  <si>
    <t xml:space="preserve">        980GC-109370</t>
  </si>
  <si>
    <t xml:space="preserve">        980GC-109375</t>
  </si>
  <si>
    <t xml:space="preserve">        980GC-109385</t>
  </si>
  <si>
    <t xml:space="preserve">        980GC-109390</t>
  </si>
  <si>
    <t xml:space="preserve">        980GC-109395</t>
  </si>
  <si>
    <t xml:space="preserve">        980GC-109400</t>
  </si>
  <si>
    <t xml:space="preserve">        980GC-109415</t>
  </si>
  <si>
    <t xml:space="preserve">        980GC-109410</t>
  </si>
  <si>
    <t xml:space="preserve">        980GC-109425</t>
  </si>
  <si>
    <t xml:space="preserve">        980GC-109420</t>
  </si>
  <si>
    <t xml:space="preserve">        980GC-109405</t>
  </si>
  <si>
    <t xml:space="preserve">      980GC Endurance 501-1000 hrs</t>
  </si>
  <si>
    <t xml:space="preserve">        980GC-109435</t>
  </si>
  <si>
    <t>Endurance (501-750hr)</t>
  </si>
  <si>
    <t xml:space="preserve">        980GC-109445</t>
  </si>
  <si>
    <t>750hr Service/Inspect</t>
  </si>
  <si>
    <t xml:space="preserve">        980GC-109440</t>
  </si>
  <si>
    <t>Endurance (751-1000hr)</t>
  </si>
  <si>
    <t xml:space="preserve">        980GC-109430</t>
  </si>
  <si>
    <t>1000hr Service/Inspect/Update</t>
  </si>
  <si>
    <t xml:space="preserve">      980GC Endurance 1001-1500 hrs</t>
  </si>
  <si>
    <t xml:space="preserve">        980GC-109455</t>
  </si>
  <si>
    <t>Endurance (1001-1250hr)</t>
  </si>
  <si>
    <t xml:space="preserve">        980GC-109465</t>
  </si>
  <si>
    <t>1250hr Service/Inspect</t>
  </si>
  <si>
    <t xml:space="preserve">        980GC-109460</t>
  </si>
  <si>
    <t>Endurance (1251-1500hr)</t>
  </si>
  <si>
    <t xml:space="preserve">        980GC-109450</t>
  </si>
  <si>
    <t>1500hr Service/Inspect/Update</t>
  </si>
  <si>
    <t xml:space="preserve">      Hydraulic Development (Setup/Run/Teardown)</t>
  </si>
  <si>
    <t>NVH</t>
  </si>
  <si>
    <t>Machine Check</t>
  </si>
  <si>
    <t>SW</t>
  </si>
  <si>
    <t>Opr Eval</t>
  </si>
  <si>
    <t>Hydraulics</t>
  </si>
  <si>
    <t xml:space="preserve">      Sound Testing (1st Pass screening)</t>
  </si>
  <si>
    <t>Engine</t>
  </si>
  <si>
    <t>Light Structures</t>
  </si>
  <si>
    <t xml:space="preserve">      OMSA Hood &amp; MER</t>
  </si>
  <si>
    <t>Safety and Regs</t>
  </si>
  <si>
    <t>Endurance</t>
  </si>
  <si>
    <t xml:space="preserve">      980GC Endurance 0-500 hrs+ Inspection</t>
  </si>
  <si>
    <t xml:space="preserve">      EMC Testing- Engg Test</t>
  </si>
  <si>
    <t xml:space="preserve">      SW S13 Checkout #3</t>
  </si>
  <si>
    <t>Transmission</t>
  </si>
  <si>
    <t>EMC</t>
  </si>
  <si>
    <t>980GC PMO</t>
  </si>
  <si>
    <t>date</t>
  </si>
  <si>
    <t>milestones</t>
  </si>
  <si>
    <t>PD build</t>
  </si>
  <si>
    <t xml:space="preserve">Pilot EDS freeze </t>
  </si>
  <si>
    <t>Pilot build</t>
  </si>
  <si>
    <t>Production EDS freeze</t>
  </si>
  <si>
    <t>Budget Summary - PPG's estimate</t>
  </si>
  <si>
    <t>Only Jan-Feb of 2022</t>
  </si>
  <si>
    <t>Total</t>
  </si>
  <si>
    <t>PPG Testbed activities (2019)</t>
  </si>
  <si>
    <t>activity</t>
  </si>
  <si>
    <t>approximate cost</t>
  </si>
  <si>
    <t>time</t>
  </si>
  <si>
    <t>Testbed build (hyd pump, implement valve)</t>
  </si>
  <si>
    <t>2 weeks</t>
  </si>
  <si>
    <t>Budget Alignment</t>
  </si>
  <si>
    <t>Machine checkout (STP-064)</t>
  </si>
  <si>
    <t>3 days</t>
  </si>
  <si>
    <t>Implement SW checkout</t>
  </si>
  <si>
    <t>Operator evaluation</t>
  </si>
  <si>
    <t>Shake OMSA</t>
  </si>
  <si>
    <t>Hydraulic development</t>
  </si>
  <si>
    <t>3 weeks</t>
  </si>
  <si>
    <t>PPG PD activities (1 PD) (2020)</t>
  </si>
  <si>
    <t>CQL PD activities (1 PD) (2020)</t>
  </si>
  <si>
    <t>QPG will have to provide cost</t>
  </si>
  <si>
    <t>Machine checkout STP-064</t>
    <phoneticPr fontId="0" type="noConversion"/>
  </si>
  <si>
    <t>11 days</t>
  </si>
  <si>
    <t>SW checkout</t>
  </si>
  <si>
    <t>10 days</t>
  </si>
  <si>
    <t>Sound test</t>
  </si>
  <si>
    <t>5 days</t>
  </si>
  <si>
    <t>XMSN tuning</t>
  </si>
  <si>
    <t>Operator evaluation</t>
    <phoneticPr fontId="0" type="noConversion"/>
  </si>
  <si>
    <t>EMC test</t>
  </si>
  <si>
    <t>Hydraulic test</t>
    <phoneticPr fontId="0" type="noConversion"/>
  </si>
  <si>
    <t>airflow</t>
  </si>
  <si>
    <t>waterflow</t>
  </si>
  <si>
    <t>4 days</t>
  </si>
  <si>
    <t>Light structures OMSA (hood)</t>
  </si>
  <si>
    <t>Funke's team to QPG</t>
  </si>
  <si>
    <t>Light structures OMSA (hood)</t>
    <phoneticPr fontId="0" type="noConversion"/>
  </si>
  <si>
    <t>5 weeks</t>
  </si>
  <si>
    <t>cooling/UHT test</t>
  </si>
  <si>
    <t>20 days</t>
  </si>
  <si>
    <t>STP401</t>
  </si>
  <si>
    <t>ISO 5010</t>
  </si>
  <si>
    <t>4 weeks</t>
  </si>
  <si>
    <t>controls support</t>
  </si>
  <si>
    <t>ISO 3450</t>
  </si>
  <si>
    <t>budget alignment</t>
  </si>
  <si>
    <t>Rimpull response</t>
  </si>
  <si>
    <t>Endurance 500 hours</t>
  </si>
  <si>
    <t>2.5 months</t>
  </si>
  <si>
    <t>Altitude response</t>
  </si>
  <si>
    <t>XMSN tuning</t>
    <phoneticPr fontId="0" type="noConversion"/>
  </si>
  <si>
    <t>4weeks</t>
  </si>
  <si>
    <t>L5 tuning</t>
  </si>
  <si>
    <t>cold room at TC-L (2 weeks)</t>
  </si>
  <si>
    <t>Hydraulic retest</t>
  </si>
  <si>
    <t>3weeks</t>
  </si>
  <si>
    <t>2week</t>
  </si>
  <si>
    <t>Pilot update</t>
  </si>
  <si>
    <t>Service publications (shipping cost)</t>
  </si>
  <si>
    <t>PPG 2020 budget including budget alignment</t>
  </si>
  <si>
    <t>CQL 2020 budget based on PPG rates</t>
  </si>
  <si>
    <t>PPG Pilot activities (1 Pilot)(2021)</t>
  </si>
  <si>
    <t>CQL Pilot activities (1 Pilot)(2021)</t>
  </si>
  <si>
    <t>11days</t>
  </si>
  <si>
    <t>endurance (3000 hrs)</t>
  </si>
  <si>
    <t>10days</t>
  </si>
  <si>
    <t>Productivity</t>
  </si>
  <si>
    <t>Sound certification (LRC)</t>
  </si>
  <si>
    <t>3days</t>
  </si>
  <si>
    <t>Cooling/UHT retest</t>
  </si>
  <si>
    <t>4days</t>
  </si>
  <si>
    <t>Hydraulic signature</t>
  </si>
  <si>
    <t>L5 checkout</t>
  </si>
  <si>
    <t>Sound certification (EU)</t>
  </si>
  <si>
    <t>XMSN signature</t>
  </si>
  <si>
    <t>Light structures OMSA retest (hood)</t>
  </si>
  <si>
    <t>SW release after endurance (2022)</t>
  </si>
  <si>
    <t>2 months support (2022)</t>
  </si>
  <si>
    <t>Endurance (3000 hrs)</t>
  </si>
  <si>
    <t>13months</t>
  </si>
  <si>
    <t>MLIT</t>
  </si>
  <si>
    <t>PPG 2021 budget including only budget alignment</t>
  </si>
  <si>
    <t>CQL 2021 budget based on PPG rates</t>
  </si>
  <si>
    <t xml:space="preserve">      ISO 5010- EH  CERT</t>
  </si>
  <si>
    <t xml:space="preserve">      EMC Testing-HRC</t>
  </si>
  <si>
    <t xml:space="preserve">      Hydraulic Signature Test- Documentation</t>
  </si>
  <si>
    <t xml:space="preserve">      ISO 5010- HMU CERT</t>
  </si>
  <si>
    <t xml:space="preserve">      ISO 3450 Brake- CERT</t>
  </si>
  <si>
    <t xml:space="preserve">NVH </t>
  </si>
  <si>
    <t>Sound Testing- ISO 9533, HAWB, ISO 6393-6396</t>
  </si>
  <si>
    <t xml:space="preserve">      Sound Testing-ISO 9533, ISO 6393-6396</t>
  </si>
  <si>
    <t xml:space="preserve">      980GC Endurance 1001-1500 hrs+ 250 hr inspections</t>
  </si>
  <si>
    <t xml:space="preserve">      980GC Endurance 501-1000 hrs+ 250 hr Inspections</t>
  </si>
  <si>
    <t xml:space="preserve">      980GC Endurance 0-500 hrs+ 250 hr Inspections</t>
  </si>
  <si>
    <t>Altitude</t>
  </si>
  <si>
    <t xml:space="preserve">      STP-155 (Water Flow/System Test)</t>
  </si>
  <si>
    <t>Engine and SW Check</t>
  </si>
  <si>
    <t>TC-L Cold Room</t>
  </si>
  <si>
    <t>Machine Build</t>
  </si>
  <si>
    <t>EMC Testing</t>
  </si>
  <si>
    <t>Machine S/N</t>
  </si>
  <si>
    <t>Phase</t>
  </si>
  <si>
    <t>W7K00288</t>
  </si>
  <si>
    <t xml:space="preserve">    PPG 980GC TB </t>
  </si>
  <si>
    <t>SN</t>
  </si>
  <si>
    <t xml:space="preserve">    CQL 980GC LRC PD#1 </t>
  </si>
  <si>
    <t xml:space="preserve">    PPG 980GC HRC PD#2 </t>
  </si>
  <si>
    <t xml:space="preserve">    PPG 980GC HRC Pilot #1 </t>
  </si>
  <si>
    <t xml:space="preserve">    CQL 980GC LRC Pilot #2 </t>
  </si>
  <si>
    <t xml:space="preserve">    CQL 980GC HRC Pilot #3 </t>
  </si>
  <si>
    <t>Cooling2</t>
  </si>
  <si>
    <t>Cooling3</t>
  </si>
  <si>
    <t>Cooling1</t>
  </si>
  <si>
    <t>Performance1</t>
  </si>
  <si>
    <t>Performance2</t>
  </si>
  <si>
    <t>Performance3</t>
  </si>
  <si>
    <t xml:space="preserve">GW </t>
  </si>
  <si>
    <t>Launch</t>
  </si>
  <si>
    <t>Sound Testing- ISO 9533, HAWB</t>
  </si>
  <si>
    <t xml:space="preserve">    980GC Milestone</t>
  </si>
  <si>
    <t>Articulation Lock</t>
  </si>
  <si>
    <t>Fan/Brake System Eval</t>
  </si>
  <si>
    <t>DR 1/2</t>
  </si>
  <si>
    <t>GW 1/2</t>
  </si>
  <si>
    <t>DR 3, DD3</t>
  </si>
  <si>
    <t>100% EDS Freeze</t>
  </si>
  <si>
    <t xml:space="preserve">      ISO 3450 Brake Feasibility</t>
  </si>
  <si>
    <t xml:space="preserve">      ISO 5010 Steering Feasibility</t>
  </si>
  <si>
    <t xml:space="preserve">      STP-151 &amp; 155 (Water Flow/System Test)</t>
  </si>
  <si>
    <t>Stage 5 Engine Altitude</t>
  </si>
  <si>
    <t>Stage 5 Engine TC-L Cold Room</t>
  </si>
  <si>
    <t xml:space="preserve">      SW Checkout # 1</t>
  </si>
  <si>
    <t xml:space="preserve">      HRC Sound Testing</t>
  </si>
  <si>
    <t xml:space="preserve">     Steering Bump Stop Eval</t>
  </si>
  <si>
    <t xml:space="preserve">      Engine and SW Check</t>
  </si>
  <si>
    <t>Dust Ejector Measurement</t>
  </si>
  <si>
    <t xml:space="preserve">      LRC STP 152  (Ambient Capability) &amp; STP-154 (IMT) w/ UHT</t>
  </si>
  <si>
    <t>DR</t>
  </si>
  <si>
    <t>Performance4</t>
  </si>
  <si>
    <t>100% Pilot EDS Freeze</t>
  </si>
  <si>
    <t>GW 3</t>
  </si>
  <si>
    <t>GW 6</t>
  </si>
  <si>
    <t>100% PD EDS Freeze</t>
  </si>
  <si>
    <t>FR</t>
  </si>
  <si>
    <t>100% Production EDS Freeze</t>
  </si>
  <si>
    <t>GW 5.5</t>
  </si>
  <si>
    <t xml:space="preserve">      LRC Water Flow Test &amp; System (STP 151 &amp; 155)</t>
  </si>
  <si>
    <t xml:space="preserve">      Light Fan and Heavy Structure OMSA Hood &amp; Cooling Pkg &amp;   MER- 120 channels</t>
  </si>
  <si>
    <t xml:space="preserve"> EMC Testing</t>
  </si>
  <si>
    <t>Performance</t>
  </si>
  <si>
    <t>L5 Checkout</t>
  </si>
  <si>
    <t>QPG 980GC LRC Pilot #2 (SN)</t>
  </si>
  <si>
    <t xml:space="preserve">   QPG 980GC HRC Pilot #3 (SN)</t>
  </si>
  <si>
    <t xml:space="preserve">    QPG 980GC LRC PD#1 </t>
  </si>
  <si>
    <t xml:space="preserve">    PPG 980GC Stg V HRC PD#2 </t>
  </si>
  <si>
    <t xml:space="preserve">QPG 980GC LRC Pilot #2 </t>
  </si>
  <si>
    <t xml:space="preserve">   QPG 980GC HRC Pilot #3 </t>
  </si>
  <si>
    <t>Brake-ISO 3450</t>
  </si>
  <si>
    <t>Steering-ISO 5010</t>
  </si>
  <si>
    <t>Articulation Frame</t>
  </si>
  <si>
    <t>Sound- Back-up Alarm, Horn-ISO 9566</t>
  </si>
  <si>
    <t>Safety and Regs-Production</t>
  </si>
  <si>
    <t>Safety and Regs-Pilot</t>
  </si>
  <si>
    <t>Release # 1</t>
  </si>
  <si>
    <t>Release # 2</t>
  </si>
  <si>
    <t>Release # 3</t>
  </si>
  <si>
    <t>Release # 4</t>
  </si>
  <si>
    <t xml:space="preserve">    980GC SW Milestone</t>
  </si>
  <si>
    <t xml:space="preserve">    980GC TIC Report Milestone</t>
  </si>
  <si>
    <t>980GC Milestone</t>
  </si>
  <si>
    <t>980GC SW Milestone</t>
  </si>
  <si>
    <t>980GC TIC Report Milestone</t>
  </si>
  <si>
    <t xml:space="preserve">    QPG 980GC LRC Pilot #2 </t>
  </si>
  <si>
    <t xml:space="preserve">    QPG 980GC HRC Pilot #3 </t>
  </si>
  <si>
    <t xml:space="preserve">  LRC STP 401 Engine Audit</t>
  </si>
  <si>
    <t>PPG 980GC HRC Pilot #1 (SN)</t>
  </si>
  <si>
    <t>PPG 980GC Stg V HRC PD#2 (SN)</t>
  </si>
  <si>
    <t>QPG 980GC LRC PD#1 (SN)</t>
  </si>
  <si>
    <t>PPG 980GC TB (W7K00288)</t>
  </si>
  <si>
    <t>980GC TIC Report Milestones</t>
  </si>
  <si>
    <t>980GC SW Milestones</t>
  </si>
  <si>
    <t>980GC Milestones</t>
  </si>
  <si>
    <t>STCW</t>
  </si>
  <si>
    <t>Quality Gate # 2</t>
  </si>
  <si>
    <t>QG</t>
  </si>
  <si>
    <t>1st Production</t>
  </si>
  <si>
    <t>PD Ship to PPG</t>
  </si>
  <si>
    <t>QC</t>
  </si>
  <si>
    <t>Quality Gate # 1</t>
  </si>
  <si>
    <t>FF</t>
  </si>
  <si>
    <t>Safety Audit</t>
  </si>
  <si>
    <t>Service Audit</t>
  </si>
  <si>
    <t xml:space="preserve"> Sound Testing- ISO 9533, HAWB</t>
  </si>
  <si>
    <t xml:space="preserve"> ISO 10570 Articulation Lock</t>
  </si>
  <si>
    <t xml:space="preserve">      EN 13309  EMC Testing-HRC</t>
  </si>
  <si>
    <t>ISO 5006 (Virtual Audit)</t>
  </si>
  <si>
    <t xml:space="preserve"> ISO 5006 (Virtual Audit)</t>
  </si>
  <si>
    <t>Machine Checkout STP-64</t>
  </si>
  <si>
    <t>Sound Testing (1st Pass screening)</t>
  </si>
  <si>
    <t>L5 Tuning and Performance Check</t>
  </si>
  <si>
    <t>Operator Eval #1</t>
  </si>
  <si>
    <t>Software Checkout #2</t>
  </si>
  <si>
    <t>Operator Eval #2</t>
  </si>
  <si>
    <t>LRC Water Flow Test &amp; System (STP 151 &amp; 155)</t>
  </si>
  <si>
    <t>LRC STP 401 Engine Audit</t>
  </si>
  <si>
    <t>Software Checkout #3</t>
  </si>
  <si>
    <t>ISO 5010 Steering Feasibility</t>
  </si>
  <si>
    <t>ISO 3450 Brake Feasibility</t>
  </si>
  <si>
    <t>980GC Endurance 0-500 hrs+ Inspection</t>
  </si>
  <si>
    <t>Safety &amp; Service Audit</t>
  </si>
  <si>
    <t>LRC STP 152  (Ambient Capability) &amp; STP-154 (IMT) w/ UHT with Fuel Level Sensor calibration</t>
  </si>
  <si>
    <t>Operator Eval</t>
  </si>
  <si>
    <t>SW Checkout # 1</t>
  </si>
  <si>
    <t>L5 Tuning and Performance Check #1</t>
  </si>
  <si>
    <t>Rimpull and Response Test</t>
  </si>
  <si>
    <t>XMSN Tuning</t>
  </si>
  <si>
    <t>EN 13309 EMC Testing- Engg Test</t>
  </si>
  <si>
    <t>STP-153 (Airflow Testing)</t>
  </si>
  <si>
    <t>HRC STP-152 (Ambient Capability) &amp; STP-154 (IMT) w/ UHT + Fuel Sensor Calibration</t>
  </si>
  <si>
    <t>STP 401 HRC Engine Audit</t>
  </si>
  <si>
    <t>Hydraulic Test ( Steering Pump Perf)</t>
  </si>
  <si>
    <t>Electric Load Study (Alt Charging capacity)</t>
  </si>
  <si>
    <t>Elec</t>
  </si>
  <si>
    <t>Software Checkout #1 (STP 230) Ver 01; Telematics SW (Gen A6N1+PL243/PL083)</t>
  </si>
  <si>
    <t>Harness routing Audit</t>
  </si>
  <si>
    <t xml:space="preserve">       L5 Checkout </t>
  </si>
  <si>
    <t>Software Checkout #2 (STP 230)</t>
  </si>
  <si>
    <t>Hydraulic Test (Service Brake Modulation)+ Opr Eval</t>
  </si>
  <si>
    <t>HRC Sound Testing (Plus Hydraulic+ exhaust characterization)</t>
  </si>
  <si>
    <t>L5 Tuning  with Operator # 2 (Shift Performance)</t>
  </si>
  <si>
    <t>Software Checkout #3 (STP 230)</t>
  </si>
  <si>
    <t>Software Checkout #4 (STP 230)+ Endurance</t>
  </si>
  <si>
    <t>Engine Exhaust AFT controls</t>
  </si>
  <si>
    <t>Light Fan and Heavy Structure OMSA Hood &amp; Cooling Pkg &amp;  MER- 120 channels</t>
  </si>
  <si>
    <t>STP-151 &amp; 155 (Water Flow &amp; System Test)</t>
  </si>
  <si>
    <t>Trans SW</t>
  </si>
  <si>
    <t xml:space="preserve">      Sound Testing (Issue Resolution Not meeting Rqmts)</t>
  </si>
  <si>
    <t>L5 Tuning with Operator # 1</t>
  </si>
  <si>
    <t>Performance5</t>
  </si>
  <si>
    <t>200 channels</t>
  </si>
  <si>
    <t>Engg Perf Productivity</t>
  </si>
  <si>
    <t xml:space="preserve">Machine Build </t>
  </si>
  <si>
    <t>Ship Machine to PPG</t>
  </si>
  <si>
    <t>Rimpull  Test</t>
  </si>
  <si>
    <t>PPG 980GC Stg V HRC PD#3 (SN)</t>
  </si>
  <si>
    <t>Issue</t>
  </si>
  <si>
    <t>Issue resolution</t>
  </si>
  <si>
    <t>Machine Endurance 100 hrs</t>
  </si>
  <si>
    <t>Performance6</t>
  </si>
  <si>
    <t xml:space="preserve">PPG 980GC TB </t>
  </si>
  <si>
    <t xml:space="preserve">QPG 980GC LRC PD#1 </t>
  </si>
  <si>
    <t xml:space="preserve">PPG 980GC Stg V HRC PD#2 </t>
  </si>
  <si>
    <t xml:space="preserve">PPG 980GC HRC Pilot #1 </t>
  </si>
  <si>
    <t>Light Fan and Heavy Structure OMSA Hood &amp; Cooling Pkg &amp;  MER- 200 channels</t>
  </si>
  <si>
    <t xml:space="preserve">PPG 980GC Stg V HRC PD#3 </t>
  </si>
  <si>
    <t>Operator Eval # 1</t>
  </si>
  <si>
    <t>Software Checkout # 3 (STP 230)+ Endurance</t>
  </si>
  <si>
    <t>Endurance1</t>
  </si>
  <si>
    <t>Endurance2</t>
  </si>
  <si>
    <t>Endurance3</t>
  </si>
  <si>
    <t xml:space="preserve">L5 Checkout </t>
  </si>
  <si>
    <t xml:space="preserve">  Machine Checkout STP-64</t>
  </si>
  <si>
    <t>Software Checkout # 1</t>
  </si>
  <si>
    <t>Sound Testing (Issue Resolution Not meeting Rqmts)</t>
  </si>
  <si>
    <t>SW Checkout #2</t>
  </si>
  <si>
    <t>EN 13309  EMC Testing-HRC</t>
  </si>
  <si>
    <t>Sound Testing-ISO 9533, ISO 6393-6396</t>
  </si>
  <si>
    <t>Stage V         EN 13309  EMC Testing-HRC</t>
  </si>
  <si>
    <t xml:space="preserve"> Sound Testing (Issue Resolution Not meeting Rqmts)</t>
  </si>
  <si>
    <t>PPG 980GC T3 LRC PD#3 (SN)</t>
  </si>
  <si>
    <t>EIC2</t>
  </si>
  <si>
    <t>Stg V EMC</t>
  </si>
  <si>
    <t xml:space="preserve">        Hydraulic Development (Setup/Run/Teardown)</t>
  </si>
  <si>
    <t>HVAC</t>
  </si>
  <si>
    <t>HVAC Charge Checkout</t>
  </si>
  <si>
    <t>Issue resolution # 1</t>
  </si>
  <si>
    <t>EIC1</t>
  </si>
  <si>
    <t>Stage V Engine Install MER</t>
  </si>
  <si>
    <t>Issue resolution # 2</t>
  </si>
  <si>
    <t>Engg Perf Productivity-Baseline</t>
  </si>
  <si>
    <t xml:space="preserve">      EN 13309 EMC Testing-HRC-CERT</t>
  </si>
  <si>
    <t>Software Checkout #3 (STP 230)+ Endurance</t>
  </si>
  <si>
    <t xml:space="preserve">PPG 980GC T3 LRC PD#3 </t>
  </si>
  <si>
    <t xml:space="preserve">   PPG 980GC HRC Pilot #3 </t>
  </si>
  <si>
    <t>Inspection</t>
  </si>
  <si>
    <t>Endurance Inspection</t>
  </si>
  <si>
    <t>980GC Endurance 0-500 hrs+ Inspection (12 hr/day)</t>
  </si>
  <si>
    <t>Sound Testing (Plus Hyd &amp; Exhaust Characterization)</t>
  </si>
  <si>
    <t>Stage 5 Engine Altitude (Start in 2021)</t>
  </si>
  <si>
    <t xml:space="preserve">      OMSA Light Fabs Hood # 2</t>
  </si>
  <si>
    <t xml:space="preserve"> Machine Checkout STP-64</t>
  </si>
  <si>
    <t>Steering-ISO 5010 report</t>
  </si>
  <si>
    <t>Brake-ISO 3450 report</t>
  </si>
  <si>
    <t>QPG Machine Check</t>
  </si>
  <si>
    <t>Hydraulic Test ( Steering Pump Perf)+ Fan calibration</t>
  </si>
  <si>
    <t>LRC STP 152  (Ambient Capability) &amp; STP-154 (IMT) w/ UHT with Fuel Level Sensor calibration and Fan calibration</t>
  </si>
  <si>
    <t>Sound Screening</t>
  </si>
  <si>
    <t>L5 Tuning and Performance Operator Eval # 1 (Shift Performance)</t>
  </si>
  <si>
    <t>Holiday</t>
  </si>
  <si>
    <t>US Christmas and New Year Day Holiday</t>
  </si>
  <si>
    <t>Software Checkout #2 (STP 230)+ Endurance</t>
  </si>
  <si>
    <t>SW Checkout #1</t>
  </si>
  <si>
    <t>L5 Checkout and Performance Check + Oper eval</t>
  </si>
  <si>
    <t>OMSA Light Fabs Hood # 2</t>
  </si>
  <si>
    <t>EN 13309 EMC Testing-HRC-CERT</t>
  </si>
  <si>
    <t xml:space="preserve"> 980GC Endurance 0-500 hrs+ 250 hr Inspections</t>
  </si>
  <si>
    <t xml:space="preserve"> 980GC Endurance 501-1000 hrs+ 250 hr Inspections</t>
  </si>
  <si>
    <t xml:space="preserve"> 980GC Endurance 1001-1500 hrs+ 250 hr inspections</t>
  </si>
  <si>
    <t xml:space="preserve">            Machine Build </t>
  </si>
  <si>
    <t>EMC Certification</t>
  </si>
  <si>
    <t>Steering-ISO 5010 Certification</t>
  </si>
  <si>
    <t>Brake-ISO 3450 Certification</t>
  </si>
  <si>
    <t>Articulation Frame Certification</t>
  </si>
  <si>
    <t>Sound- Back-up Alarm, Horn-ISO 9566 Certification</t>
  </si>
  <si>
    <t>GW 3/4</t>
  </si>
  <si>
    <t xml:space="preserve"> EMC CERT</t>
  </si>
  <si>
    <t xml:space="preserve">      Machine Update</t>
  </si>
  <si>
    <t xml:space="preserve">      Operator Eval # 2</t>
  </si>
  <si>
    <t>100% Pilot Design Freeze</t>
  </si>
  <si>
    <t>US Thanksgiving</t>
  </si>
  <si>
    <t>China National Holiday</t>
  </si>
  <si>
    <t>PD Machine Build</t>
  </si>
  <si>
    <t>Machine D&amp;A</t>
  </si>
  <si>
    <t xml:space="preserve">      Pilot Machine Build</t>
  </si>
  <si>
    <t>Pilot Machine Build</t>
  </si>
  <si>
    <t>100% Production DF Freeze</t>
  </si>
  <si>
    <t>China New Year</t>
  </si>
  <si>
    <t xml:space="preserve">       Commercial</t>
  </si>
  <si>
    <t xml:space="preserve">      China National Holiday</t>
  </si>
  <si>
    <t>Jan 14 2021 Pilot EDS Freeze</t>
  </si>
  <si>
    <t>Light Fab and Heavy Structure OMSA Hood &amp; Cooling Pkg &amp;  MER- 200 channels</t>
  </si>
  <si>
    <t>LRC Engine Altitude (Start in 2021)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</si>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</sst>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"/>
    <numFmt numFmtId="165" formatCode="[$-409]dd\-mmm\-yy;@"/>
  </numFmts>
  <fonts count="3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"/>
      <family val="3"/>
      <charset val="134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3"/>
      <color theme="1"/>
      <name val="Calibri"/>
      <family val="2"/>
      <scheme val="minor"/>
    </font>
    <font>
      <b/>
      <sz val="23"/>
      <color theme="0"/>
      <name val="Calibri"/>
      <family val="2"/>
      <scheme val="minor"/>
    </font>
    <font>
      <b/>
      <sz val="23"/>
      <color theme="1"/>
      <name val="Calibri"/>
      <family val="2"/>
      <scheme val="minor"/>
    </font>
    <font>
      <sz val="23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0"/>
      <name val="Arial"/>
      <family val="2"/>
    </font>
  </fonts>
  <fills count="20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9500"/>
        <bgColor indexed="64"/>
      </patternFill>
    </fill>
    <fill>
      <patternFill patternType="solid">
        <fgColor rgb="FF9A33CD"/>
        <bgColor indexed="64"/>
      </patternFill>
    </fill>
    <fill>
      <patternFill patternType="solid">
        <fgColor rgb="FFF053CD"/>
        <bgColor indexed="64"/>
      </patternFill>
    </fill>
    <fill>
      <patternFill patternType="solid">
        <fgColor rgb="FF4674CD"/>
        <bgColor indexed="64"/>
      </patternFill>
    </fill>
    <fill>
      <patternFill patternType="solid">
        <fgColor rgb="FF9C94CD"/>
        <bgColor indexed="64"/>
      </patternFill>
    </fill>
    <fill>
      <patternFill patternType="solid">
        <fgColor rgb="FF79A7B2"/>
        <bgColor indexed="64"/>
      </patternFill>
    </fill>
    <fill>
      <patternFill patternType="solid">
        <fgColor rgb="FF3E5192"/>
        <bgColor indexed="64"/>
      </patternFill>
    </fill>
    <fill>
      <patternFill patternType="solid">
        <fgColor rgb="FF03FB71"/>
        <bgColor indexed="64"/>
      </patternFill>
    </fill>
    <fill>
      <patternFill patternType="solid">
        <fgColor rgb="FFAF3367"/>
        <bgColor indexed="64"/>
      </patternFill>
    </fill>
    <fill>
      <patternFill patternType="solid">
        <fgColor rgb="FFCF3367"/>
        <bgColor indexed="64"/>
      </patternFill>
    </fill>
    <fill>
      <patternFill patternType="solid">
        <fgColor rgb="FFF03367"/>
        <bgColor indexed="64"/>
      </patternFill>
    </fill>
    <fill>
      <patternFill patternType="solid">
        <fgColor rgb="FFD52367"/>
        <bgColor indexed="64"/>
      </patternFill>
    </fill>
    <fill>
      <patternFill patternType="solid">
        <fgColor rgb="FF7F0367"/>
        <bgColor indexed="64"/>
      </patternFill>
    </fill>
    <fill>
      <patternFill patternType="solid">
        <fgColor rgb="FF28E366"/>
        <bgColor indexed="64"/>
      </patternFill>
    </fill>
    <fill>
      <patternFill patternType="solid">
        <fgColor rgb="FF039571"/>
        <bgColor indexed="64"/>
      </patternFill>
    </fill>
    <fill>
      <patternFill patternType="solid">
        <fgColor rgb="FF3EEB91"/>
        <bgColor indexed="64"/>
      </patternFill>
    </fill>
    <fill>
      <patternFill patternType="solid">
        <fgColor rgb="FF7941B2"/>
        <bgColor indexed="64"/>
      </patternFill>
    </fill>
    <fill>
      <patternFill patternType="solid">
        <fgColor rgb="FFFB33CD"/>
        <bgColor indexed="64"/>
      </patternFill>
    </fill>
    <fill>
      <patternFill patternType="solid">
        <fgColor rgb="FFDA33CD"/>
        <bgColor indexed="64"/>
      </patternFill>
    </fill>
    <fill>
      <patternFill patternType="solid">
        <fgColor rgb="FFBA33CD"/>
        <bgColor indexed="64"/>
      </patternFill>
    </fill>
    <fill>
      <patternFill patternType="solid">
        <fgColor rgb="FF504ECD"/>
        <bgColor indexed="64"/>
      </patternFill>
    </fill>
    <fill>
      <patternFill patternType="solid">
        <fgColor rgb="FF0769CD"/>
        <bgColor indexed="64"/>
      </patternFill>
    </fill>
    <fill>
      <patternFill patternType="solid">
        <fgColor rgb="FFBD83CD"/>
        <bgColor indexed="64"/>
      </patternFill>
    </fill>
    <fill>
      <patternFill patternType="solid">
        <fgColor rgb="FF3E26C9"/>
        <bgColor indexed="64"/>
      </patternFill>
    </fill>
    <fill>
      <patternFill patternType="solid">
        <fgColor rgb="FFB46FAE"/>
        <bgColor indexed="64"/>
      </patternFill>
    </fill>
    <fill>
      <patternFill patternType="solid">
        <fgColor rgb="FF2AB993"/>
        <bgColor indexed="64"/>
      </patternFill>
    </fill>
    <fill>
      <patternFill patternType="solid">
        <fgColor rgb="FFA00279"/>
        <bgColor indexed="64"/>
      </patternFill>
    </fill>
    <fill>
      <patternFill patternType="solid">
        <fgColor rgb="FFA33367"/>
        <bgColor indexed="64"/>
      </patternFill>
    </fill>
    <fill>
      <patternFill patternType="solid">
        <fgColor rgb="FFBD3367"/>
        <bgColor indexed="64"/>
      </patternFill>
    </fill>
    <fill>
      <patternFill patternType="solid">
        <fgColor rgb="FFD83367"/>
        <bgColor indexed="64"/>
      </patternFill>
    </fill>
    <fill>
      <patternFill patternType="solid">
        <fgColor rgb="FFF33367"/>
        <bgColor indexed="64"/>
      </patternFill>
    </fill>
    <fill>
      <patternFill patternType="solid">
        <fgColor rgb="FFA52667"/>
        <bgColor indexed="64"/>
      </patternFill>
    </fill>
    <fill>
      <patternFill patternType="solid">
        <fgColor rgb="FFEE0B67"/>
        <bgColor indexed="64"/>
      </patternFill>
    </fill>
    <fill>
      <patternFill patternType="solid">
        <fgColor rgb="FF38F166"/>
        <bgColor indexed="64"/>
      </patternFill>
    </fill>
    <fill>
      <patternFill patternType="solid">
        <fgColor rgb="FF81D666"/>
        <bgColor indexed="64"/>
      </patternFill>
    </fill>
    <fill>
      <patternFill patternType="solid">
        <fgColor rgb="FFA09C78"/>
        <bgColor indexed="64"/>
      </patternFill>
    </fill>
    <fill>
      <patternFill patternType="solid">
        <fgColor rgb="FF3EC0C8"/>
        <bgColor indexed="64"/>
      </patternFill>
    </fill>
    <fill>
      <patternFill patternType="solid">
        <fgColor rgb="FFEA33CD"/>
        <bgColor indexed="64"/>
      </patternFill>
    </fill>
    <fill>
      <patternFill patternType="solid">
        <fgColor rgb="FFCF33CD"/>
        <bgColor indexed="64"/>
      </patternFill>
    </fill>
    <fill>
      <patternFill patternType="solid">
        <fgColor rgb="FFB433CD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3467"/>
        <bgColor indexed="64"/>
      </patternFill>
    </fill>
    <fill>
      <patternFill patternType="solid">
        <fgColor rgb="FF3B4BCD"/>
        <bgColor indexed="64"/>
      </patternFill>
    </fill>
    <fill>
      <patternFill patternType="solid">
        <fgColor rgb="FFDD62CD"/>
        <bgColor indexed="64"/>
      </patternFill>
    </fill>
    <fill>
      <patternFill patternType="solid">
        <fgColor rgb="FF7E7ACD"/>
        <bgColor indexed="64"/>
      </patternFill>
    </fill>
    <fill>
      <patternFill patternType="solid">
        <fgColor rgb="FF2092CD"/>
        <bgColor indexed="64"/>
      </patternFill>
    </fill>
    <fill>
      <patternFill patternType="solid">
        <fgColor rgb="FF04D9BD"/>
        <bgColor indexed="64"/>
      </patternFill>
    </fill>
    <fill>
      <patternFill patternType="solid">
        <fgColor rgb="FF8A37A6"/>
        <bgColor indexed="64"/>
      </patternFill>
    </fill>
    <fill>
      <patternFill patternType="solid">
        <fgColor rgb="FF10968E"/>
        <bgColor indexed="64"/>
      </patternFill>
    </fill>
    <fill>
      <patternFill patternType="solid">
        <fgColor rgb="FF96F476"/>
        <bgColor indexed="64"/>
      </patternFill>
    </fill>
    <fill>
      <patternFill patternType="solid">
        <fgColor rgb="FFA13367"/>
        <bgColor indexed="64"/>
      </patternFill>
    </fill>
    <fill>
      <patternFill patternType="solid">
        <fgColor rgb="FFB93367"/>
        <bgColor indexed="64"/>
      </patternFill>
    </fill>
    <fill>
      <patternFill patternType="solid">
        <fgColor rgb="FFD13367"/>
        <bgColor indexed="64"/>
      </patternFill>
    </fill>
    <fill>
      <patternFill patternType="solid">
        <fgColor rgb="FFE83367"/>
        <bgColor indexed="64"/>
      </patternFill>
    </fill>
    <fill>
      <patternFill patternType="solid">
        <fgColor rgb="FF5F1C67"/>
        <bgColor indexed="64"/>
      </patternFill>
    </fill>
    <fill>
      <patternFill patternType="solid">
        <fgColor rgb="FFBD0467"/>
        <bgColor indexed="64"/>
      </patternFill>
    </fill>
    <fill>
      <patternFill patternType="solid">
        <fgColor rgb="FF1CED66"/>
        <bgColor indexed="64"/>
      </patternFill>
    </fill>
    <fill>
      <patternFill patternType="solid">
        <fgColor rgb="FF7AD566"/>
        <bgColor indexed="64"/>
      </patternFill>
    </fill>
    <fill>
      <patternFill patternType="solid">
        <fgColor rgb="FF968E76"/>
        <bgColor indexed="64"/>
      </patternFill>
    </fill>
    <fill>
      <patternFill patternType="solid">
        <fgColor rgb="FF10308E"/>
        <bgColor indexed="64"/>
      </patternFill>
    </fill>
    <fill>
      <patternFill patternType="solid">
        <fgColor rgb="FF8AD1A5"/>
        <bgColor indexed="64"/>
      </patternFill>
    </fill>
    <fill>
      <patternFill patternType="solid">
        <fgColor rgb="FF0473BD"/>
        <bgColor indexed="64"/>
      </patternFill>
    </fill>
    <fill>
      <patternFill patternType="solid">
        <fgColor rgb="FFF833CD"/>
        <bgColor indexed="64"/>
      </patternFill>
    </fill>
    <fill>
      <patternFill patternType="solid">
        <fgColor rgb="FFE033CD"/>
        <bgColor indexed="64"/>
      </patternFill>
    </fill>
    <fill>
      <patternFill patternType="solid">
        <fgColor rgb="FFC933CD"/>
        <bgColor indexed="64"/>
      </patternFill>
    </fill>
    <fill>
      <patternFill patternType="solid">
        <fgColor rgb="FFB133C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1448CD"/>
        <bgColor indexed="64"/>
      </patternFill>
    </fill>
    <fill>
      <patternFill patternType="solid">
        <fgColor rgb="FF8F5CCD"/>
        <bgColor indexed="64"/>
      </patternFill>
    </fill>
    <fill>
      <patternFill patternType="solid">
        <fgColor rgb="FF0A71CD"/>
        <bgColor indexed="64"/>
      </patternFill>
    </fill>
    <fill>
      <patternFill patternType="solid">
        <fgColor rgb="FF8585CD"/>
        <bgColor indexed="64"/>
      </patternFill>
    </fill>
    <fill>
      <patternFill patternType="solid">
        <fgColor rgb="FF009ACD"/>
        <bgColor indexed="64"/>
      </patternFill>
    </fill>
    <fill>
      <patternFill patternType="solid">
        <fgColor rgb="FF1F1FB9"/>
        <bgColor indexed="64"/>
      </patternFill>
    </fill>
    <fill>
      <patternFill patternType="solid">
        <fgColor rgb="FF3DA4A4"/>
        <bgColor indexed="64"/>
      </patternFill>
    </fill>
    <fill>
      <patternFill patternType="solid">
        <fgColor rgb="FF5C2990"/>
        <bgColor indexed="64"/>
      </patternFill>
    </fill>
    <fill>
      <patternFill patternType="solid">
        <fgColor rgb="FF7BAE7B"/>
        <bgColor indexed="64"/>
      </patternFill>
    </fill>
    <fill>
      <patternFill patternType="solid">
        <fgColor rgb="FF9A3367"/>
        <bgColor indexed="64"/>
      </patternFill>
    </fill>
    <fill>
      <patternFill patternType="solid">
        <fgColor rgb="FFAE3367"/>
        <bgColor indexed="64"/>
      </patternFill>
    </fill>
    <fill>
      <patternFill patternType="solid">
        <fgColor rgb="FFC33367"/>
        <bgColor indexed="64"/>
      </patternFill>
    </fill>
    <fill>
      <patternFill patternType="solid">
        <fgColor rgb="FFD73367"/>
        <bgColor indexed="64"/>
      </patternFill>
    </fill>
    <fill>
      <patternFill patternType="solid">
        <fgColor rgb="FFEC3367"/>
        <bgColor indexed="64"/>
      </patternFill>
    </fill>
    <fill>
      <patternFill patternType="solid">
        <fgColor rgb="FF851F67"/>
        <bgColor indexed="64"/>
      </patternFill>
    </fill>
    <fill>
      <patternFill patternType="solid">
        <fgColor rgb="FF0A0B67"/>
        <bgColor indexed="64"/>
      </patternFill>
    </fill>
    <fill>
      <patternFill patternType="solid">
        <fgColor rgb="FF8FF666"/>
        <bgColor indexed="64"/>
      </patternFill>
    </fill>
    <fill>
      <patternFill patternType="solid">
        <fgColor rgb="FF14E266"/>
        <bgColor indexed="64"/>
      </patternFill>
    </fill>
    <fill>
      <patternFill patternType="solid">
        <fgColor rgb="FF9ACD66"/>
        <bgColor indexed="64"/>
      </patternFill>
    </fill>
    <fill>
      <patternFill patternType="solid">
        <fgColor rgb="FF7B487B"/>
        <bgColor indexed="64"/>
      </patternFill>
    </fill>
    <fill>
      <patternFill patternType="solid">
        <fgColor rgb="FF5CC38F"/>
        <bgColor indexed="64"/>
      </patternFill>
    </fill>
    <fill>
      <patternFill patternType="solid">
        <fgColor rgb="FF1FB9B8"/>
        <bgColor indexed="64"/>
      </patternFill>
    </fill>
    <fill>
      <patternFill patternType="solid">
        <fgColor rgb="FF0034CD"/>
        <bgColor indexed="64"/>
      </patternFill>
    </fill>
    <fill>
      <patternFill patternType="solid">
        <fgColor rgb="FFEC33CD"/>
        <bgColor indexed="64"/>
      </patternFill>
    </fill>
    <fill>
      <patternFill patternType="solid">
        <fgColor rgb="FFD733CD"/>
        <bgColor indexed="64"/>
      </patternFill>
    </fill>
    <fill>
      <patternFill patternType="solid">
        <fgColor rgb="FFC333CD"/>
        <bgColor indexed="64"/>
      </patternFill>
    </fill>
    <fill>
      <patternFill patternType="solid">
        <fgColor rgb="FFCD46CD"/>
        <bgColor indexed="64"/>
      </patternFill>
    </fill>
    <fill>
      <patternFill patternType="solid">
        <fgColor rgb="FF005ACD"/>
        <bgColor indexed="64"/>
      </patternFill>
    </fill>
    <fill>
      <patternFill patternType="solid">
        <fgColor rgb="FF336DCD"/>
        <bgColor indexed="64"/>
      </patternFill>
    </fill>
    <fill>
      <patternFill patternType="solid">
        <fgColor rgb="FF6680CD"/>
        <bgColor indexed="64"/>
      </patternFill>
    </fill>
    <fill>
      <patternFill patternType="solid">
        <fgColor rgb="FF9A93CD"/>
        <bgColor indexed="64"/>
      </patternFill>
    </fill>
    <fill>
      <patternFill patternType="solid">
        <fgColor rgb="FF33CDC0"/>
        <bgColor indexed="64"/>
      </patternFill>
    </fill>
    <fill>
      <patternFill patternType="solid">
        <fgColor rgb="FF009AAD"/>
        <bgColor indexed="64"/>
      </patternFill>
    </fill>
    <fill>
      <patternFill patternType="solid">
        <fgColor rgb="FFCD669A"/>
        <bgColor indexed="64"/>
      </patternFill>
    </fill>
    <fill>
      <patternFill patternType="solid">
        <fgColor rgb="FF9A3387"/>
        <bgColor indexed="64"/>
      </patternFill>
    </fill>
    <fill>
      <patternFill patternType="solid">
        <fgColor rgb="FF660074"/>
        <bgColor indexed="64"/>
      </patternFill>
    </fill>
    <fill>
      <patternFill patternType="solid">
        <fgColor rgb="FFA03367"/>
        <bgColor indexed="64"/>
      </patternFill>
    </fill>
    <fill>
      <patternFill patternType="solid">
        <fgColor rgb="FFB33367"/>
        <bgColor indexed="64"/>
      </patternFill>
    </fill>
    <fill>
      <patternFill patternType="solid">
        <fgColor rgb="FFC63367"/>
        <bgColor indexed="64"/>
      </patternFill>
    </fill>
    <fill>
      <patternFill patternType="solid">
        <fgColor rgb="FFDA3367"/>
        <bgColor indexed="64"/>
      </patternFill>
    </fill>
    <fill>
      <patternFill patternType="solid">
        <fgColor rgb="FFED3367"/>
        <bgColor indexed="64"/>
      </patternFill>
    </fill>
    <fill>
      <patternFill patternType="solid">
        <fgColor rgb="FFCD2067"/>
        <bgColor indexed="64"/>
      </patternFill>
    </fill>
    <fill>
      <patternFill patternType="solid">
        <fgColor rgb="FF9A0D67"/>
        <bgColor indexed="64"/>
      </patternFill>
    </fill>
    <fill>
      <patternFill patternType="solid">
        <fgColor rgb="FF66FA66"/>
        <bgColor indexed="64"/>
      </patternFill>
    </fill>
    <fill>
      <patternFill patternType="solid">
        <fgColor rgb="FF33E766"/>
        <bgColor indexed="64"/>
      </patternFill>
    </fill>
    <fill>
      <patternFill patternType="solid">
        <fgColor rgb="FF00D466"/>
        <bgColor indexed="64"/>
      </patternFill>
    </fill>
    <fill>
      <patternFill patternType="solid">
        <fgColor rgb="FF669A73"/>
        <bgColor indexed="64"/>
      </patternFill>
    </fill>
    <fill>
      <patternFill patternType="solid">
        <fgColor rgb="FF9ACD86"/>
        <bgColor indexed="64"/>
      </patternFill>
    </fill>
    <fill>
      <patternFill patternType="solid">
        <fgColor rgb="FFCD009A"/>
        <bgColor indexed="64"/>
      </patternFill>
    </fill>
    <fill>
      <patternFill patternType="solid">
        <fgColor rgb="FF0034AD"/>
        <bgColor indexed="64"/>
      </patternFill>
    </fill>
    <fill>
      <patternFill patternType="solid">
        <fgColor rgb="FF3367C0"/>
        <bgColor indexed="64"/>
      </patternFill>
    </fill>
    <fill>
      <patternFill patternType="solid">
        <fgColor rgb="FFFA33CD"/>
        <bgColor indexed="64"/>
      </patternFill>
    </fill>
    <fill>
      <patternFill patternType="solid">
        <fgColor rgb="FFE633CD"/>
        <bgColor indexed="64"/>
      </patternFill>
    </fill>
    <fill>
      <patternFill patternType="solid">
        <fgColor rgb="FFD333CD"/>
        <bgColor indexed="64"/>
      </patternFill>
    </fill>
    <fill>
      <patternFill patternType="solid">
        <fgColor rgb="FFC033CD"/>
        <bgColor indexed="64"/>
      </patternFill>
    </fill>
    <fill>
      <patternFill patternType="solid">
        <fgColor rgb="FFAD33C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43CD"/>
        <bgColor indexed="64"/>
      </patternFill>
    </fill>
    <fill>
      <patternFill patternType="solid">
        <fgColor rgb="FF1B64CD"/>
        <bgColor indexed="64"/>
      </patternFill>
    </fill>
    <fill>
      <patternFill patternType="solid">
        <fgColor rgb="FF7184CD"/>
        <bgColor indexed="64"/>
      </patternFill>
    </fill>
    <fill>
      <patternFill patternType="solid">
        <fgColor rgb="FF97D2C2"/>
        <bgColor indexed="64"/>
      </patternFill>
    </fill>
    <fill>
      <patternFill patternType="solid">
        <fgColor rgb="FF5C7CA2"/>
        <bgColor indexed="64"/>
      </patternFill>
    </fill>
    <fill>
      <patternFill patternType="solid">
        <fgColor rgb="FFAA1367"/>
        <bgColor indexed="64"/>
      </patternFill>
    </fill>
    <fill>
      <patternFill patternType="solid">
        <fgColor rgb="FF54F366"/>
        <bgColor indexed="64"/>
      </patternFill>
    </fill>
    <fill>
      <patternFill patternType="solid">
        <fgColor rgb="FFCD336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A0AF85"/>
        <bgColor indexed="64"/>
      </patternFill>
    </fill>
    <fill>
      <patternFill patternType="solid">
        <fgColor rgb="FFB03367"/>
        <bgColor indexed="64"/>
      </patternFill>
    </fill>
    <fill>
      <patternFill patternType="solid">
        <fgColor rgb="FF725092"/>
        <bgColor indexed="64"/>
      </patternFill>
    </fill>
    <fill>
      <patternFill patternType="solid">
        <fgColor rgb="FFDE77AB"/>
        <bgColor indexed="64"/>
      </patternFill>
    </fill>
    <fill>
      <patternFill patternType="solid">
        <fgColor rgb="FF2F755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72B694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2CD"/>
        <bgColor indexed="64"/>
      </patternFill>
    </fill>
    <fill>
      <patternFill patternType="solid">
        <fgColor rgb="FFBCEF8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C38FCD"/>
        <bgColor indexed="64"/>
      </patternFill>
    </fill>
    <fill>
      <patternFill patternType="solid">
        <fgColor rgb="FFF6C2A9"/>
        <bgColor indexed="64"/>
      </patternFill>
    </fill>
    <fill>
      <patternFill patternType="solid">
        <fgColor rgb="FFA42467"/>
        <bgColor indexed="64"/>
      </patternFill>
    </fill>
    <fill>
      <patternFill patternType="solid">
        <fgColor rgb="FFA933CD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C741"/>
        <bgColor indexed="64"/>
      </patternFill>
    </fill>
    <fill>
      <patternFill patternType="solid">
        <fgColor rgb="FF60A3B0"/>
        <bgColor indexed="64"/>
      </patternFill>
    </fill>
    <fill>
      <gradientFill degree="90">
        <stop position="0">
          <color rgb="FF92D050"/>
        </stop>
        <stop position="1">
          <color rgb="FFFF0000"/>
        </stop>
      </gradientFill>
    </fill>
    <fill>
      <patternFill patternType="solid">
        <fgColor rgb="FF9DC96D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642CD"/>
        <bgColor indexed="64"/>
      </patternFill>
    </fill>
    <fill>
      <patternFill patternType="solid">
        <fgColor rgb="FF5252CD"/>
        <bgColor indexed="64"/>
      </patternFill>
    </fill>
    <fill>
      <patternFill patternType="solid">
        <fgColor rgb="FFAE61CD"/>
        <bgColor indexed="64"/>
      </patternFill>
    </fill>
    <fill>
      <patternFill patternType="solid">
        <fgColor rgb="FF487BC8"/>
        <bgColor indexed="64"/>
      </patternFill>
    </fill>
    <fill>
      <patternFill patternType="solid">
        <fgColor rgb="FFA40A8B"/>
        <bgColor indexed="64"/>
      </patternFill>
    </fill>
    <fill>
      <patternFill patternType="solid">
        <fgColor rgb="FF52526C"/>
        <bgColor indexed="64"/>
      </patternFill>
    </fill>
    <fill>
      <patternFill patternType="solid">
        <fgColor rgb="FFA43367"/>
        <bgColor indexed="64"/>
      </patternFill>
    </fill>
    <fill>
      <patternFill patternType="solid">
        <fgColor rgb="FFD23367"/>
        <bgColor indexed="64"/>
      </patternFill>
    </fill>
    <fill>
      <patternFill patternType="solid">
        <fgColor rgb="FFE13367"/>
        <bgColor indexed="64"/>
      </patternFill>
    </fill>
    <fill>
      <patternFill patternType="solid">
        <fgColor rgb="FFF13367"/>
        <bgColor indexed="64"/>
      </patternFill>
    </fill>
    <fill>
      <patternFill patternType="solid">
        <fgColor rgb="FF481567"/>
        <bgColor indexed="64"/>
      </patternFill>
    </fill>
    <fill>
      <patternFill patternType="solid">
        <fgColor rgb="FFEC0567"/>
        <bgColor indexed="64"/>
      </patternFill>
    </fill>
    <fill>
      <patternFill patternType="solid">
        <fgColor rgb="FFD7D766"/>
        <bgColor indexed="64"/>
      </patternFill>
    </fill>
    <fill>
      <patternFill patternType="solid">
        <fgColor rgb="FF52EC6B"/>
        <bgColor indexed="64"/>
      </patternFill>
    </fill>
    <fill>
      <patternFill patternType="solid">
        <fgColor rgb="FFA4A48A"/>
        <bgColor indexed="64"/>
      </patternFill>
    </fill>
    <fill>
      <patternFill patternType="solid">
        <fgColor rgb="FFF65CA9"/>
        <bgColor indexed="64"/>
      </patternFill>
    </fill>
    <fill>
      <patternFill patternType="solid">
        <fgColor rgb="FF4815C8"/>
        <bgColor indexed="64"/>
      </patternFill>
    </fill>
    <fill>
      <patternFill patternType="solid">
        <fgColor rgb="FFF633CD"/>
        <bgColor indexed="64"/>
      </patternFill>
    </fill>
    <fill>
      <patternFill patternType="solid">
        <fgColor rgb="FFC833CD"/>
        <bgColor indexed="64"/>
      </patternFill>
    </fill>
    <fill>
      <patternFill patternType="solid">
        <fgColor rgb="FFB833CD"/>
        <bgColor indexed="64"/>
      </patternFill>
    </fill>
    <fill>
      <gradientFill degree="90">
        <stop position="0">
          <color rgb="FFFF0000"/>
        </stop>
        <stop position="1">
          <color rgb="FFFFFF00"/>
        </stop>
      </gradientFill>
    </fill>
    <fill>
      <patternFill patternType="solid">
        <fgColor theme="5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35" fillId="0" borderId="0" applyFont="0" applyFill="0" applyBorder="0" applyAlignment="0" applyProtection="0"/>
  </cellStyleXfs>
  <cellXfs count="746">
    <xf numFmtId="0" fontId="0" fillId="0" borderId="0" xfId="0"/>
    <xf numFmtId="15" fontId="0" fillId="0" borderId="0" xfId="0" applyNumberFormat="1"/>
    <xf numFmtId="8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8" borderId="2" xfId="0" applyFont="1" applyFill="1" applyBorder="1" applyAlignment="1">
      <alignment horizontal="left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17" fontId="1" fillId="8" borderId="8" xfId="0" applyNumberFormat="1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17" fontId="1" fillId="8" borderId="10" xfId="0" applyNumberFormat="1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left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17" fontId="1" fillId="9" borderId="8" xfId="0" applyNumberFormat="1" applyFont="1" applyFill="1" applyBorder="1" applyAlignment="1">
      <alignment horizontal="center"/>
    </xf>
    <xf numFmtId="0" fontId="1" fillId="9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17" fontId="1" fillId="9" borderId="0" xfId="0" applyNumberFormat="1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3" fillId="9" borderId="0" xfId="0" applyFont="1" applyFill="1" applyBorder="1" applyAlignment="1">
      <alignment horizontal="center"/>
    </xf>
    <xf numFmtId="0" fontId="1" fillId="9" borderId="0" xfId="0" applyFont="1" applyFill="1" applyBorder="1" applyAlignment="1">
      <alignment horizontal="left"/>
    </xf>
    <xf numFmtId="0" fontId="1" fillId="9" borderId="8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left"/>
    </xf>
    <xf numFmtId="0" fontId="1" fillId="10" borderId="3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left"/>
    </xf>
    <xf numFmtId="0" fontId="1" fillId="10" borderId="4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17" fontId="1" fillId="10" borderId="8" xfId="0" applyNumberFormat="1" applyFont="1" applyFill="1" applyBorder="1" applyAlignment="1">
      <alignment horizontal="center"/>
    </xf>
    <xf numFmtId="0" fontId="1" fillId="10" borderId="0" xfId="0" applyFont="1" applyFill="1" applyBorder="1" applyAlignment="1">
      <alignment horizontal="center"/>
    </xf>
    <xf numFmtId="17" fontId="1" fillId="10" borderId="0" xfId="0" applyNumberFormat="1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4" fillId="10" borderId="11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/>
    <xf numFmtId="165" fontId="0" fillId="0" borderId="0" xfId="0" applyNumberForma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13" borderId="13" xfId="0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11" fillId="32" borderId="13" xfId="0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2" fillId="33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14" fillId="13" borderId="1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56" borderId="13" xfId="0" applyFont="1" applyFill="1" applyBorder="1" applyAlignment="1">
      <alignment horizontal="center" vertical="center" wrapText="1"/>
    </xf>
    <xf numFmtId="0" fontId="14" fillId="57" borderId="13" xfId="0" applyFont="1" applyFill="1" applyBorder="1" applyAlignment="1">
      <alignment horizontal="center" vertical="center" wrapText="1"/>
    </xf>
    <xf numFmtId="0" fontId="15" fillId="55" borderId="13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15" fillId="57" borderId="13" xfId="0" applyFont="1" applyFill="1" applyBorder="1" applyAlignment="1">
      <alignment horizontal="center" vertical="center" wrapText="1"/>
    </xf>
    <xf numFmtId="0" fontId="14" fillId="57" borderId="19" xfId="0" applyFont="1" applyFill="1" applyBorder="1" applyAlignment="1">
      <alignment horizontal="center" vertical="center" wrapText="1"/>
    </xf>
    <xf numFmtId="0" fontId="15" fillId="67" borderId="13" xfId="0" applyFont="1" applyFill="1" applyBorder="1" applyAlignment="1">
      <alignment horizontal="center" vertical="center" wrapText="1"/>
    </xf>
    <xf numFmtId="0" fontId="11" fillId="4" borderId="1" xfId="0" applyFont="1" applyFill="1" applyBorder="1"/>
    <xf numFmtId="165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 indent="2"/>
    </xf>
    <xf numFmtId="0" fontId="11" fillId="5" borderId="1" xfId="0" applyFont="1" applyFill="1" applyBorder="1" applyAlignment="1">
      <alignment horizontal="center"/>
    </xf>
    <xf numFmtId="165" fontId="11" fillId="5" borderId="1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left" indent="2"/>
    </xf>
    <xf numFmtId="0" fontId="11" fillId="7" borderId="1" xfId="0" applyFont="1" applyFill="1" applyBorder="1" applyAlignment="1">
      <alignment horizontal="center"/>
    </xf>
    <xf numFmtId="165" fontId="11" fillId="7" borderId="1" xfId="0" applyNumberFormat="1" applyFont="1" applyFill="1" applyBorder="1" applyAlignment="1">
      <alignment horizontal="center"/>
    </xf>
    <xf numFmtId="0" fontId="11" fillId="7" borderId="1" xfId="0" applyFont="1" applyFill="1" applyBorder="1" applyAlignment="1">
      <alignment horizontal="left" indent="2"/>
    </xf>
    <xf numFmtId="0" fontId="11" fillId="11" borderId="1" xfId="0" applyFont="1" applyFill="1" applyBorder="1" applyAlignment="1">
      <alignment horizontal="left"/>
    </xf>
    <xf numFmtId="165" fontId="11" fillId="52" borderId="1" xfId="0" applyNumberFormat="1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left" indent="1"/>
    </xf>
    <xf numFmtId="165" fontId="11" fillId="11" borderId="1" xfId="0" applyNumberFormat="1" applyFont="1" applyFill="1" applyBorder="1" applyAlignment="1">
      <alignment horizontal="center"/>
    </xf>
    <xf numFmtId="0" fontId="11" fillId="3" borderId="0" xfId="0" applyFont="1" applyFill="1"/>
    <xf numFmtId="165" fontId="11" fillId="3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left" vertical="center"/>
    </xf>
    <xf numFmtId="165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/>
    </xf>
    <xf numFmtId="165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left"/>
    </xf>
    <xf numFmtId="165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left" indent="2"/>
    </xf>
    <xf numFmtId="165" fontId="11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7" fillId="11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 vertical="center"/>
    </xf>
    <xf numFmtId="165" fontId="17" fillId="2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wrapText="1" indent="1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wrapText="1" indent="3"/>
    </xf>
    <xf numFmtId="0" fontId="11" fillId="3" borderId="1" xfId="0" applyFont="1" applyFill="1" applyBorder="1" applyAlignment="1">
      <alignment horizontal="left" indent="3"/>
    </xf>
    <xf numFmtId="165" fontId="11" fillId="3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 indent="2"/>
    </xf>
    <xf numFmtId="0" fontId="11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 wrapText="1"/>
    </xf>
    <xf numFmtId="165" fontId="11" fillId="11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center" vertical="center"/>
    </xf>
    <xf numFmtId="0" fontId="0" fillId="53" borderId="1" xfId="0" applyFill="1" applyBorder="1"/>
    <xf numFmtId="0" fontId="19" fillId="53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1" fillId="79" borderId="1" xfId="0" applyFont="1" applyFill="1" applyBorder="1" applyAlignment="1">
      <alignment horizontal="left" vertical="center"/>
    </xf>
    <xf numFmtId="0" fontId="7" fillId="79" borderId="1" xfId="0" applyFont="1" applyFill="1" applyBorder="1" applyAlignment="1">
      <alignment horizontal="left" vertical="center"/>
    </xf>
    <xf numFmtId="165" fontId="11" fillId="79" borderId="1" xfId="0" applyNumberFormat="1" applyFont="1" applyFill="1" applyBorder="1" applyAlignment="1">
      <alignment horizontal="center" vertical="center"/>
    </xf>
    <xf numFmtId="0" fontId="11" fillId="79" borderId="1" xfId="0" applyFont="1" applyFill="1" applyBorder="1" applyAlignment="1">
      <alignment horizontal="center"/>
    </xf>
    <xf numFmtId="0" fontId="11" fillId="79" borderId="1" xfId="0" applyFont="1" applyFill="1" applyBorder="1" applyAlignment="1">
      <alignment horizontal="left" vertical="center" wrapText="1" indent="2"/>
    </xf>
    <xf numFmtId="0" fontId="11" fillId="79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11" fillId="79" borderId="1" xfId="0" applyFont="1" applyFill="1" applyBorder="1" applyAlignment="1">
      <alignment horizontal="left" vertical="center" indent="2"/>
    </xf>
    <xf numFmtId="0" fontId="11" fillId="5" borderId="1" xfId="0" applyFont="1" applyFill="1" applyBorder="1" applyAlignment="1">
      <alignment horizontal="left" vertical="center" wrapText="1" indent="3"/>
    </xf>
    <xf numFmtId="0" fontId="11" fillId="3" borderId="1" xfId="0" applyFont="1" applyFill="1" applyBorder="1" applyAlignment="1">
      <alignment horizontal="left" vertical="center" wrapText="1" indent="3"/>
    </xf>
    <xf numFmtId="0" fontId="11" fillId="3" borderId="1" xfId="0" applyFont="1" applyFill="1" applyBorder="1"/>
    <xf numFmtId="0" fontId="20" fillId="0" borderId="0" xfId="0" applyFont="1" applyAlignment="1">
      <alignment horizontal="center" vertical="center" wrapText="1"/>
    </xf>
    <xf numFmtId="0" fontId="20" fillId="13" borderId="13" xfId="0" applyFont="1" applyFill="1" applyBorder="1" applyAlignment="1">
      <alignment horizontal="center" vertical="center"/>
    </xf>
    <xf numFmtId="0" fontId="20" fillId="13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vertical="center"/>
    </xf>
    <xf numFmtId="0" fontId="20" fillId="107" borderId="13" xfId="0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0" fillId="107" borderId="13" xfId="0" applyFont="1" applyFill="1" applyBorder="1" applyAlignment="1">
      <alignment horizontal="center" vertical="center" wrapText="1"/>
    </xf>
    <xf numFmtId="0" fontId="20" fillId="110" borderId="13" xfId="0" applyFont="1" applyFill="1" applyBorder="1" applyAlignment="1">
      <alignment horizontal="center" vertical="center" wrapText="1"/>
    </xf>
    <xf numFmtId="0" fontId="20" fillId="121" borderId="13" xfId="0" applyFont="1" applyFill="1" applyBorder="1" applyAlignment="1">
      <alignment horizontal="center" vertical="center" wrapText="1"/>
    </xf>
    <xf numFmtId="0" fontId="20" fillId="123" borderId="13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22" fillId="13" borderId="13" xfId="0" applyFont="1" applyFill="1" applyBorder="1" applyAlignment="1">
      <alignment horizontal="center" vertical="center" wrapText="1"/>
    </xf>
    <xf numFmtId="0" fontId="22" fillId="106" borderId="13" xfId="0" applyFont="1" applyFill="1" applyBorder="1" applyAlignment="1">
      <alignment horizontal="center" vertical="center" wrapText="1"/>
    </xf>
    <xf numFmtId="0" fontId="22" fillId="107" borderId="13" xfId="0" applyFont="1" applyFill="1" applyBorder="1" applyAlignment="1">
      <alignment horizontal="center" vertical="center" wrapText="1"/>
    </xf>
    <xf numFmtId="0" fontId="22" fillId="108" borderId="13" xfId="0" applyFont="1" applyFill="1" applyBorder="1" applyAlignment="1">
      <alignment horizontal="center" vertical="center" wrapText="1"/>
    </xf>
    <xf numFmtId="0" fontId="22" fillId="109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110" borderId="19" xfId="0" applyFont="1" applyFill="1" applyBorder="1" applyAlignment="1">
      <alignment horizontal="center" vertical="center" wrapText="1"/>
    </xf>
    <xf numFmtId="0" fontId="20" fillId="110" borderId="19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137" borderId="1" xfId="0" applyFont="1" applyFill="1" applyBorder="1" applyAlignment="1">
      <alignment horizontal="center" vertical="center" wrapText="1"/>
    </xf>
    <xf numFmtId="0" fontId="20" fillId="139" borderId="1" xfId="0" applyFont="1" applyFill="1" applyBorder="1" applyAlignment="1">
      <alignment horizontal="center" vertical="center" wrapText="1"/>
    </xf>
    <xf numFmtId="0" fontId="20" fillId="138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6" fillId="80" borderId="13" xfId="0" applyFont="1" applyFill="1" applyBorder="1" applyAlignment="1">
      <alignment horizontal="center" vertical="center" wrapText="1"/>
    </xf>
    <xf numFmtId="0" fontId="25" fillId="13" borderId="13" xfId="0" applyFont="1" applyFill="1" applyBorder="1" applyAlignment="1">
      <alignment horizontal="center" vertical="center" wrapText="1"/>
    </xf>
    <xf numFmtId="0" fontId="25" fillId="82" borderId="13" xfId="0" applyFont="1" applyFill="1" applyBorder="1" applyAlignment="1">
      <alignment horizontal="center" vertical="center" wrapText="1"/>
    </xf>
    <xf numFmtId="0" fontId="25" fillId="84" borderId="13" xfId="0" applyFont="1" applyFill="1" applyBorder="1" applyAlignment="1">
      <alignment horizontal="center" vertical="center" wrapText="1"/>
    </xf>
    <xf numFmtId="0" fontId="25" fillId="94" borderId="13" xfId="0" applyFont="1" applyFill="1" applyBorder="1" applyAlignment="1">
      <alignment horizontal="center" vertical="center" wrapText="1"/>
    </xf>
    <xf numFmtId="0" fontId="25" fillId="96" borderId="13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11" fillId="142" borderId="1" xfId="0" applyFont="1" applyFill="1" applyBorder="1" applyAlignment="1">
      <alignment horizontal="left" vertical="center"/>
    </xf>
    <xf numFmtId="0" fontId="7" fillId="142" borderId="1" xfId="0" applyFont="1" applyFill="1" applyBorder="1" applyAlignment="1">
      <alignment horizontal="left" vertical="center"/>
    </xf>
    <xf numFmtId="165" fontId="11" fillId="142" borderId="1" xfId="0" applyNumberFormat="1" applyFont="1" applyFill="1" applyBorder="1" applyAlignment="1">
      <alignment horizontal="center" vertical="center"/>
    </xf>
    <xf numFmtId="0" fontId="11" fillId="142" borderId="1" xfId="0" applyFont="1" applyFill="1" applyBorder="1" applyAlignment="1">
      <alignment horizontal="center" vertical="center"/>
    </xf>
    <xf numFmtId="0" fontId="11" fillId="142" borderId="1" xfId="0" applyFont="1" applyFill="1" applyBorder="1" applyAlignment="1">
      <alignment horizontal="left" vertical="center" indent="2"/>
    </xf>
    <xf numFmtId="0" fontId="11" fillId="142" borderId="1" xfId="0" applyFont="1" applyFill="1" applyBorder="1" applyAlignment="1">
      <alignment horizontal="left" vertical="center" wrapText="1" indent="2"/>
    </xf>
    <xf numFmtId="0" fontId="19" fillId="5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9" fillId="0" borderId="0" xfId="0" applyFont="1"/>
    <xf numFmtId="0" fontId="29" fillId="0" borderId="1" xfId="0" applyFont="1" applyBorder="1" applyAlignment="1">
      <alignment horizontal="center" vertical="center" wrapText="1"/>
    </xf>
    <xf numFmtId="0" fontId="11" fillId="144" borderId="13" xfId="0" applyFont="1" applyFill="1" applyBorder="1" applyAlignment="1">
      <alignment horizontal="center" vertical="center" wrapText="1"/>
    </xf>
    <xf numFmtId="0" fontId="11" fillId="14" borderId="13" xfId="0" applyFont="1" applyFill="1" applyBorder="1" applyAlignment="1">
      <alignment horizontal="center" vertical="center" wrapText="1"/>
    </xf>
    <xf numFmtId="0" fontId="11" fillId="146" borderId="13" xfId="0" applyFont="1" applyFill="1" applyBorder="1" applyAlignment="1">
      <alignment horizontal="center" vertical="center" wrapText="1"/>
    </xf>
    <xf numFmtId="0" fontId="11" fillId="136" borderId="13" xfId="0" applyFont="1" applyFill="1" applyBorder="1" applyAlignment="1">
      <alignment horizontal="center" vertical="center" wrapText="1"/>
    </xf>
    <xf numFmtId="0" fontId="12" fillId="146" borderId="1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169" borderId="1" xfId="0" applyFont="1" applyFill="1" applyBorder="1" applyAlignment="1">
      <alignment horizontal="center" vertical="center" wrapText="1"/>
    </xf>
    <xf numFmtId="165" fontId="17" fillId="5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11" fillId="2" borderId="1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center" indent="2"/>
    </xf>
    <xf numFmtId="0" fontId="11" fillId="6" borderId="1" xfId="0" applyFont="1" applyFill="1" applyBorder="1" applyAlignment="1">
      <alignment horizontal="center" vertical="center"/>
    </xf>
    <xf numFmtId="165" fontId="14" fillId="0" borderId="0" xfId="0" applyNumberFormat="1" applyFont="1"/>
    <xf numFmtId="165" fontId="22" fillId="4" borderId="1" xfId="0" applyNumberFormat="1" applyFont="1" applyFill="1" applyBorder="1" applyAlignment="1">
      <alignment horizontal="center"/>
    </xf>
    <xf numFmtId="165" fontId="11" fillId="182" borderId="1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wrapText="1"/>
    </xf>
    <xf numFmtId="0" fontId="30" fillId="0" borderId="0" xfId="0" applyFont="1" applyAlignment="1">
      <alignment vertical="center" wrapText="1"/>
    </xf>
    <xf numFmtId="0" fontId="11" fillId="0" borderId="0" xfId="0" applyFont="1"/>
    <xf numFmtId="0" fontId="30" fillId="0" borderId="0" xfId="0" applyFont="1"/>
    <xf numFmtId="9" fontId="0" fillId="0" borderId="0" xfId="1" applyFont="1"/>
    <xf numFmtId="0" fontId="11" fillId="3" borderId="1" xfId="0" applyFont="1" applyFill="1" applyBorder="1" applyAlignment="1">
      <alignment horizontal="center" wrapText="1"/>
    </xf>
    <xf numFmtId="0" fontId="14" fillId="0" borderId="0" xfId="0" applyFont="1"/>
    <xf numFmtId="0" fontId="34" fillId="154" borderId="16" xfId="0" applyFont="1" applyFill="1" applyBorder="1" applyAlignment="1">
      <alignment horizontal="center" vertical="center" wrapText="1"/>
    </xf>
    <xf numFmtId="165" fontId="17" fillId="3" borderId="1" xfId="0" applyNumberFormat="1" applyFont="1" applyFill="1" applyBorder="1" applyAlignment="1">
      <alignment horizontal="center"/>
    </xf>
    <xf numFmtId="165" fontId="17" fillId="142" borderId="1" xfId="0" applyNumberFormat="1" applyFont="1" applyFill="1" applyBorder="1" applyAlignment="1">
      <alignment horizontal="center" vertical="center"/>
    </xf>
    <xf numFmtId="165" fontId="17" fillId="6" borderId="1" xfId="0" applyNumberFormat="1" applyFont="1" applyFill="1" applyBorder="1" applyAlignment="1">
      <alignment horizontal="center" vertical="center"/>
    </xf>
    <xf numFmtId="165" fontId="17" fillId="17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1" fillId="6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23" fillId="5" borderId="1" xfId="0" applyFont="1" applyFill="1" applyBorder="1" applyAlignment="1">
      <alignment horizontal="left" vertical="center" wrapText="1"/>
    </xf>
    <xf numFmtId="0" fontId="0" fillId="82" borderId="13" xfId="0" applyFill="1" applyBorder="1" applyAlignment="1">
      <alignment horizontal="center"/>
    </xf>
    <xf numFmtId="0" fontId="0" fillId="172" borderId="13" xfId="0" applyFill="1" applyBorder="1" applyAlignment="1">
      <alignment horizontal="center"/>
    </xf>
    <xf numFmtId="0" fontId="0" fillId="186" borderId="13" xfId="0" applyFill="1" applyBorder="1" applyAlignment="1">
      <alignment horizontal="center"/>
    </xf>
    <xf numFmtId="0" fontId="0" fillId="185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14" fontId="0" fillId="12" borderId="13" xfId="0" applyNumberFormat="1" applyFill="1" applyBorder="1" applyAlignment="1">
      <alignment horizontal="center"/>
    </xf>
    <xf numFmtId="0" fontId="0" fillId="183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184" borderId="13" xfId="0" applyFill="1" applyBorder="1" applyAlignment="1">
      <alignment horizontal="center"/>
    </xf>
    <xf numFmtId="0" fontId="0" fillId="185" borderId="13" xfId="0" applyFill="1" applyBorder="1" applyAlignment="1">
      <alignment horizontal="center"/>
    </xf>
    <xf numFmtId="0" fontId="0" fillId="186" borderId="13" xfId="0" applyFill="1" applyBorder="1" applyAlignment="1">
      <alignment horizontal="center"/>
    </xf>
    <xf numFmtId="0" fontId="0" fillId="85" borderId="13" xfId="0" applyFill="1" applyBorder="1" applyAlignment="1">
      <alignment horizontal="center"/>
    </xf>
    <xf numFmtId="0" fontId="0" fillId="113" borderId="13" xfId="0" applyFill="1" applyBorder="1" applyAlignment="1">
      <alignment horizontal="center"/>
    </xf>
    <xf numFmtId="0" fontId="0" fillId="185" borderId="16" xfId="0" applyFill="1" applyBorder="1" applyAlignment="1">
      <alignment horizontal="center"/>
    </xf>
    <xf numFmtId="0" fontId="0" fillId="185" borderId="17" xfId="0" applyFill="1" applyBorder="1" applyAlignment="1">
      <alignment horizontal="center"/>
    </xf>
    <xf numFmtId="0" fontId="0" fillId="185" borderId="14" xfId="0" applyFill="1" applyBorder="1" applyAlignment="1">
      <alignment horizontal="center"/>
    </xf>
    <xf numFmtId="0" fontId="0" fillId="109" borderId="13" xfId="0" applyFill="1" applyBorder="1" applyAlignment="1">
      <alignment horizontal="center"/>
    </xf>
    <xf numFmtId="0" fontId="0" fillId="171" borderId="13" xfId="0" applyFill="1" applyBorder="1" applyAlignment="1">
      <alignment horizontal="center"/>
    </xf>
    <xf numFmtId="0" fontId="0" fillId="82" borderId="13" xfId="0" applyFill="1" applyBorder="1" applyAlignment="1">
      <alignment horizontal="center"/>
    </xf>
    <xf numFmtId="0" fontId="0" fillId="187" borderId="13" xfId="0" applyFill="1" applyBorder="1" applyAlignment="1">
      <alignment horizontal="center"/>
    </xf>
    <xf numFmtId="0" fontId="0" fillId="88" borderId="13" xfId="0" applyFill="1" applyBorder="1" applyAlignment="1">
      <alignment horizontal="center"/>
    </xf>
    <xf numFmtId="0" fontId="0" fillId="172" borderId="13" xfId="0" applyFill="1" applyBorder="1" applyAlignment="1">
      <alignment horizontal="center"/>
    </xf>
    <xf numFmtId="0" fontId="0" fillId="195" borderId="13" xfId="0" applyFill="1" applyBorder="1" applyAlignment="1">
      <alignment horizontal="center"/>
    </xf>
    <xf numFmtId="0" fontId="0" fillId="54" borderId="18" xfId="0" applyFill="1" applyBorder="1" applyAlignment="1">
      <alignment horizontal="center"/>
    </xf>
    <xf numFmtId="0" fontId="0" fillId="54" borderId="0" xfId="0" applyFill="1" applyBorder="1" applyAlignment="1">
      <alignment horizontal="center"/>
    </xf>
    <xf numFmtId="0" fontId="0" fillId="54" borderId="13" xfId="0" applyFill="1" applyBorder="1" applyAlignment="1">
      <alignment horizontal="center"/>
    </xf>
    <xf numFmtId="0" fontId="0" fillId="173" borderId="13" xfId="0" applyFill="1" applyBorder="1" applyAlignment="1">
      <alignment horizontal="center"/>
    </xf>
    <xf numFmtId="0" fontId="0" fillId="193" borderId="13" xfId="0" applyFill="1" applyBorder="1" applyAlignment="1">
      <alignment horizontal="center"/>
    </xf>
    <xf numFmtId="0" fontId="0" fillId="194" borderId="13" xfId="0" applyFill="1" applyBorder="1" applyAlignment="1">
      <alignment horizontal="center"/>
    </xf>
    <xf numFmtId="0" fontId="0" fillId="189" borderId="13" xfId="0" applyFill="1" applyBorder="1" applyAlignment="1">
      <alignment horizontal="center"/>
    </xf>
    <xf numFmtId="0" fontId="0" fillId="91" borderId="13" xfId="0" applyFill="1" applyBorder="1" applyAlignment="1">
      <alignment horizontal="center"/>
    </xf>
    <xf numFmtId="0" fontId="0" fillId="190" borderId="13" xfId="0" applyFill="1" applyBorder="1" applyAlignment="1">
      <alignment horizontal="center"/>
    </xf>
    <xf numFmtId="0" fontId="0" fillId="191" borderId="13" xfId="0" applyFill="1" applyBorder="1" applyAlignment="1">
      <alignment horizontal="center"/>
    </xf>
    <xf numFmtId="0" fontId="0" fillId="192" borderId="13" xfId="0" applyFill="1" applyBorder="1" applyAlignment="1">
      <alignment horizontal="center"/>
    </xf>
    <xf numFmtId="0" fontId="0" fillId="188" borderId="13" xfId="0" applyFill="1" applyBorder="1" applyAlignment="1">
      <alignment horizontal="center"/>
    </xf>
    <xf numFmtId="0" fontId="0" fillId="117" borderId="13" xfId="0" applyFill="1" applyBorder="1" applyAlignment="1">
      <alignment horizontal="center"/>
    </xf>
    <xf numFmtId="0" fontId="0" fillId="198" borderId="13" xfId="0" applyFill="1" applyBorder="1" applyAlignment="1">
      <alignment horizontal="center"/>
    </xf>
    <xf numFmtId="0" fontId="0" fillId="197" borderId="13" xfId="0" applyFill="1" applyBorder="1" applyAlignment="1">
      <alignment horizontal="center"/>
    </xf>
    <xf numFmtId="0" fontId="0" fillId="128" borderId="13" xfId="0" applyFill="1" applyBorder="1" applyAlignment="1">
      <alignment horizontal="center"/>
    </xf>
    <xf numFmtId="0" fontId="0" fillId="196" borderId="13" xfId="0" applyFill="1" applyBorder="1" applyAlignment="1">
      <alignment horizontal="center"/>
    </xf>
    <xf numFmtId="0" fontId="0" fillId="96" borderId="13" xfId="0" applyFill="1" applyBorder="1" applyAlignment="1">
      <alignment horizontal="center"/>
    </xf>
    <xf numFmtId="0" fontId="0" fillId="124" borderId="13" xfId="0" applyFill="1" applyBorder="1" applyAlignment="1">
      <alignment horizontal="center"/>
    </xf>
    <xf numFmtId="0" fontId="0" fillId="199" borderId="13" xfId="0" applyFill="1" applyBorder="1" applyAlignment="1">
      <alignment horizontal="center"/>
    </xf>
    <xf numFmtId="0" fontId="0" fillId="101" borderId="13" xfId="0" applyFill="1" applyBorder="1" applyAlignment="1">
      <alignment horizontal="center"/>
    </xf>
    <xf numFmtId="0" fontId="0" fillId="132" borderId="13" xfId="0" applyFill="1" applyBorder="1" applyAlignment="1">
      <alignment horizontal="center"/>
    </xf>
    <xf numFmtId="0" fontId="0" fillId="200" borderId="13" xfId="0" applyFill="1" applyBorder="1" applyAlignment="1">
      <alignment horizontal="center"/>
    </xf>
    <xf numFmtId="0" fontId="0" fillId="202" borderId="13" xfId="0" applyFill="1" applyBorder="1" applyAlignment="1">
      <alignment horizontal="center"/>
    </xf>
    <xf numFmtId="0" fontId="0" fillId="174" borderId="13" xfId="0" applyFill="1" applyBorder="1" applyAlignment="1">
      <alignment horizontal="center"/>
    </xf>
    <xf numFmtId="0" fontId="0" fillId="104" borderId="13" xfId="0" applyFill="1" applyBorder="1" applyAlignment="1">
      <alignment horizontal="center"/>
    </xf>
    <xf numFmtId="0" fontId="0" fillId="201" borderId="13" xfId="0" applyFill="1" applyBorder="1" applyAlignment="1">
      <alignment horizontal="center"/>
    </xf>
    <xf numFmtId="14" fontId="29" fillId="12" borderId="13" xfId="0" applyNumberFormat="1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22" fillId="180" borderId="8" xfId="0" applyFont="1" applyFill="1" applyBorder="1" applyAlignment="1">
      <alignment horizontal="center" vertical="center" wrapText="1"/>
    </xf>
    <xf numFmtId="0" fontId="22" fillId="180" borderId="0" xfId="0" applyFont="1" applyFill="1" applyBorder="1" applyAlignment="1">
      <alignment horizontal="center" vertical="center" wrapText="1"/>
    </xf>
    <xf numFmtId="0" fontId="22" fillId="180" borderId="39" xfId="0" applyFont="1" applyFill="1" applyBorder="1" applyAlignment="1">
      <alignment horizontal="center" vertical="center" wrapText="1"/>
    </xf>
    <xf numFmtId="0" fontId="12" fillId="204" borderId="20" xfId="0" applyFont="1" applyFill="1" applyBorder="1" applyAlignment="1">
      <alignment horizontal="center" vertical="center" wrapText="1"/>
    </xf>
    <xf numFmtId="0" fontId="12" fillId="204" borderId="21" xfId="0" applyFont="1" applyFill="1" applyBorder="1" applyAlignment="1">
      <alignment horizontal="center" vertical="center" wrapText="1"/>
    </xf>
    <xf numFmtId="0" fontId="12" fillId="204" borderId="23" xfId="0" applyFont="1" applyFill="1" applyBorder="1" applyAlignment="1">
      <alignment horizontal="center" vertical="center" wrapText="1"/>
    </xf>
    <xf numFmtId="0" fontId="31" fillId="185" borderId="13" xfId="0" applyFont="1" applyFill="1" applyBorder="1" applyAlignment="1">
      <alignment horizontal="center" vertical="center"/>
    </xf>
    <xf numFmtId="0" fontId="32" fillId="185" borderId="13" xfId="0" applyFont="1" applyFill="1" applyBorder="1" applyAlignment="1">
      <alignment horizontal="center" vertical="center" wrapText="1"/>
    </xf>
    <xf numFmtId="0" fontId="9" fillId="185" borderId="13" xfId="0" applyFont="1" applyFill="1" applyBorder="1" applyAlignment="1">
      <alignment horizontal="center" vertical="center"/>
    </xf>
    <xf numFmtId="0" fontId="9" fillId="185" borderId="16" xfId="0" applyFont="1" applyFill="1" applyBorder="1" applyAlignment="1">
      <alignment horizontal="center" vertical="center"/>
    </xf>
    <xf numFmtId="0" fontId="9" fillId="185" borderId="17" xfId="0" applyFont="1" applyFill="1" applyBorder="1" applyAlignment="1">
      <alignment horizontal="center" vertical="center"/>
    </xf>
    <xf numFmtId="0" fontId="9" fillId="185" borderId="14" xfId="0" applyFont="1" applyFill="1" applyBorder="1" applyAlignment="1">
      <alignment horizontal="center" vertical="center"/>
    </xf>
    <xf numFmtId="0" fontId="31" fillId="157" borderId="24" xfId="0" applyFont="1" applyFill="1" applyBorder="1" applyAlignment="1">
      <alignment horizontal="center" vertical="center" wrapText="1"/>
    </xf>
    <xf numFmtId="0" fontId="31" fillId="157" borderId="25" xfId="0" applyFont="1" applyFill="1" applyBorder="1" applyAlignment="1">
      <alignment horizontal="center" vertical="center" wrapText="1"/>
    </xf>
    <xf numFmtId="0" fontId="31" fillId="157" borderId="17" xfId="0" applyFont="1" applyFill="1" applyBorder="1" applyAlignment="1">
      <alignment horizontal="center" vertical="center" wrapText="1"/>
    </xf>
    <xf numFmtId="0" fontId="22" fillId="180" borderId="20" xfId="0" applyFont="1" applyFill="1" applyBorder="1" applyAlignment="1">
      <alignment horizontal="center" vertical="center" wrapText="1"/>
    </xf>
    <xf numFmtId="0" fontId="22" fillId="180" borderId="21" xfId="0" applyFont="1" applyFill="1" applyBorder="1" applyAlignment="1">
      <alignment horizontal="center" vertical="center" wrapText="1"/>
    </xf>
    <xf numFmtId="0" fontId="22" fillId="180" borderId="23" xfId="0" applyFont="1" applyFill="1" applyBorder="1" applyAlignment="1">
      <alignment horizontal="center" vertical="center" wrapText="1"/>
    </xf>
    <xf numFmtId="0" fontId="22" fillId="143" borderId="21" xfId="0" applyFont="1" applyFill="1" applyBorder="1" applyAlignment="1">
      <alignment horizontal="center" vertical="center" wrapText="1"/>
    </xf>
    <xf numFmtId="0" fontId="22" fillId="143" borderId="23" xfId="0" applyFont="1" applyFill="1" applyBorder="1" applyAlignment="1">
      <alignment horizontal="center" vertical="center" wrapText="1"/>
    </xf>
    <xf numFmtId="0" fontId="22" fillId="156" borderId="20" xfId="0" applyFont="1" applyFill="1" applyBorder="1" applyAlignment="1">
      <alignment horizontal="center" vertical="center" wrapText="1"/>
    </xf>
    <xf numFmtId="0" fontId="22" fillId="156" borderId="21" xfId="0" applyFont="1" applyFill="1" applyBorder="1" applyAlignment="1">
      <alignment horizontal="center" vertical="center" wrapText="1"/>
    </xf>
    <xf numFmtId="0" fontId="22" fillId="156" borderId="23" xfId="0" applyFont="1" applyFill="1" applyBorder="1" applyAlignment="1">
      <alignment horizontal="center" vertical="center" wrapText="1"/>
    </xf>
    <xf numFmtId="0" fontId="22" fillId="168" borderId="20" xfId="0" applyFont="1" applyFill="1" applyBorder="1" applyAlignment="1">
      <alignment horizontal="center" vertical="center" wrapText="1"/>
    </xf>
    <xf numFmtId="0" fontId="22" fillId="168" borderId="21" xfId="0" applyFont="1" applyFill="1" applyBorder="1" applyAlignment="1">
      <alignment horizontal="center" vertical="center" wrapText="1"/>
    </xf>
    <xf numFmtId="0" fontId="22" fillId="168" borderId="23" xfId="0" applyFont="1" applyFill="1" applyBorder="1" applyAlignment="1">
      <alignment horizontal="center" vertical="center" wrapText="1"/>
    </xf>
    <xf numFmtId="0" fontId="22" fillId="179" borderId="35" xfId="0" applyFont="1" applyFill="1" applyBorder="1" applyAlignment="1">
      <alignment horizontal="center" vertical="center" wrapText="1"/>
    </xf>
    <xf numFmtId="0" fontId="22" fillId="179" borderId="36" xfId="0" applyFont="1" applyFill="1" applyBorder="1" applyAlignment="1">
      <alignment horizontal="center" vertical="center" wrapText="1"/>
    </xf>
    <xf numFmtId="0" fontId="22" fillId="179" borderId="38" xfId="0" applyFont="1" applyFill="1" applyBorder="1" applyAlignment="1">
      <alignment horizontal="center" vertical="center" wrapText="1"/>
    </xf>
    <xf numFmtId="0" fontId="22" fillId="156" borderId="10" xfId="0" applyFont="1" applyFill="1" applyBorder="1" applyAlignment="1">
      <alignment horizontal="center" vertical="center" wrapText="1"/>
    </xf>
    <xf numFmtId="0" fontId="22" fillId="156" borderId="11" xfId="0" applyFont="1" applyFill="1" applyBorder="1" applyAlignment="1">
      <alignment horizontal="center" vertical="center" wrapText="1"/>
    </xf>
    <xf numFmtId="0" fontId="22" fillId="176" borderId="17" xfId="0" applyFont="1" applyFill="1" applyBorder="1" applyAlignment="1">
      <alignment horizontal="center" vertical="center" wrapText="1"/>
    </xf>
    <xf numFmtId="0" fontId="22" fillId="176" borderId="14" xfId="0" applyFont="1" applyFill="1" applyBorder="1" applyAlignment="1">
      <alignment horizontal="center" vertical="center" wrapText="1"/>
    </xf>
    <xf numFmtId="0" fontId="22" fillId="163" borderId="16" xfId="0" applyFont="1" applyFill="1" applyBorder="1" applyAlignment="1">
      <alignment horizontal="center" vertical="center" wrapText="1"/>
    </xf>
    <xf numFmtId="0" fontId="22" fillId="163" borderId="17" xfId="0" applyFont="1" applyFill="1" applyBorder="1" applyAlignment="1">
      <alignment horizontal="center" vertical="center" wrapText="1"/>
    </xf>
    <xf numFmtId="0" fontId="22" fillId="163" borderId="14" xfId="0" applyFont="1" applyFill="1" applyBorder="1" applyAlignment="1">
      <alignment horizontal="center" vertical="center" wrapText="1"/>
    </xf>
    <xf numFmtId="0" fontId="22" fillId="143" borderId="16" xfId="0" applyFont="1" applyFill="1" applyBorder="1" applyAlignment="1">
      <alignment horizontal="center" vertical="center" wrapText="1"/>
    </xf>
    <xf numFmtId="0" fontId="22" fillId="143" borderId="17" xfId="0" applyFont="1" applyFill="1" applyBorder="1" applyAlignment="1">
      <alignment horizontal="center" vertical="center" wrapText="1"/>
    </xf>
    <xf numFmtId="0" fontId="22" fillId="143" borderId="14" xfId="0" applyFont="1" applyFill="1" applyBorder="1" applyAlignment="1">
      <alignment horizontal="center" vertical="center" wrapText="1"/>
    </xf>
    <xf numFmtId="0" fontId="22" fillId="156" borderId="24" xfId="0" applyFont="1" applyFill="1" applyBorder="1" applyAlignment="1">
      <alignment horizontal="center" vertical="center" wrapText="1"/>
    </xf>
    <xf numFmtId="0" fontId="22" fillId="156" borderId="25" xfId="0" applyFont="1" applyFill="1" applyBorder="1" applyAlignment="1">
      <alignment horizontal="center" vertical="center" wrapText="1"/>
    </xf>
    <xf numFmtId="0" fontId="22" fillId="156" borderId="29" xfId="0" applyFont="1" applyFill="1" applyBorder="1" applyAlignment="1">
      <alignment horizontal="center" vertical="center" wrapText="1"/>
    </xf>
    <xf numFmtId="0" fontId="22" fillId="178" borderId="13" xfId="0" applyFont="1" applyFill="1" applyBorder="1" applyAlignment="1">
      <alignment horizontal="center" vertical="center" wrapText="1"/>
    </xf>
    <xf numFmtId="0" fontId="15" fillId="171" borderId="20" xfId="0" applyFont="1" applyFill="1" applyBorder="1" applyAlignment="1">
      <alignment horizontal="center" vertical="center" wrapText="1"/>
    </xf>
    <xf numFmtId="0" fontId="15" fillId="171" borderId="21" xfId="0" applyFont="1" applyFill="1" applyBorder="1" applyAlignment="1">
      <alignment horizontal="center" vertical="center" wrapText="1"/>
    </xf>
    <xf numFmtId="0" fontId="15" fillId="171" borderId="23" xfId="0" applyFont="1" applyFill="1" applyBorder="1" applyAlignment="1">
      <alignment horizontal="center" vertical="center" wrapText="1"/>
    </xf>
    <xf numFmtId="0" fontId="32" fillId="171" borderId="20" xfId="0" applyFont="1" applyFill="1" applyBorder="1" applyAlignment="1">
      <alignment horizontal="center" vertical="center" wrapText="1"/>
    </xf>
    <xf numFmtId="0" fontId="32" fillId="171" borderId="21" xfId="0" applyFont="1" applyFill="1" applyBorder="1" applyAlignment="1">
      <alignment horizontal="center" vertical="center" wrapText="1"/>
    </xf>
    <xf numFmtId="0" fontId="32" fillId="171" borderId="23" xfId="0" applyFont="1" applyFill="1" applyBorder="1" applyAlignment="1">
      <alignment horizontal="center" vertical="center" wrapText="1"/>
    </xf>
    <xf numFmtId="0" fontId="32" fillId="204" borderId="20" xfId="0" applyFont="1" applyFill="1" applyBorder="1" applyAlignment="1">
      <alignment horizontal="center" vertical="center" wrapText="1"/>
    </xf>
    <xf numFmtId="0" fontId="32" fillId="204" borderId="21" xfId="0" applyFont="1" applyFill="1" applyBorder="1" applyAlignment="1">
      <alignment horizontal="center" vertical="center" wrapText="1"/>
    </xf>
    <xf numFmtId="0" fontId="32" fillId="204" borderId="23" xfId="0" applyFont="1" applyFill="1" applyBorder="1" applyAlignment="1">
      <alignment horizontal="center" vertical="center" wrapText="1"/>
    </xf>
    <xf numFmtId="0" fontId="22" fillId="180" borderId="16" xfId="0" applyFont="1" applyFill="1" applyBorder="1" applyAlignment="1">
      <alignment horizontal="center" vertical="center" wrapText="1"/>
    </xf>
    <xf numFmtId="0" fontId="22" fillId="180" borderId="17" xfId="0" applyFont="1" applyFill="1" applyBorder="1" applyAlignment="1">
      <alignment horizontal="center" vertical="center" wrapText="1"/>
    </xf>
    <xf numFmtId="0" fontId="22" fillId="162" borderId="20" xfId="0" applyFont="1" applyFill="1" applyBorder="1" applyAlignment="1">
      <alignment horizontal="center" vertical="center"/>
    </xf>
    <xf numFmtId="0" fontId="22" fillId="162" borderId="21" xfId="0" applyFont="1" applyFill="1" applyBorder="1" applyAlignment="1">
      <alignment horizontal="center" vertical="center"/>
    </xf>
    <xf numFmtId="0" fontId="22" fillId="162" borderId="23" xfId="0" applyFont="1" applyFill="1" applyBorder="1" applyAlignment="1">
      <alignment horizontal="center" vertical="center"/>
    </xf>
    <xf numFmtId="0" fontId="22" fillId="143" borderId="2" xfId="0" applyFont="1" applyFill="1" applyBorder="1" applyAlignment="1">
      <alignment horizontal="center" vertical="center" wrapText="1"/>
    </xf>
    <xf numFmtId="0" fontId="22" fillId="143" borderId="3" xfId="0" applyFont="1" applyFill="1" applyBorder="1" applyAlignment="1">
      <alignment horizontal="center" vertical="center" wrapText="1"/>
    </xf>
    <xf numFmtId="0" fontId="22" fillId="143" borderId="4" xfId="0" applyFont="1" applyFill="1" applyBorder="1" applyAlignment="1">
      <alignment horizontal="center" vertical="center" wrapText="1"/>
    </xf>
    <xf numFmtId="0" fontId="22" fillId="163" borderId="2" xfId="0" applyFont="1" applyFill="1" applyBorder="1" applyAlignment="1">
      <alignment horizontal="center" vertical="center" wrapText="1"/>
    </xf>
    <xf numFmtId="0" fontId="22" fillId="163" borderId="3" xfId="0" applyFont="1" applyFill="1" applyBorder="1" applyAlignment="1">
      <alignment horizontal="center" vertical="center" wrapText="1"/>
    </xf>
    <xf numFmtId="0" fontId="22" fillId="163" borderId="4" xfId="0" applyFont="1" applyFill="1" applyBorder="1" applyAlignment="1">
      <alignment horizontal="center" vertical="center" wrapText="1"/>
    </xf>
    <xf numFmtId="0" fontId="22" fillId="156" borderId="2" xfId="0" applyFont="1" applyFill="1" applyBorder="1" applyAlignment="1">
      <alignment horizontal="center" vertical="center"/>
    </xf>
    <xf numFmtId="0" fontId="22" fillId="156" borderId="3" xfId="0" applyFont="1" applyFill="1" applyBorder="1" applyAlignment="1">
      <alignment horizontal="center" vertical="center"/>
    </xf>
    <xf numFmtId="0" fontId="22" fillId="156" borderId="4" xfId="0" applyFont="1" applyFill="1" applyBorder="1" applyAlignment="1">
      <alignment horizontal="center" vertical="center"/>
    </xf>
    <xf numFmtId="0" fontId="22" fillId="162" borderId="16" xfId="0" applyFont="1" applyFill="1" applyBorder="1" applyAlignment="1">
      <alignment horizontal="center" vertical="center"/>
    </xf>
    <xf numFmtId="0" fontId="22" fillId="162" borderId="17" xfId="0" applyFont="1" applyFill="1" applyBorder="1" applyAlignment="1">
      <alignment horizontal="center" vertical="center"/>
    </xf>
    <xf numFmtId="0" fontId="22" fillId="162" borderId="14" xfId="0" applyFont="1" applyFill="1" applyBorder="1" applyAlignment="1">
      <alignment horizontal="center" vertical="center"/>
    </xf>
    <xf numFmtId="0" fontId="36" fillId="140" borderId="19" xfId="0" applyFont="1" applyFill="1" applyBorder="1" applyAlignment="1">
      <alignment horizontal="center" vertical="center"/>
    </xf>
    <xf numFmtId="0" fontId="36" fillId="140" borderId="13" xfId="0" applyFont="1" applyFill="1" applyBorder="1" applyAlignment="1">
      <alignment horizontal="center" vertical="center"/>
    </xf>
    <xf numFmtId="0" fontId="8" fillId="173" borderId="16" xfId="0" applyFont="1" applyFill="1" applyBorder="1" applyAlignment="1">
      <alignment horizontal="center" vertical="center"/>
    </xf>
    <xf numFmtId="0" fontId="8" fillId="173" borderId="17" xfId="0" applyFont="1" applyFill="1" applyBorder="1" applyAlignment="1">
      <alignment horizontal="center" vertical="center"/>
    </xf>
    <xf numFmtId="0" fontId="22" fillId="167" borderId="16" xfId="0" applyFont="1" applyFill="1" applyBorder="1" applyAlignment="1">
      <alignment horizontal="center" vertical="center"/>
    </xf>
    <xf numFmtId="0" fontId="22" fillId="167" borderId="17" xfId="0" applyFont="1" applyFill="1" applyBorder="1" applyAlignment="1">
      <alignment horizontal="center" vertical="center"/>
    </xf>
    <xf numFmtId="0" fontId="22" fillId="167" borderId="14" xfId="0" applyFont="1" applyFill="1" applyBorder="1" applyAlignment="1">
      <alignment horizontal="center" vertical="center"/>
    </xf>
    <xf numFmtId="0" fontId="22" fillId="84" borderId="16" xfId="0" applyFont="1" applyFill="1" applyBorder="1" applyAlignment="1">
      <alignment horizontal="center" vertical="center" wrapText="1"/>
    </xf>
    <xf numFmtId="0" fontId="22" fillId="84" borderId="17" xfId="0" applyFont="1" applyFill="1" applyBorder="1" applyAlignment="1">
      <alignment horizontal="center" vertical="center" wrapText="1"/>
    </xf>
    <xf numFmtId="0" fontId="22" fillId="168" borderId="30" xfId="0" applyFont="1" applyFill="1" applyBorder="1" applyAlignment="1">
      <alignment horizontal="center" vertical="center" wrapText="1"/>
    </xf>
    <xf numFmtId="0" fontId="22" fillId="168" borderId="31" xfId="0" applyFont="1" applyFill="1" applyBorder="1" applyAlignment="1">
      <alignment horizontal="center" vertical="center" wrapText="1"/>
    </xf>
    <xf numFmtId="0" fontId="22" fillId="156" borderId="16" xfId="0" applyFont="1" applyFill="1" applyBorder="1" applyAlignment="1">
      <alignment horizontal="center" vertical="center" wrapText="1"/>
    </xf>
    <xf numFmtId="0" fontId="22" fillId="156" borderId="17" xfId="0" applyFont="1" applyFill="1" applyBorder="1" applyAlignment="1">
      <alignment horizontal="center" vertical="center" wrapText="1"/>
    </xf>
    <xf numFmtId="0" fontId="22" fillId="156" borderId="14" xfId="0" applyFont="1" applyFill="1" applyBorder="1" applyAlignment="1">
      <alignment horizontal="center" vertical="center" wrapText="1"/>
    </xf>
    <xf numFmtId="0" fontId="31" fillId="175" borderId="16" xfId="0" applyFont="1" applyFill="1" applyBorder="1" applyAlignment="1">
      <alignment horizontal="center" vertical="center" wrapText="1"/>
    </xf>
    <xf numFmtId="0" fontId="31" fillId="175" borderId="17" xfId="0" applyFont="1" applyFill="1" applyBorder="1" applyAlignment="1">
      <alignment horizontal="center" vertical="center" wrapText="1"/>
    </xf>
    <xf numFmtId="0" fontId="22" fillId="168" borderId="32" xfId="0" applyFont="1" applyFill="1" applyBorder="1" applyAlignment="1">
      <alignment horizontal="center" vertical="center" wrapText="1"/>
    </xf>
    <xf numFmtId="0" fontId="22" fillId="168" borderId="22" xfId="0" applyFont="1" applyFill="1" applyBorder="1" applyAlignment="1">
      <alignment horizontal="center" vertical="center" wrapText="1"/>
    </xf>
    <xf numFmtId="0" fontId="22" fillId="88" borderId="16" xfId="0" applyFont="1" applyFill="1" applyBorder="1" applyAlignment="1">
      <alignment horizontal="center" vertical="center" wrapText="1"/>
    </xf>
    <xf numFmtId="0" fontId="22" fillId="88" borderId="25" xfId="0" applyFont="1" applyFill="1" applyBorder="1" applyAlignment="1">
      <alignment horizontal="center" vertical="center" wrapText="1"/>
    </xf>
    <xf numFmtId="0" fontId="22" fillId="88" borderId="17" xfId="0" applyFont="1" applyFill="1" applyBorder="1" applyAlignment="1">
      <alignment horizontal="center" vertical="center" wrapText="1"/>
    </xf>
    <xf numFmtId="0" fontId="22" fillId="143" borderId="20" xfId="0" applyFont="1" applyFill="1" applyBorder="1" applyAlignment="1">
      <alignment horizontal="center" vertical="center" wrapText="1"/>
    </xf>
    <xf numFmtId="0" fontId="22" fillId="176" borderId="20" xfId="0" applyFont="1" applyFill="1" applyBorder="1" applyAlignment="1">
      <alignment horizontal="center" vertical="center" wrapText="1"/>
    </xf>
    <xf numFmtId="0" fontId="22" fillId="176" borderId="21" xfId="0" applyFont="1" applyFill="1" applyBorder="1" applyAlignment="1">
      <alignment horizontal="center" vertical="center" wrapText="1"/>
    </xf>
    <xf numFmtId="0" fontId="22" fillId="176" borderId="4" xfId="0" applyFont="1" applyFill="1" applyBorder="1" applyAlignment="1">
      <alignment horizontal="center" vertical="center" wrapText="1"/>
    </xf>
    <xf numFmtId="0" fontId="31" fillId="161" borderId="24" xfId="0" applyFont="1" applyFill="1" applyBorder="1" applyAlignment="1">
      <alignment horizontal="center" vertical="center" wrapText="1"/>
    </xf>
    <xf numFmtId="0" fontId="31" fillId="161" borderId="25" xfId="0" applyFont="1" applyFill="1" applyBorder="1" applyAlignment="1">
      <alignment horizontal="center" vertical="center" wrapText="1"/>
    </xf>
    <xf numFmtId="0" fontId="31" fillId="161" borderId="29" xfId="0" applyFont="1" applyFill="1" applyBorder="1" applyAlignment="1">
      <alignment horizontal="center" vertical="center" wrapText="1"/>
    </xf>
    <xf numFmtId="0" fontId="22" fillId="173" borderId="16" xfId="0" applyFont="1" applyFill="1" applyBorder="1" applyAlignment="1">
      <alignment horizontal="center" vertical="center" wrapText="1"/>
    </xf>
    <xf numFmtId="0" fontId="22" fillId="173" borderId="17" xfId="0" applyFont="1" applyFill="1" applyBorder="1" applyAlignment="1">
      <alignment horizontal="center" vertical="center" wrapText="1"/>
    </xf>
    <xf numFmtId="0" fontId="22" fillId="173" borderId="14" xfId="0" applyFont="1" applyFill="1" applyBorder="1" applyAlignment="1">
      <alignment horizontal="center" vertical="center" wrapText="1"/>
    </xf>
    <xf numFmtId="0" fontId="22" fillId="19" borderId="16" xfId="0" applyFont="1" applyFill="1" applyBorder="1" applyAlignment="1">
      <alignment horizontal="center" vertical="center" wrapText="1"/>
    </xf>
    <xf numFmtId="0" fontId="22" fillId="19" borderId="17" xfId="0" applyFont="1" applyFill="1" applyBorder="1" applyAlignment="1">
      <alignment horizontal="center" vertical="center" wrapText="1"/>
    </xf>
    <xf numFmtId="0" fontId="22" fillId="19" borderId="14" xfId="0" applyFont="1" applyFill="1" applyBorder="1" applyAlignment="1">
      <alignment horizontal="center" vertical="center" wrapText="1"/>
    </xf>
    <xf numFmtId="0" fontId="31" fillId="175" borderId="14" xfId="0" applyFont="1" applyFill="1" applyBorder="1" applyAlignment="1">
      <alignment horizontal="center" vertical="center" wrapText="1"/>
    </xf>
    <xf numFmtId="0" fontId="22" fillId="151" borderId="16" xfId="0" applyFont="1" applyFill="1" applyBorder="1" applyAlignment="1">
      <alignment horizontal="center" vertical="center" wrapText="1"/>
    </xf>
    <xf numFmtId="0" fontId="22" fillId="151" borderId="17" xfId="0" applyFont="1" applyFill="1" applyBorder="1" applyAlignment="1">
      <alignment horizontal="center" vertical="center" wrapText="1"/>
    </xf>
    <xf numFmtId="0" fontId="22" fillId="151" borderId="14" xfId="0" applyFont="1" applyFill="1" applyBorder="1" applyAlignment="1">
      <alignment horizontal="center" vertical="center" wrapText="1"/>
    </xf>
    <xf numFmtId="0" fontId="22" fillId="168" borderId="12" xfId="0" applyFont="1" applyFill="1" applyBorder="1" applyAlignment="1">
      <alignment horizontal="center" vertical="center" wrapText="1"/>
    </xf>
    <xf numFmtId="14" fontId="29" fillId="12" borderId="19" xfId="0" applyNumberFormat="1" applyFont="1" applyFill="1" applyBorder="1" applyAlignment="1">
      <alignment horizontal="center" vertical="center" wrapText="1"/>
    </xf>
    <xf numFmtId="0" fontId="22" fillId="151" borderId="20" xfId="0" applyFont="1" applyFill="1" applyBorder="1" applyAlignment="1">
      <alignment horizontal="center" vertical="center" wrapText="1"/>
    </xf>
    <xf numFmtId="0" fontId="22" fillId="151" borderId="21" xfId="0" applyFont="1" applyFill="1" applyBorder="1" applyAlignment="1">
      <alignment horizontal="center" vertical="center" wrapText="1"/>
    </xf>
    <xf numFmtId="0" fontId="22" fillId="151" borderId="23" xfId="0" applyFont="1" applyFill="1" applyBorder="1" applyAlignment="1">
      <alignment horizontal="center" vertical="center" wrapText="1"/>
    </xf>
    <xf numFmtId="14" fontId="29" fillId="12" borderId="14" xfId="0" applyNumberFormat="1" applyFont="1" applyFill="1" applyBorder="1" applyAlignment="1">
      <alignment horizontal="center" vertical="center" wrapText="1"/>
    </xf>
    <xf numFmtId="0" fontId="32" fillId="109" borderId="0" xfId="0" applyFont="1" applyFill="1" applyBorder="1" applyAlignment="1">
      <alignment horizontal="center" vertical="center" wrapText="1"/>
    </xf>
    <xf numFmtId="0" fontId="32" fillId="109" borderId="20" xfId="0" applyFont="1" applyFill="1" applyBorder="1" applyAlignment="1">
      <alignment horizontal="center" vertical="center" wrapText="1"/>
    </xf>
    <xf numFmtId="0" fontId="32" fillId="109" borderId="21" xfId="0" applyFont="1" applyFill="1" applyBorder="1" applyAlignment="1">
      <alignment horizontal="center" vertical="center" wrapText="1"/>
    </xf>
    <xf numFmtId="0" fontId="32" fillId="109" borderId="23" xfId="0" applyFont="1" applyFill="1" applyBorder="1" applyAlignment="1">
      <alignment horizontal="center" vertical="center" wrapText="1"/>
    </xf>
    <xf numFmtId="0" fontId="31" fillId="157" borderId="16" xfId="0" applyFont="1" applyFill="1" applyBorder="1" applyAlignment="1">
      <alignment horizontal="center" vertical="center" wrapText="1"/>
    </xf>
    <xf numFmtId="0" fontId="22" fillId="176" borderId="20" xfId="0" applyFont="1" applyFill="1" applyBorder="1" applyAlignment="1">
      <alignment horizontal="center" vertical="center"/>
    </xf>
    <xf numFmtId="0" fontId="22" fillId="176" borderId="21" xfId="0" applyFont="1" applyFill="1" applyBorder="1" applyAlignment="1">
      <alignment horizontal="center" vertical="center"/>
    </xf>
    <xf numFmtId="0" fontId="22" fillId="176" borderId="23" xfId="0" applyFont="1" applyFill="1" applyBorder="1" applyAlignment="1">
      <alignment horizontal="center" vertical="center"/>
    </xf>
    <xf numFmtId="0" fontId="22" fillId="88" borderId="20" xfId="0" applyFont="1" applyFill="1" applyBorder="1" applyAlignment="1">
      <alignment horizontal="center" vertical="center"/>
    </xf>
    <xf numFmtId="0" fontId="22" fillId="88" borderId="21" xfId="0" applyFont="1" applyFill="1" applyBorder="1" applyAlignment="1">
      <alignment horizontal="center" vertical="center"/>
    </xf>
    <xf numFmtId="0" fontId="22" fillId="88" borderId="11" xfId="0" applyFont="1" applyFill="1" applyBorder="1" applyAlignment="1">
      <alignment horizontal="center" vertical="center"/>
    </xf>
    <xf numFmtId="0" fontId="22" fillId="88" borderId="12" xfId="0" applyFont="1" applyFill="1" applyBorder="1" applyAlignment="1">
      <alignment horizontal="center" vertical="center"/>
    </xf>
    <xf numFmtId="0" fontId="22" fillId="156" borderId="37" xfId="0" applyFont="1" applyFill="1" applyBorder="1" applyAlignment="1">
      <alignment horizontal="center" vertical="center" wrapText="1"/>
    </xf>
    <xf numFmtId="0" fontId="22" fillId="156" borderId="26" xfId="0" applyFont="1" applyFill="1" applyBorder="1" applyAlignment="1">
      <alignment horizontal="center" vertical="center" wrapText="1"/>
    </xf>
    <xf numFmtId="0" fontId="37" fillId="162" borderId="16" xfId="0" applyFont="1" applyFill="1" applyBorder="1" applyAlignment="1">
      <alignment horizontal="center" vertical="center" wrapText="1"/>
    </xf>
    <xf numFmtId="0" fontId="37" fillId="162" borderId="17" xfId="0" applyFont="1" applyFill="1" applyBorder="1" applyAlignment="1">
      <alignment horizontal="center" vertical="center" wrapText="1"/>
    </xf>
    <xf numFmtId="0" fontId="22" fillId="151" borderId="37" xfId="0" applyFont="1" applyFill="1" applyBorder="1" applyAlignment="1">
      <alignment horizontal="center" vertical="center" wrapText="1"/>
    </xf>
    <xf numFmtId="0" fontId="22" fillId="151" borderId="26" xfId="0" applyFont="1" applyFill="1" applyBorder="1" applyAlignment="1">
      <alignment horizontal="center" vertical="center" wrapText="1"/>
    </xf>
    <xf numFmtId="0" fontId="32" fillId="113" borderId="20" xfId="0" applyFont="1" applyFill="1" applyBorder="1" applyAlignment="1">
      <alignment horizontal="center" vertical="center" wrapText="1"/>
    </xf>
    <xf numFmtId="0" fontId="32" fillId="113" borderId="21" xfId="0" applyFont="1" applyFill="1" applyBorder="1" applyAlignment="1">
      <alignment horizontal="center" vertical="center" wrapText="1"/>
    </xf>
    <xf numFmtId="0" fontId="32" fillId="113" borderId="23" xfId="0" applyFont="1" applyFill="1" applyBorder="1" applyAlignment="1">
      <alignment horizontal="center" vertical="center" wrapText="1"/>
    </xf>
    <xf numFmtId="0" fontId="31" fillId="109" borderId="20" xfId="0" applyFont="1" applyFill="1" applyBorder="1" applyAlignment="1">
      <alignment horizontal="center" vertical="center" wrapText="1"/>
    </xf>
    <xf numFmtId="0" fontId="31" fillId="109" borderId="21" xfId="0" applyFont="1" applyFill="1" applyBorder="1" applyAlignment="1">
      <alignment horizontal="center" vertical="center" wrapText="1"/>
    </xf>
    <xf numFmtId="0" fontId="31" fillId="109" borderId="23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167" borderId="16" xfId="0" applyFont="1" applyFill="1" applyBorder="1" applyAlignment="1">
      <alignment horizontal="center" vertical="center" wrapText="1"/>
    </xf>
    <xf numFmtId="0" fontId="22" fillId="167" borderId="17" xfId="0" applyFont="1" applyFill="1" applyBorder="1" applyAlignment="1">
      <alignment horizontal="center" vertical="center" wrapText="1"/>
    </xf>
    <xf numFmtId="0" fontId="22" fillId="167" borderId="14" xfId="0" applyFont="1" applyFill="1" applyBorder="1" applyAlignment="1">
      <alignment horizontal="center" vertical="center" wrapText="1"/>
    </xf>
    <xf numFmtId="0" fontId="31" fillId="84" borderId="16" xfId="0" applyFont="1" applyFill="1" applyBorder="1" applyAlignment="1">
      <alignment horizontal="center" vertical="center" wrapText="1"/>
    </xf>
    <xf numFmtId="0" fontId="31" fillId="84" borderId="17" xfId="0" applyFont="1" applyFill="1" applyBorder="1" applyAlignment="1">
      <alignment horizontal="center" vertical="center" wrapText="1"/>
    </xf>
    <xf numFmtId="0" fontId="31" fillId="84" borderId="14" xfId="0" applyFont="1" applyFill="1" applyBorder="1" applyAlignment="1">
      <alignment horizontal="center" vertical="center" wrapText="1"/>
    </xf>
    <xf numFmtId="0" fontId="22" fillId="143" borderId="13" xfId="0" applyFont="1" applyFill="1" applyBorder="1" applyAlignment="1">
      <alignment horizontal="center" vertical="center" wrapText="1"/>
    </xf>
    <xf numFmtId="0" fontId="31" fillId="157" borderId="14" xfId="0" applyFont="1" applyFill="1" applyBorder="1" applyAlignment="1">
      <alignment horizontal="center" vertical="center" wrapText="1"/>
    </xf>
    <xf numFmtId="0" fontId="22" fillId="143" borderId="24" xfId="0" applyFont="1" applyFill="1" applyBorder="1" applyAlignment="1">
      <alignment horizontal="center" vertical="center" wrapText="1"/>
    </xf>
    <xf numFmtId="0" fontId="22" fillId="143" borderId="25" xfId="0" applyFont="1" applyFill="1" applyBorder="1" applyAlignment="1">
      <alignment horizontal="center" vertical="center" wrapText="1"/>
    </xf>
    <xf numFmtId="0" fontId="22" fillId="88" borderId="2" xfId="0" applyFont="1" applyFill="1" applyBorder="1" applyAlignment="1">
      <alignment horizontal="center" vertical="center" wrapText="1"/>
    </xf>
    <xf numFmtId="0" fontId="22" fillId="88" borderId="3" xfId="0" applyFont="1" applyFill="1" applyBorder="1" applyAlignment="1">
      <alignment horizontal="center" vertical="center" wrapText="1"/>
    </xf>
    <xf numFmtId="0" fontId="22" fillId="88" borderId="4" xfId="0" applyFont="1" applyFill="1" applyBorder="1" applyAlignment="1">
      <alignment horizontal="center" vertical="center" wrapText="1"/>
    </xf>
    <xf numFmtId="0" fontId="31" fillId="157" borderId="13" xfId="0" applyFont="1" applyFill="1" applyBorder="1" applyAlignment="1">
      <alignment horizontal="center" vertical="center" wrapText="1"/>
    </xf>
    <xf numFmtId="0" fontId="22" fillId="203" borderId="24" xfId="0" applyFont="1" applyFill="1" applyBorder="1" applyAlignment="1">
      <alignment horizontal="center" vertical="center" wrapText="1"/>
    </xf>
    <xf numFmtId="0" fontId="22" fillId="203" borderId="25" xfId="0" applyFont="1" applyFill="1" applyBorder="1" applyAlignment="1">
      <alignment horizontal="center" vertical="center" wrapText="1"/>
    </xf>
    <xf numFmtId="0" fontId="22" fillId="203" borderId="29" xfId="0" applyFont="1" applyFill="1" applyBorder="1" applyAlignment="1">
      <alignment horizontal="center" vertical="center" wrapText="1"/>
    </xf>
    <xf numFmtId="0" fontId="22" fillId="153" borderId="2" xfId="0" applyFont="1" applyFill="1" applyBorder="1" applyAlignment="1">
      <alignment horizontal="center" vertical="center" wrapText="1"/>
    </xf>
    <xf numFmtId="0" fontId="22" fillId="153" borderId="3" xfId="0" applyFont="1" applyFill="1" applyBorder="1" applyAlignment="1">
      <alignment horizontal="center" vertical="center" wrapText="1"/>
    </xf>
    <xf numFmtId="0" fontId="22" fillId="153" borderId="21" xfId="0" applyFont="1" applyFill="1" applyBorder="1" applyAlignment="1">
      <alignment horizontal="center" vertical="center" wrapText="1"/>
    </xf>
    <xf numFmtId="0" fontId="22" fillId="153" borderId="31" xfId="0" applyFont="1" applyFill="1" applyBorder="1" applyAlignment="1">
      <alignment horizontal="center" vertical="center" wrapText="1"/>
    </xf>
    <xf numFmtId="0" fontId="31" fillId="161" borderId="16" xfId="0" applyFont="1" applyFill="1" applyBorder="1" applyAlignment="1">
      <alignment horizontal="center" vertical="center" wrapText="1"/>
    </xf>
    <xf numFmtId="0" fontId="31" fillId="161" borderId="17" xfId="0" applyFont="1" applyFill="1" applyBorder="1" applyAlignment="1">
      <alignment horizontal="center" vertical="center" wrapText="1"/>
    </xf>
    <xf numFmtId="0" fontId="31" fillId="161" borderId="14" xfId="0" applyFont="1" applyFill="1" applyBorder="1" applyAlignment="1">
      <alignment horizontal="center" vertical="center" wrapText="1"/>
    </xf>
    <xf numFmtId="0" fontId="22" fillId="203" borderId="16" xfId="0" applyFont="1" applyFill="1" applyBorder="1" applyAlignment="1">
      <alignment horizontal="center" vertical="center" wrapText="1"/>
    </xf>
    <xf numFmtId="0" fontId="22" fillId="203" borderId="17" xfId="0" applyFont="1" applyFill="1" applyBorder="1" applyAlignment="1">
      <alignment horizontal="center" vertical="center" wrapText="1"/>
    </xf>
    <xf numFmtId="0" fontId="22" fillId="203" borderId="14" xfId="0" applyFont="1" applyFill="1" applyBorder="1" applyAlignment="1">
      <alignment horizontal="center" vertical="center" wrapText="1"/>
    </xf>
    <xf numFmtId="0" fontId="22" fillId="176" borderId="13" xfId="0" applyFont="1" applyFill="1" applyBorder="1" applyAlignment="1">
      <alignment horizontal="center" vertical="center" wrapText="1"/>
    </xf>
    <xf numFmtId="0" fontId="22" fillId="163" borderId="25" xfId="0" applyFont="1" applyFill="1" applyBorder="1" applyAlignment="1">
      <alignment horizontal="center" vertical="center" wrapText="1"/>
    </xf>
    <xf numFmtId="0" fontId="22" fillId="181" borderId="40" xfId="0" applyFont="1" applyFill="1" applyBorder="1" applyAlignment="1">
      <alignment horizontal="center" vertical="center" wrapText="1"/>
    </xf>
    <xf numFmtId="0" fontId="22" fillId="181" borderId="41" xfId="0" applyFont="1" applyFill="1" applyBorder="1" applyAlignment="1">
      <alignment horizontal="center" vertical="center" wrapText="1"/>
    </xf>
    <xf numFmtId="0" fontId="22" fillId="181" borderId="42" xfId="0" applyFont="1" applyFill="1" applyBorder="1" applyAlignment="1">
      <alignment horizontal="center" vertical="center" wrapText="1"/>
    </xf>
    <xf numFmtId="0" fontId="8" fillId="163" borderId="10" xfId="0" applyFont="1" applyFill="1" applyBorder="1" applyAlignment="1">
      <alignment horizontal="center" vertical="center" wrapText="1"/>
    </xf>
    <xf numFmtId="0" fontId="8" fillId="163" borderId="11" xfId="0" applyFont="1" applyFill="1" applyBorder="1" applyAlignment="1">
      <alignment horizontal="center" vertical="center" wrapText="1"/>
    </xf>
    <xf numFmtId="0" fontId="8" fillId="163" borderId="12" xfId="0" applyFont="1" applyFill="1" applyBorder="1" applyAlignment="1">
      <alignment horizontal="center" vertical="center" wrapText="1"/>
    </xf>
    <xf numFmtId="0" fontId="22" fillId="203" borderId="10" xfId="0" applyFont="1" applyFill="1" applyBorder="1" applyAlignment="1">
      <alignment horizontal="center" vertical="center" wrapText="1"/>
    </xf>
    <xf numFmtId="0" fontId="22" fillId="203" borderId="11" xfId="0" applyFont="1" applyFill="1" applyBorder="1" applyAlignment="1">
      <alignment horizontal="center" vertical="center" wrapText="1"/>
    </xf>
    <xf numFmtId="0" fontId="22" fillId="203" borderId="21" xfId="0" applyFont="1" applyFill="1" applyBorder="1" applyAlignment="1">
      <alignment horizontal="center" vertical="center" wrapText="1"/>
    </xf>
    <xf numFmtId="0" fontId="22" fillId="203" borderId="23" xfId="0" applyFont="1" applyFill="1" applyBorder="1" applyAlignment="1">
      <alignment horizontal="center" vertical="center" wrapText="1"/>
    </xf>
    <xf numFmtId="0" fontId="8" fillId="153" borderId="21" xfId="0" applyFont="1" applyFill="1" applyBorder="1" applyAlignment="1">
      <alignment horizontal="center" vertical="center" wrapText="1"/>
    </xf>
    <xf numFmtId="0" fontId="8" fillId="153" borderId="23" xfId="0" applyFont="1" applyFill="1" applyBorder="1" applyAlignment="1">
      <alignment horizontal="center" vertical="center" wrapText="1"/>
    </xf>
    <xf numFmtId="0" fontId="8" fillId="177" borderId="21" xfId="0" applyFont="1" applyFill="1" applyBorder="1" applyAlignment="1">
      <alignment horizontal="center" vertical="center"/>
    </xf>
    <xf numFmtId="0" fontId="8" fillId="177" borderId="31" xfId="0" applyFont="1" applyFill="1" applyBorder="1" applyAlignment="1">
      <alignment horizontal="center" vertical="center"/>
    </xf>
    <xf numFmtId="0" fontId="8" fillId="166" borderId="30" xfId="0" applyFont="1" applyFill="1" applyBorder="1" applyAlignment="1">
      <alignment horizontal="center" vertical="center" wrapText="1"/>
    </xf>
    <xf numFmtId="0" fontId="8" fillId="166" borderId="21" xfId="0" applyFont="1" applyFill="1" applyBorder="1" applyAlignment="1">
      <alignment horizontal="center" vertical="center" wrapText="1"/>
    </xf>
    <xf numFmtId="0" fontId="8" fillId="143" borderId="16" xfId="0" applyFont="1" applyFill="1" applyBorder="1" applyAlignment="1">
      <alignment horizontal="center" vertical="center" wrapText="1"/>
    </xf>
    <xf numFmtId="0" fontId="8" fillId="143" borderId="17" xfId="0" applyFont="1" applyFill="1" applyBorder="1" applyAlignment="1">
      <alignment horizontal="center" vertical="center" wrapText="1"/>
    </xf>
    <xf numFmtId="0" fontId="8" fillId="143" borderId="14" xfId="0" applyFont="1" applyFill="1" applyBorder="1" applyAlignment="1">
      <alignment horizontal="center" vertical="center" wrapText="1"/>
    </xf>
    <xf numFmtId="0" fontId="8" fillId="163" borderId="16" xfId="0" applyFont="1" applyFill="1" applyBorder="1" applyAlignment="1">
      <alignment horizontal="center" vertical="center" wrapText="1"/>
    </xf>
    <xf numFmtId="0" fontId="8" fillId="163" borderId="17" xfId="0" applyFont="1" applyFill="1" applyBorder="1" applyAlignment="1">
      <alignment horizontal="center" vertical="center" wrapText="1"/>
    </xf>
    <xf numFmtId="0" fontId="8" fillId="163" borderId="14" xfId="0" applyFont="1" applyFill="1" applyBorder="1" applyAlignment="1">
      <alignment horizontal="center" vertical="center" wrapText="1"/>
    </xf>
    <xf numFmtId="0" fontId="8" fillId="163" borderId="26" xfId="0" applyFont="1" applyFill="1" applyBorder="1" applyAlignment="1">
      <alignment horizontal="center" vertical="center" wrapText="1"/>
    </xf>
    <xf numFmtId="0" fontId="11" fillId="156" borderId="13" xfId="0" applyFont="1" applyFill="1" applyBorder="1" applyAlignment="1">
      <alignment horizontal="center" vertical="center" wrapText="1"/>
    </xf>
    <xf numFmtId="0" fontId="12" fillId="84" borderId="13" xfId="0" applyFont="1" applyFill="1" applyBorder="1" applyAlignment="1">
      <alignment horizontal="center" vertical="center" wrapText="1"/>
    </xf>
    <xf numFmtId="0" fontId="11" fillId="143" borderId="13" xfId="0" applyFont="1" applyFill="1" applyBorder="1" applyAlignment="1">
      <alignment horizontal="center" vertical="center" wrapText="1"/>
    </xf>
    <xf numFmtId="0" fontId="11" fillId="143" borderId="16" xfId="0" applyFont="1" applyFill="1" applyBorder="1" applyAlignment="1">
      <alignment horizontal="center" vertical="center" wrapText="1"/>
    </xf>
    <xf numFmtId="0" fontId="0" fillId="168" borderId="20" xfId="0" applyFill="1" applyBorder="1" applyAlignment="1">
      <alignment horizontal="center" vertical="center" wrapText="1"/>
    </xf>
    <xf numFmtId="0" fontId="0" fillId="168" borderId="21" xfId="0" applyFill="1" applyBorder="1" applyAlignment="1">
      <alignment horizontal="center" vertical="center" wrapText="1"/>
    </xf>
    <xf numFmtId="0" fontId="0" fillId="168" borderId="23" xfId="0" applyFill="1" applyBorder="1" applyAlignment="1">
      <alignment horizontal="center" vertical="center" wrapText="1"/>
    </xf>
    <xf numFmtId="0" fontId="12" fillId="154" borderId="13" xfId="0" applyFont="1" applyFill="1" applyBorder="1" applyAlignment="1">
      <alignment horizontal="center" vertical="center" wrapText="1"/>
    </xf>
    <xf numFmtId="0" fontId="11" fillId="162" borderId="13" xfId="0" applyFont="1" applyFill="1" applyBorder="1" applyAlignment="1">
      <alignment horizontal="center" vertical="center" wrapText="1"/>
    </xf>
    <xf numFmtId="0" fontId="11" fillId="14" borderId="13" xfId="0" applyFont="1" applyFill="1" applyBorder="1" applyAlignment="1">
      <alignment horizontal="center" vertical="center" wrapText="1"/>
    </xf>
    <xf numFmtId="0" fontId="11" fillId="16" borderId="20" xfId="0" applyFont="1" applyFill="1" applyBorder="1" applyAlignment="1">
      <alignment horizontal="center" vertical="center" wrapText="1"/>
    </xf>
    <xf numFmtId="0" fontId="11" fillId="16" borderId="21" xfId="0" applyFont="1" applyFill="1" applyBorder="1" applyAlignment="1">
      <alignment horizontal="center" vertical="center" wrapText="1"/>
    </xf>
    <xf numFmtId="0" fontId="11" fillId="16" borderId="22" xfId="0" applyFont="1" applyFill="1" applyBorder="1" applyAlignment="1">
      <alignment horizontal="center" vertical="center" wrapText="1"/>
    </xf>
    <xf numFmtId="0" fontId="11" fillId="16" borderId="28" xfId="0" applyFont="1" applyFill="1" applyBorder="1" applyAlignment="1">
      <alignment horizontal="center" vertical="center" wrapText="1"/>
    </xf>
    <xf numFmtId="0" fontId="11" fillId="147" borderId="20" xfId="0" applyFont="1" applyFill="1" applyBorder="1" applyAlignment="1">
      <alignment horizontal="center" vertical="center" wrapText="1"/>
    </xf>
    <xf numFmtId="0" fontId="11" fillId="147" borderId="21" xfId="0" applyFont="1" applyFill="1" applyBorder="1" applyAlignment="1">
      <alignment horizontal="center" vertical="center" wrapText="1"/>
    </xf>
    <xf numFmtId="0" fontId="11" fillId="147" borderId="22" xfId="0" applyFont="1" applyFill="1" applyBorder="1" applyAlignment="1">
      <alignment horizontal="center" vertical="center" wrapText="1"/>
    </xf>
    <xf numFmtId="0" fontId="11" fillId="147" borderId="23" xfId="0" applyFont="1" applyFill="1" applyBorder="1" applyAlignment="1">
      <alignment horizontal="center" vertical="center" wrapText="1"/>
    </xf>
    <xf numFmtId="0" fontId="11" fillId="19" borderId="13" xfId="0" applyFont="1" applyFill="1" applyBorder="1" applyAlignment="1">
      <alignment horizontal="center" vertical="center" wrapText="1"/>
    </xf>
    <xf numFmtId="0" fontId="11" fillId="160" borderId="13" xfId="0" applyFont="1" applyFill="1" applyBorder="1" applyAlignment="1">
      <alignment horizontal="center" vertical="center" wrapText="1"/>
    </xf>
    <xf numFmtId="0" fontId="11" fillId="136" borderId="13" xfId="0" applyFont="1" applyFill="1" applyBorder="1" applyAlignment="1">
      <alignment horizontal="center" vertical="center" wrapText="1"/>
    </xf>
    <xf numFmtId="0" fontId="11" fillId="163" borderId="13" xfId="0" applyFont="1" applyFill="1" applyBorder="1" applyAlignment="1">
      <alignment horizontal="center" vertical="center" wrapText="1"/>
    </xf>
    <xf numFmtId="0" fontId="11" fillId="143" borderId="13" xfId="0" applyFont="1" applyFill="1" applyBorder="1" applyAlignment="1">
      <alignment horizontal="center" vertical="center"/>
    </xf>
    <xf numFmtId="0" fontId="11" fillId="151" borderId="16" xfId="0" applyFont="1" applyFill="1" applyBorder="1" applyAlignment="1">
      <alignment horizontal="center" vertical="center" wrapText="1"/>
    </xf>
    <xf numFmtId="0" fontId="11" fillId="151" borderId="17" xfId="0" applyFont="1" applyFill="1" applyBorder="1" applyAlignment="1">
      <alignment horizontal="center" vertical="center" wrapText="1"/>
    </xf>
    <xf numFmtId="0" fontId="11" fillId="151" borderId="14" xfId="0" applyFont="1" applyFill="1" applyBorder="1" applyAlignment="1">
      <alignment horizontal="center" vertical="center" wrapText="1"/>
    </xf>
    <xf numFmtId="0" fontId="11" fillId="154" borderId="13" xfId="0" applyFont="1" applyFill="1" applyBorder="1" applyAlignment="1">
      <alignment horizontal="center" vertical="center" wrapText="1"/>
    </xf>
    <xf numFmtId="0" fontId="12" fillId="161" borderId="13" xfId="0" applyFont="1" applyFill="1" applyBorder="1" applyAlignment="1">
      <alignment horizontal="center" vertical="center" wrapText="1"/>
    </xf>
    <xf numFmtId="0" fontId="12" fillId="161" borderId="16" xfId="0" applyFont="1" applyFill="1" applyBorder="1" applyAlignment="1">
      <alignment horizontal="center" vertical="center" wrapText="1"/>
    </xf>
    <xf numFmtId="0" fontId="12" fillId="161" borderId="17" xfId="0" applyFont="1" applyFill="1" applyBorder="1" applyAlignment="1">
      <alignment horizontal="center" vertical="center" wrapText="1"/>
    </xf>
    <xf numFmtId="0" fontId="12" fillId="161" borderId="14" xfId="0" applyFont="1" applyFill="1" applyBorder="1" applyAlignment="1">
      <alignment horizontal="center" vertical="center" wrapText="1"/>
    </xf>
    <xf numFmtId="0" fontId="12" fillId="157" borderId="13" xfId="0" applyFont="1" applyFill="1" applyBorder="1" applyAlignment="1">
      <alignment horizontal="center" vertical="center" wrapText="1"/>
    </xf>
    <xf numFmtId="0" fontId="11" fillId="153" borderId="13" xfId="0" applyFont="1" applyFill="1" applyBorder="1" applyAlignment="1">
      <alignment horizontal="center" vertical="center" wrapText="1"/>
    </xf>
    <xf numFmtId="0" fontId="11" fillId="156" borderId="16" xfId="0" applyFont="1" applyFill="1" applyBorder="1" applyAlignment="1">
      <alignment horizontal="center" vertical="center" wrapText="1"/>
    </xf>
    <xf numFmtId="0" fontId="11" fillId="156" borderId="17" xfId="0" applyFont="1" applyFill="1" applyBorder="1" applyAlignment="1">
      <alignment horizontal="center" vertical="center" wrapText="1"/>
    </xf>
    <xf numFmtId="0" fontId="11" fillId="156" borderId="14" xfId="0" applyFont="1" applyFill="1" applyBorder="1" applyAlignment="1">
      <alignment horizontal="center" vertical="center" wrapText="1"/>
    </xf>
    <xf numFmtId="0" fontId="11" fillId="144" borderId="13" xfId="0" applyFont="1" applyFill="1" applyBorder="1" applyAlignment="1">
      <alignment horizontal="center" vertical="center" wrapText="1"/>
    </xf>
    <xf numFmtId="0" fontId="11" fillId="17" borderId="13" xfId="0" applyFont="1" applyFill="1" applyBorder="1" applyAlignment="1">
      <alignment horizontal="center" vertical="center" wrapText="1"/>
    </xf>
    <xf numFmtId="0" fontId="11" fillId="148" borderId="13" xfId="0" applyFont="1" applyFill="1" applyBorder="1" applyAlignment="1">
      <alignment horizontal="center" vertical="center" wrapText="1"/>
    </xf>
    <xf numFmtId="0" fontId="11" fillId="151" borderId="13" xfId="0" applyFont="1" applyFill="1" applyBorder="1" applyAlignment="1">
      <alignment horizontal="center" vertical="center" wrapText="1"/>
    </xf>
    <xf numFmtId="0" fontId="11" fillId="152" borderId="13" xfId="0" applyFont="1" applyFill="1" applyBorder="1" applyAlignment="1">
      <alignment horizontal="center" vertical="center" wrapText="1"/>
    </xf>
    <xf numFmtId="0" fontId="11" fillId="155" borderId="13" xfId="0" applyFont="1" applyFill="1" applyBorder="1" applyAlignment="1">
      <alignment horizontal="center" vertical="center" wrapText="1"/>
    </xf>
    <xf numFmtId="0" fontId="11" fillId="84" borderId="16" xfId="0" applyFont="1" applyFill="1" applyBorder="1" applyAlignment="1">
      <alignment horizontal="center" vertical="center" wrapText="1"/>
    </xf>
    <xf numFmtId="0" fontId="11" fillId="84" borderId="17" xfId="0" applyFont="1" applyFill="1" applyBorder="1" applyAlignment="1">
      <alignment horizontal="center" vertical="center" wrapText="1"/>
    </xf>
    <xf numFmtId="0" fontId="11" fillId="84" borderId="14" xfId="0" applyFont="1" applyFill="1" applyBorder="1" applyAlignment="1">
      <alignment horizontal="center" vertical="center" wrapText="1"/>
    </xf>
    <xf numFmtId="0" fontId="11" fillId="149" borderId="13" xfId="0" applyFont="1" applyFill="1" applyBorder="1" applyAlignment="1">
      <alignment horizontal="center" vertical="center" wrapText="1"/>
    </xf>
    <xf numFmtId="0" fontId="11" fillId="167" borderId="13" xfId="0" applyFont="1" applyFill="1" applyBorder="1" applyAlignment="1">
      <alignment horizontal="center" vertical="center" wrapText="1"/>
    </xf>
    <xf numFmtId="0" fontId="11" fillId="84" borderId="13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158" borderId="13" xfId="0" applyFont="1" applyFill="1" applyBorder="1" applyAlignment="1">
      <alignment horizontal="center" vertical="center" wrapText="1"/>
    </xf>
    <xf numFmtId="0" fontId="11" fillId="159" borderId="13" xfId="0" applyFont="1" applyFill="1" applyBorder="1" applyAlignment="1">
      <alignment horizontal="center" vertical="center" wrapText="1"/>
    </xf>
    <xf numFmtId="0" fontId="11" fillId="164" borderId="13" xfId="0" applyFont="1" applyFill="1" applyBorder="1" applyAlignment="1">
      <alignment horizontal="center" vertical="center" wrapText="1"/>
    </xf>
    <xf numFmtId="0" fontId="11" fillId="27" borderId="13" xfId="0" applyFont="1" applyFill="1" applyBorder="1" applyAlignment="1">
      <alignment horizontal="center" vertical="center" wrapText="1"/>
    </xf>
    <xf numFmtId="0" fontId="11" fillId="162" borderId="16" xfId="0" applyFont="1" applyFill="1" applyBorder="1" applyAlignment="1">
      <alignment horizontal="center" vertical="center" wrapText="1"/>
    </xf>
    <xf numFmtId="0" fontId="11" fillId="162" borderId="17" xfId="0" applyFont="1" applyFill="1" applyBorder="1" applyAlignment="1">
      <alignment horizontal="center" vertical="center" wrapText="1"/>
    </xf>
    <xf numFmtId="0" fontId="11" fillId="162" borderId="14" xfId="0" applyFont="1" applyFill="1" applyBorder="1" applyAlignment="1">
      <alignment horizontal="center" vertical="center" wrapText="1"/>
    </xf>
    <xf numFmtId="0" fontId="11" fillId="14" borderId="20" xfId="0" applyFont="1" applyFill="1" applyBorder="1" applyAlignment="1">
      <alignment horizontal="center" vertical="center" wrapText="1"/>
    </xf>
    <xf numFmtId="0" fontId="11" fillId="14" borderId="21" xfId="0" applyFont="1" applyFill="1" applyBorder="1" applyAlignment="1">
      <alignment horizontal="center" vertical="center" wrapText="1"/>
    </xf>
    <xf numFmtId="0" fontId="11" fillId="14" borderId="23" xfId="0" applyFont="1" applyFill="1" applyBorder="1" applyAlignment="1">
      <alignment horizontal="center" vertical="center" wrapText="1"/>
    </xf>
    <xf numFmtId="0" fontId="11" fillId="14" borderId="24" xfId="0" applyFont="1" applyFill="1" applyBorder="1" applyAlignment="1">
      <alignment horizontal="center" vertical="center" wrapText="1"/>
    </xf>
    <xf numFmtId="0" fontId="11" fillId="14" borderId="25" xfId="0" applyFont="1" applyFill="1" applyBorder="1" applyAlignment="1">
      <alignment horizontal="center" vertical="center" wrapText="1"/>
    </xf>
    <xf numFmtId="0" fontId="11" fillId="13" borderId="24" xfId="0" applyFont="1" applyFill="1" applyBorder="1" applyAlignment="1">
      <alignment horizontal="center" vertical="center" wrapText="1"/>
    </xf>
    <xf numFmtId="0" fontId="11" fillId="13" borderId="25" xfId="0" applyFont="1" applyFill="1" applyBorder="1" applyAlignment="1">
      <alignment horizontal="center" vertical="center" wrapText="1"/>
    </xf>
    <xf numFmtId="0" fontId="11" fillId="15" borderId="24" xfId="0" applyFont="1" applyFill="1" applyBorder="1" applyAlignment="1">
      <alignment horizontal="center" vertical="center" wrapText="1"/>
    </xf>
    <xf numFmtId="0" fontId="11" fillId="15" borderId="25" xfId="0" applyFont="1" applyFill="1" applyBorder="1" applyAlignment="1">
      <alignment horizontal="center" vertical="center" wrapText="1"/>
    </xf>
    <xf numFmtId="0" fontId="12" fillId="13" borderId="24" xfId="0" applyFont="1" applyFill="1" applyBorder="1" applyAlignment="1">
      <alignment horizontal="center" vertical="center" wrapText="1"/>
    </xf>
    <xf numFmtId="0" fontId="12" fillId="13" borderId="25" xfId="0" applyFont="1" applyFill="1" applyBorder="1" applyAlignment="1">
      <alignment horizontal="center" vertical="center" wrapText="1"/>
    </xf>
    <xf numFmtId="0" fontId="11" fillId="14" borderId="18" xfId="0" applyFont="1" applyFill="1" applyBorder="1" applyAlignment="1">
      <alignment horizontal="center" vertical="center" wrapText="1"/>
    </xf>
    <xf numFmtId="0" fontId="11" fillId="14" borderId="0" xfId="0" applyFont="1" applyFill="1" applyBorder="1" applyAlignment="1">
      <alignment horizontal="center" vertical="center" wrapText="1"/>
    </xf>
    <xf numFmtId="0" fontId="11" fillId="146" borderId="0" xfId="0" applyFont="1" applyFill="1" applyBorder="1" applyAlignment="1">
      <alignment horizontal="center" vertical="center" wrapText="1"/>
    </xf>
    <xf numFmtId="0" fontId="12" fillId="145" borderId="25" xfId="0" applyFont="1" applyFill="1" applyBorder="1" applyAlignment="1">
      <alignment horizontal="center" vertical="center" wrapText="1"/>
    </xf>
    <xf numFmtId="0" fontId="11" fillId="165" borderId="13" xfId="0" applyFont="1" applyFill="1" applyBorder="1" applyAlignment="1">
      <alignment horizontal="center" vertical="center" wrapText="1"/>
    </xf>
    <xf numFmtId="0" fontId="11" fillId="166" borderId="13" xfId="0" applyFont="1" applyFill="1" applyBorder="1" applyAlignment="1">
      <alignment horizontal="center" vertical="center" wrapText="1"/>
    </xf>
    <xf numFmtId="0" fontId="11" fillId="150" borderId="13" xfId="0" applyFont="1" applyFill="1" applyBorder="1" applyAlignment="1">
      <alignment horizontal="center" vertical="center" wrapText="1"/>
    </xf>
    <xf numFmtId="0" fontId="11" fillId="163" borderId="27" xfId="0" applyFont="1" applyFill="1" applyBorder="1" applyAlignment="1">
      <alignment horizontal="center" vertical="center" wrapText="1"/>
    </xf>
    <xf numFmtId="14" fontId="22" fillId="12" borderId="13" xfId="0" applyNumberFormat="1" applyFont="1" applyFill="1" applyBorder="1" applyAlignment="1">
      <alignment horizontal="center" vertical="center"/>
    </xf>
    <xf numFmtId="0" fontId="20" fillId="13" borderId="24" xfId="0" applyFont="1" applyFill="1" applyBorder="1" applyAlignment="1">
      <alignment horizontal="center" vertical="center" wrapText="1"/>
    </xf>
    <xf numFmtId="0" fontId="20" fillId="13" borderId="25" xfId="0" applyFont="1" applyFill="1" applyBorder="1" applyAlignment="1">
      <alignment horizontal="center" vertical="center" wrapText="1"/>
    </xf>
    <xf numFmtId="0" fontId="20" fillId="107" borderId="13" xfId="0" applyFont="1" applyFill="1" applyBorder="1" applyAlignment="1">
      <alignment horizontal="center" vertical="center" wrapText="1"/>
    </xf>
    <xf numFmtId="0" fontId="21" fillId="107" borderId="13" xfId="0" applyFont="1" applyFill="1" applyBorder="1" applyAlignment="1">
      <alignment horizontal="center" vertical="center" wrapText="1"/>
    </xf>
    <xf numFmtId="0" fontId="24" fillId="140" borderId="13" xfId="0" applyFont="1" applyFill="1" applyBorder="1" applyAlignment="1">
      <alignment horizontal="center" vertical="center" wrapText="1"/>
    </xf>
    <xf numFmtId="0" fontId="20" fillId="111" borderId="16" xfId="0" applyFont="1" applyFill="1" applyBorder="1" applyAlignment="1">
      <alignment horizontal="center" vertical="center" wrapText="1"/>
    </xf>
    <xf numFmtId="0" fontId="20" fillId="111" borderId="17" xfId="0" applyFont="1" applyFill="1" applyBorder="1" applyAlignment="1">
      <alignment horizontal="center" vertical="center" wrapText="1"/>
    </xf>
    <xf numFmtId="0" fontId="20" fillId="111" borderId="13" xfId="0" applyFont="1" applyFill="1" applyBorder="1" applyAlignment="1">
      <alignment horizontal="center" vertical="center" wrapText="1"/>
    </xf>
    <xf numFmtId="0" fontId="20" fillId="111" borderId="14" xfId="0" applyFont="1" applyFill="1" applyBorder="1" applyAlignment="1">
      <alignment horizontal="center" vertical="center" wrapText="1"/>
    </xf>
    <xf numFmtId="0" fontId="20" fillId="112" borderId="20" xfId="0" applyFont="1" applyFill="1" applyBorder="1" applyAlignment="1">
      <alignment horizontal="center" vertical="center" wrapText="1"/>
    </xf>
    <xf numFmtId="0" fontId="20" fillId="112" borderId="21" xfId="0" applyFont="1" applyFill="1" applyBorder="1" applyAlignment="1">
      <alignment horizontal="center" vertical="center" wrapText="1"/>
    </xf>
    <xf numFmtId="0" fontId="20" fillId="112" borderId="22" xfId="0" applyFont="1" applyFill="1" applyBorder="1" applyAlignment="1">
      <alignment horizontal="center" vertical="center" wrapText="1"/>
    </xf>
    <xf numFmtId="0" fontId="20" fillId="112" borderId="23" xfId="0" applyFont="1" applyFill="1" applyBorder="1" applyAlignment="1">
      <alignment horizontal="center" vertical="center" wrapText="1"/>
    </xf>
    <xf numFmtId="0" fontId="22" fillId="113" borderId="13" xfId="0" applyFont="1" applyFill="1" applyBorder="1" applyAlignment="1">
      <alignment horizontal="center" vertical="center" wrapText="1"/>
    </xf>
    <xf numFmtId="0" fontId="22" fillId="114" borderId="13" xfId="0" applyFont="1" applyFill="1" applyBorder="1" applyAlignment="1">
      <alignment horizontal="center" vertical="center" wrapText="1"/>
    </xf>
    <xf numFmtId="0" fontId="22" fillId="115" borderId="13" xfId="0" applyFont="1" applyFill="1" applyBorder="1" applyAlignment="1">
      <alignment horizontal="center" vertical="center" wrapText="1"/>
    </xf>
    <xf numFmtId="0" fontId="22" fillId="116" borderId="13" xfId="0" applyFont="1" applyFill="1" applyBorder="1" applyAlignment="1">
      <alignment horizontal="center" vertical="center" wrapText="1"/>
    </xf>
    <xf numFmtId="0" fontId="20" fillId="121" borderId="13" xfId="0" applyFont="1" applyFill="1" applyBorder="1" applyAlignment="1">
      <alignment horizontal="center" vertical="center" wrapText="1"/>
    </xf>
    <xf numFmtId="0" fontId="20" fillId="122" borderId="13" xfId="0" applyFont="1" applyFill="1" applyBorder="1" applyAlignment="1">
      <alignment horizontal="center" vertical="center" wrapText="1"/>
    </xf>
    <xf numFmtId="0" fontId="20" fillId="123" borderId="13" xfId="0" applyFont="1" applyFill="1" applyBorder="1" applyAlignment="1">
      <alignment horizontal="center" vertical="center" wrapText="1"/>
    </xf>
    <xf numFmtId="0" fontId="20" fillId="110" borderId="13" xfId="0" applyFont="1" applyFill="1" applyBorder="1" applyAlignment="1">
      <alignment horizontal="center" vertical="center" wrapText="1"/>
    </xf>
    <xf numFmtId="0" fontId="20" fillId="124" borderId="13" xfId="0" applyFont="1" applyFill="1" applyBorder="1" applyAlignment="1">
      <alignment horizontal="center" vertical="center" wrapText="1"/>
    </xf>
    <xf numFmtId="0" fontId="21" fillId="115" borderId="13" xfId="0" applyFont="1" applyFill="1" applyBorder="1" applyAlignment="1">
      <alignment horizontal="center" vertical="center" wrapText="1"/>
    </xf>
    <xf numFmtId="0" fontId="20" fillId="116" borderId="13" xfId="0" applyFont="1" applyFill="1" applyBorder="1" applyAlignment="1">
      <alignment horizontal="center" vertical="center" wrapText="1"/>
    </xf>
    <xf numFmtId="0" fontId="20" fillId="119" borderId="13" xfId="0" applyFont="1" applyFill="1" applyBorder="1" applyAlignment="1">
      <alignment horizontal="center" vertical="center" wrapText="1"/>
    </xf>
    <xf numFmtId="0" fontId="20" fillId="120" borderId="13" xfId="0" applyFont="1" applyFill="1" applyBorder="1" applyAlignment="1">
      <alignment horizontal="center" vertical="center" wrapText="1"/>
    </xf>
    <xf numFmtId="0" fontId="21" fillId="54" borderId="13" xfId="0" applyFont="1" applyFill="1" applyBorder="1" applyAlignment="1">
      <alignment horizontal="center" vertical="center" wrapText="1"/>
    </xf>
    <xf numFmtId="0" fontId="20" fillId="114" borderId="13" xfId="0" applyFont="1" applyFill="1" applyBorder="1" applyAlignment="1">
      <alignment horizontal="center" vertical="center" wrapText="1"/>
    </xf>
    <xf numFmtId="0" fontId="20" fillId="117" borderId="13" xfId="0" applyFont="1" applyFill="1" applyBorder="1" applyAlignment="1">
      <alignment horizontal="center" vertical="center" wrapText="1"/>
    </xf>
    <xf numFmtId="0" fontId="20" fillId="118" borderId="13" xfId="0" applyFont="1" applyFill="1" applyBorder="1" applyAlignment="1">
      <alignment horizontal="center" vertical="center" wrapText="1"/>
    </xf>
    <xf numFmtId="0" fontId="22" fillId="125" borderId="13" xfId="0" applyFont="1" applyFill="1" applyBorder="1" applyAlignment="1">
      <alignment horizontal="center" vertical="center" wrapText="1"/>
    </xf>
    <xf numFmtId="0" fontId="20" fillId="126" borderId="13" xfId="0" applyFont="1" applyFill="1" applyBorder="1" applyAlignment="1">
      <alignment horizontal="center" vertical="center" wrapText="1"/>
    </xf>
    <xf numFmtId="0" fontId="20" fillId="127" borderId="13" xfId="0" applyFont="1" applyFill="1" applyBorder="1" applyAlignment="1">
      <alignment horizontal="center" vertical="center" wrapText="1"/>
    </xf>
    <xf numFmtId="0" fontId="20" fillId="128" borderId="13" xfId="0" applyFont="1" applyFill="1" applyBorder="1" applyAlignment="1">
      <alignment horizontal="center" vertical="center" wrapText="1"/>
    </xf>
    <xf numFmtId="0" fontId="20" fillId="130" borderId="13" xfId="0" applyFont="1" applyFill="1" applyBorder="1" applyAlignment="1">
      <alignment horizontal="center" vertical="center" wrapText="1"/>
    </xf>
    <xf numFmtId="0" fontId="21" fillId="129" borderId="13" xfId="0" applyFont="1" applyFill="1" applyBorder="1" applyAlignment="1">
      <alignment horizontal="center" vertical="center" wrapText="1"/>
    </xf>
    <xf numFmtId="0" fontId="20" fillId="131" borderId="13" xfId="0" applyFont="1" applyFill="1" applyBorder="1" applyAlignment="1">
      <alignment horizontal="center" vertical="center" wrapText="1"/>
    </xf>
    <xf numFmtId="0" fontId="20" fillId="132" borderId="13" xfId="0" applyFont="1" applyFill="1" applyBorder="1" applyAlignment="1">
      <alignment horizontal="center" vertical="center" wrapText="1"/>
    </xf>
    <xf numFmtId="0" fontId="20" fillId="133" borderId="13" xfId="0" applyFont="1" applyFill="1" applyBorder="1" applyAlignment="1">
      <alignment horizontal="center" vertical="center" wrapText="1"/>
    </xf>
    <xf numFmtId="0" fontId="21" fillId="114" borderId="13" xfId="0" applyFont="1" applyFill="1" applyBorder="1" applyAlignment="1">
      <alignment horizontal="center" vertical="center" wrapText="1"/>
    </xf>
    <xf numFmtId="0" fontId="21" fillId="110" borderId="13" xfId="0" applyFont="1" applyFill="1" applyBorder="1" applyAlignment="1">
      <alignment horizontal="center" vertical="center" wrapText="1"/>
    </xf>
    <xf numFmtId="0" fontId="21" fillId="117" borderId="13" xfId="0" applyFont="1" applyFill="1" applyBorder="1" applyAlignment="1">
      <alignment horizontal="center" vertical="center" wrapText="1"/>
    </xf>
    <xf numFmtId="0" fontId="21" fillId="134" borderId="13" xfId="0" applyFont="1" applyFill="1" applyBorder="1" applyAlignment="1">
      <alignment horizontal="center" vertical="center" wrapText="1"/>
    </xf>
    <xf numFmtId="0" fontId="21" fillId="116" borderId="13" xfId="0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/>
    </xf>
    <xf numFmtId="0" fontId="20" fillId="136" borderId="13" xfId="0" applyFont="1" applyFill="1" applyBorder="1" applyAlignment="1">
      <alignment horizontal="center" vertical="center"/>
    </xf>
    <xf numFmtId="0" fontId="20" fillId="135" borderId="13" xfId="0" applyFont="1" applyFill="1" applyBorder="1" applyAlignment="1">
      <alignment horizontal="center" vertical="center" wrapText="1"/>
    </xf>
    <xf numFmtId="0" fontId="25" fillId="84" borderId="0" xfId="0" applyFont="1" applyFill="1" applyBorder="1" applyAlignment="1">
      <alignment horizontal="center" vertical="center" wrapText="1"/>
    </xf>
    <xf numFmtId="0" fontId="28" fillId="81" borderId="24" xfId="0" applyFont="1" applyFill="1" applyBorder="1" applyAlignment="1">
      <alignment horizontal="center" wrapText="1"/>
    </xf>
    <xf numFmtId="0" fontId="28" fillId="81" borderId="25" xfId="0" applyFont="1" applyFill="1" applyBorder="1" applyAlignment="1">
      <alignment horizontal="center" wrapText="1"/>
    </xf>
    <xf numFmtId="0" fontId="25" fillId="84" borderId="26" xfId="0" applyFont="1" applyFill="1" applyBorder="1" applyAlignment="1">
      <alignment horizontal="center" vertical="center" wrapText="1"/>
    </xf>
    <xf numFmtId="0" fontId="25" fillId="84" borderId="16" xfId="0" applyFont="1" applyFill="1" applyBorder="1" applyAlignment="1">
      <alignment horizontal="center" vertical="center" wrapText="1"/>
    </xf>
    <xf numFmtId="0" fontId="25" fillId="84" borderId="17" xfId="0" applyFont="1" applyFill="1" applyBorder="1" applyAlignment="1">
      <alignment horizontal="center" vertical="center" wrapText="1"/>
    </xf>
    <xf numFmtId="0" fontId="25" fillId="81" borderId="24" xfId="0" applyFont="1" applyFill="1" applyBorder="1" applyAlignment="1">
      <alignment horizontal="center" vertical="center" wrapText="1"/>
    </xf>
    <xf numFmtId="0" fontId="25" fillId="81" borderId="25" xfId="0" applyFont="1" applyFill="1" applyBorder="1" applyAlignment="1">
      <alignment horizontal="center" vertical="center" wrapText="1"/>
    </xf>
    <xf numFmtId="0" fontId="25" fillId="88" borderId="16" xfId="0" applyFont="1" applyFill="1" applyBorder="1" applyAlignment="1">
      <alignment horizontal="center" vertical="center" wrapText="1"/>
    </xf>
    <xf numFmtId="0" fontId="25" fillId="88" borderId="17" xfId="0" applyFont="1" applyFill="1" applyBorder="1" applyAlignment="1">
      <alignment horizontal="center" vertical="center" wrapText="1"/>
    </xf>
    <xf numFmtId="0" fontId="25" fillId="88" borderId="14" xfId="0" applyFont="1" applyFill="1" applyBorder="1" applyAlignment="1">
      <alignment horizontal="center" vertical="center" wrapText="1"/>
    </xf>
    <xf numFmtId="0" fontId="25" fillId="84" borderId="14" xfId="0" applyFont="1" applyFill="1" applyBorder="1" applyAlignment="1">
      <alignment horizontal="center" vertical="center" wrapText="1"/>
    </xf>
    <xf numFmtId="0" fontId="28" fillId="95" borderId="13" xfId="0" applyFont="1" applyFill="1" applyBorder="1" applyAlignment="1">
      <alignment horizontal="center" vertical="center" wrapText="1"/>
    </xf>
    <xf numFmtId="0" fontId="25" fillId="93" borderId="13" xfId="0" applyFont="1" applyFill="1" applyBorder="1" applyAlignment="1">
      <alignment horizontal="center" vertical="center" wrapText="1"/>
    </xf>
    <xf numFmtId="0" fontId="28" fillId="102" borderId="13" xfId="0" applyFont="1" applyFill="1" applyBorder="1" applyAlignment="1">
      <alignment horizontal="center" vertical="center" wrapText="1"/>
    </xf>
    <xf numFmtId="0" fontId="25" fillId="92" borderId="13" xfId="0" applyFont="1" applyFill="1" applyBorder="1" applyAlignment="1">
      <alignment horizontal="center" vertical="center" wrapText="1"/>
    </xf>
    <xf numFmtId="0" fontId="28" fillId="54" borderId="13" xfId="0" applyFont="1" applyFill="1" applyBorder="1" applyAlignment="1">
      <alignment horizontal="center" vertical="center" wrapText="1"/>
    </xf>
    <xf numFmtId="0" fontId="25" fillId="103" borderId="13" xfId="0" applyFont="1" applyFill="1" applyBorder="1" applyAlignment="1">
      <alignment horizontal="center" vertical="center" wrapText="1"/>
    </xf>
    <xf numFmtId="0" fontId="25" fillId="101" borderId="13" xfId="0" applyFont="1" applyFill="1" applyBorder="1" applyAlignment="1">
      <alignment horizontal="center" vertical="center" wrapText="1"/>
    </xf>
    <xf numFmtId="0" fontId="25" fillId="91" borderId="13" xfId="0" applyFont="1" applyFill="1" applyBorder="1" applyAlignment="1">
      <alignment horizontal="center" vertical="center" wrapText="1"/>
    </xf>
    <xf numFmtId="0" fontId="25" fillId="84" borderId="13" xfId="0" applyFont="1" applyFill="1" applyBorder="1" applyAlignment="1">
      <alignment horizontal="center" vertical="center" wrapText="1"/>
    </xf>
    <xf numFmtId="14" fontId="16" fillId="12" borderId="14" xfId="0" applyNumberFormat="1" applyFont="1" applyFill="1" applyBorder="1" applyAlignment="1">
      <alignment horizontal="center" vertical="center"/>
    </xf>
    <xf numFmtId="14" fontId="16" fillId="12" borderId="13" xfId="0" applyNumberFormat="1" applyFont="1" applyFill="1" applyBorder="1" applyAlignment="1">
      <alignment horizontal="center" vertical="center"/>
    </xf>
    <xf numFmtId="0" fontId="27" fillId="13" borderId="25" xfId="0" applyFont="1" applyFill="1" applyBorder="1" applyAlignment="1">
      <alignment horizontal="center" vertical="center" wrapText="1"/>
    </xf>
    <xf numFmtId="0" fontId="25" fillId="13" borderId="25" xfId="0" applyFont="1" applyFill="1" applyBorder="1" applyAlignment="1">
      <alignment horizontal="center" vertical="center" wrapText="1"/>
    </xf>
    <xf numFmtId="0" fontId="26" fillId="80" borderId="25" xfId="0" applyFont="1" applyFill="1" applyBorder="1" applyAlignment="1">
      <alignment horizontal="center" vertical="center" wrapText="1"/>
    </xf>
    <xf numFmtId="0" fontId="24" fillId="81" borderId="24" xfId="0" applyFont="1" applyFill="1" applyBorder="1" applyAlignment="1">
      <alignment horizontal="center" vertical="center" wrapText="1"/>
    </xf>
    <xf numFmtId="0" fontId="24" fillId="81" borderId="25" xfId="0" applyFont="1" applyFill="1" applyBorder="1" applyAlignment="1">
      <alignment horizontal="center" vertical="center" wrapText="1"/>
    </xf>
    <xf numFmtId="0" fontId="27" fillId="83" borderId="24" xfId="0" applyFont="1" applyFill="1" applyBorder="1" applyAlignment="1">
      <alignment horizontal="center" vertical="center" wrapText="1"/>
    </xf>
    <xf numFmtId="0" fontId="27" fillId="83" borderId="25" xfId="0" applyFont="1" applyFill="1" applyBorder="1" applyAlignment="1">
      <alignment horizontal="center" vertical="center" wrapText="1"/>
    </xf>
    <xf numFmtId="0" fontId="25" fillId="81" borderId="13" xfId="0" applyFont="1" applyFill="1" applyBorder="1" applyAlignment="1">
      <alignment horizontal="center" vertical="center" wrapText="1"/>
    </xf>
    <xf numFmtId="0" fontId="25" fillId="141" borderId="13" xfId="0" applyFont="1" applyFill="1" applyBorder="1" applyAlignment="1">
      <alignment horizontal="center" vertical="center" wrapText="1"/>
    </xf>
    <xf numFmtId="0" fontId="25" fillId="88" borderId="13" xfId="0" applyFont="1" applyFill="1" applyBorder="1" applyAlignment="1">
      <alignment horizontal="center" vertical="center" wrapText="1"/>
    </xf>
    <xf numFmtId="0" fontId="28" fillId="92" borderId="13" xfId="0" applyFont="1" applyFill="1" applyBorder="1" applyAlignment="1">
      <alignment horizontal="center" vertical="center" wrapText="1"/>
    </xf>
    <xf numFmtId="0" fontId="28" fillId="90" borderId="13" xfId="0" applyFont="1" applyFill="1" applyBorder="1" applyAlignment="1">
      <alignment horizontal="center" vertical="center" wrapText="1"/>
    </xf>
    <xf numFmtId="0" fontId="28" fillId="85" borderId="16" xfId="0" applyFont="1" applyFill="1" applyBorder="1" applyAlignment="1">
      <alignment horizontal="center" vertical="center" wrapText="1"/>
    </xf>
    <xf numFmtId="0" fontId="28" fillId="85" borderId="17" xfId="0" applyFont="1" applyFill="1" applyBorder="1" applyAlignment="1">
      <alignment horizontal="center" vertical="center" wrapText="1"/>
    </xf>
    <xf numFmtId="0" fontId="28" fillId="85" borderId="13" xfId="0" applyFont="1" applyFill="1" applyBorder="1" applyAlignment="1">
      <alignment horizontal="center" vertical="center" wrapText="1"/>
    </xf>
    <xf numFmtId="0" fontId="28" fillId="85" borderId="14" xfId="0" applyFont="1" applyFill="1" applyBorder="1" applyAlignment="1">
      <alignment horizontal="center" vertical="center" wrapText="1"/>
    </xf>
    <xf numFmtId="0" fontId="25" fillId="86" borderId="20" xfId="0" applyFont="1" applyFill="1" applyBorder="1" applyAlignment="1">
      <alignment horizontal="center" vertical="center" wrapText="1"/>
    </xf>
    <xf numFmtId="0" fontId="25" fillId="86" borderId="21" xfId="0" applyFont="1" applyFill="1" applyBorder="1" applyAlignment="1">
      <alignment horizontal="center" vertical="center" wrapText="1"/>
    </xf>
    <xf numFmtId="0" fontId="25" fillId="86" borderId="22" xfId="0" applyFont="1" applyFill="1" applyBorder="1" applyAlignment="1">
      <alignment horizontal="center" vertical="center" wrapText="1"/>
    </xf>
    <xf numFmtId="0" fontId="25" fillId="86" borderId="23" xfId="0" applyFont="1" applyFill="1" applyBorder="1" applyAlignment="1">
      <alignment horizontal="center" vertical="center" wrapText="1"/>
    </xf>
    <xf numFmtId="0" fontId="21" fillId="87" borderId="13" xfId="0" applyFont="1" applyFill="1" applyBorder="1" applyAlignment="1">
      <alignment horizontal="center" vertical="center" wrapText="1"/>
    </xf>
    <xf numFmtId="0" fontId="20" fillId="88" borderId="13" xfId="0" applyFont="1" applyFill="1" applyBorder="1" applyAlignment="1">
      <alignment horizontal="center" vertical="center" wrapText="1"/>
    </xf>
    <xf numFmtId="0" fontId="25" fillId="89" borderId="13" xfId="0" applyFont="1" applyFill="1" applyBorder="1" applyAlignment="1">
      <alignment horizontal="center" vertical="center" wrapText="1"/>
    </xf>
    <xf numFmtId="0" fontId="25" fillId="90" borderId="13" xfId="0" applyFont="1" applyFill="1" applyBorder="1" applyAlignment="1">
      <alignment horizontal="center" vertical="center" wrapText="1"/>
    </xf>
    <xf numFmtId="0" fontId="25" fillId="96" borderId="13" xfId="0" applyFont="1" applyFill="1" applyBorder="1" applyAlignment="1">
      <alignment horizontal="center" vertical="center" wrapText="1"/>
    </xf>
    <xf numFmtId="0" fontId="28" fillId="94" borderId="13" xfId="0" applyFont="1" applyFill="1" applyBorder="1" applyAlignment="1">
      <alignment horizontal="center" vertical="center" wrapText="1"/>
    </xf>
    <xf numFmtId="0" fontId="25" fillId="97" borderId="13" xfId="0" applyFont="1" applyFill="1" applyBorder="1" applyAlignment="1">
      <alignment horizontal="center" vertical="center" wrapText="1"/>
    </xf>
    <xf numFmtId="0" fontId="25" fillId="94" borderId="13" xfId="0" applyFont="1" applyFill="1" applyBorder="1" applyAlignment="1">
      <alignment horizontal="center" vertical="center" wrapText="1"/>
    </xf>
    <xf numFmtId="0" fontId="28" fillId="89" borderId="13" xfId="0" applyFont="1" applyFill="1" applyBorder="1" applyAlignment="1">
      <alignment horizontal="center" vertical="center" wrapText="1"/>
    </xf>
    <xf numFmtId="0" fontId="25" fillId="100" borderId="13" xfId="0" applyFont="1" applyFill="1" applyBorder="1" applyAlignment="1">
      <alignment horizontal="center" vertical="center" wrapText="1"/>
    </xf>
    <xf numFmtId="0" fontId="28" fillId="99" borderId="13" xfId="0" applyFont="1" applyFill="1" applyBorder="1" applyAlignment="1">
      <alignment horizontal="center" vertical="center" wrapText="1"/>
    </xf>
    <xf numFmtId="0" fontId="20" fillId="98" borderId="13" xfId="0" applyFont="1" applyFill="1" applyBorder="1" applyAlignment="1">
      <alignment horizontal="center" vertical="center" wrapText="1"/>
    </xf>
    <xf numFmtId="0" fontId="25" fillId="136" borderId="13" xfId="0" applyFont="1" applyFill="1" applyBorder="1" applyAlignment="1">
      <alignment horizontal="center" vertical="center"/>
    </xf>
    <xf numFmtId="0" fontId="25" fillId="97" borderId="13" xfId="0" applyFont="1" applyFill="1" applyBorder="1" applyAlignment="1">
      <alignment horizontal="center" vertical="center"/>
    </xf>
    <xf numFmtId="0" fontId="25" fillId="7" borderId="13" xfId="0" applyFont="1" applyFill="1" applyBorder="1" applyAlignment="1">
      <alignment horizontal="center" vertical="center"/>
    </xf>
    <xf numFmtId="0" fontId="25" fillId="104" borderId="16" xfId="0" applyFont="1" applyFill="1" applyBorder="1" applyAlignment="1">
      <alignment horizontal="center" vertical="center" wrapText="1"/>
    </xf>
    <xf numFmtId="0" fontId="25" fillId="104" borderId="17" xfId="0" applyFont="1" applyFill="1" applyBorder="1" applyAlignment="1">
      <alignment horizontal="center" vertical="center" wrapText="1"/>
    </xf>
    <xf numFmtId="0" fontId="25" fillId="104" borderId="13" xfId="0" applyFont="1" applyFill="1" applyBorder="1" applyAlignment="1">
      <alignment horizontal="center" vertical="center" wrapText="1"/>
    </xf>
    <xf numFmtId="0" fontId="25" fillId="91" borderId="13" xfId="0" applyFont="1" applyFill="1" applyBorder="1" applyAlignment="1">
      <alignment horizontal="center" vertical="top" wrapText="1"/>
    </xf>
    <xf numFmtId="0" fontId="25" fillId="105" borderId="13" xfId="0" applyFont="1" applyFill="1" applyBorder="1" applyAlignment="1">
      <alignment horizontal="center" vertical="center" wrapText="1"/>
    </xf>
    <xf numFmtId="14" fontId="8" fillId="12" borderId="13" xfId="0" applyNumberFormat="1" applyFont="1" applyFill="1" applyBorder="1" applyAlignment="1">
      <alignment horizontal="center" vertical="center"/>
    </xf>
    <xf numFmtId="14" fontId="8" fillId="12" borderId="14" xfId="0" applyNumberFormat="1" applyFont="1" applyFill="1" applyBorder="1" applyAlignment="1">
      <alignment horizontal="center" vertical="center"/>
    </xf>
    <xf numFmtId="0" fontId="14" fillId="58" borderId="13" xfId="0" applyFont="1" applyFill="1" applyBorder="1" applyAlignment="1">
      <alignment horizontal="center" vertical="center" wrapText="1"/>
    </xf>
    <xf numFmtId="0" fontId="14" fillId="58" borderId="17" xfId="0" applyFont="1" applyFill="1" applyBorder="1" applyAlignment="1">
      <alignment horizontal="center" vertical="center" wrapText="1"/>
    </xf>
    <xf numFmtId="0" fontId="14" fillId="58" borderId="14" xfId="0" applyFont="1" applyFill="1" applyBorder="1" applyAlignment="1">
      <alignment horizontal="center" vertical="center" wrapText="1"/>
    </xf>
    <xf numFmtId="0" fontId="14" fillId="59" borderId="16" xfId="0" applyFont="1" applyFill="1" applyBorder="1" applyAlignment="1">
      <alignment horizontal="center" vertical="center" wrapText="1"/>
    </xf>
    <xf numFmtId="0" fontId="14" fillId="59" borderId="17" xfId="0" applyFont="1" applyFill="1" applyBorder="1" applyAlignment="1">
      <alignment horizontal="center" vertical="center" wrapText="1"/>
    </xf>
    <xf numFmtId="0" fontId="14" fillId="59" borderId="13" xfId="0" applyFont="1" applyFill="1" applyBorder="1" applyAlignment="1">
      <alignment horizontal="center" vertical="center" wrapText="1"/>
    </xf>
    <xf numFmtId="0" fontId="14" fillId="59" borderId="14" xfId="0" applyFont="1" applyFill="1" applyBorder="1" applyAlignment="1">
      <alignment horizontal="center" vertical="center" wrapText="1"/>
    </xf>
    <xf numFmtId="0" fontId="15" fillId="60" borderId="13" xfId="0" applyFont="1" applyFill="1" applyBorder="1" applyAlignment="1">
      <alignment horizontal="center" vertical="center" wrapText="1"/>
    </xf>
    <xf numFmtId="0" fontId="14" fillId="61" borderId="13" xfId="0" applyFont="1" applyFill="1" applyBorder="1" applyAlignment="1">
      <alignment horizontal="center" vertical="center" wrapText="1"/>
    </xf>
    <xf numFmtId="0" fontId="14" fillId="62" borderId="13" xfId="0" applyFont="1" applyFill="1" applyBorder="1" applyAlignment="1">
      <alignment horizontal="center" vertical="center" wrapText="1"/>
    </xf>
    <xf numFmtId="0" fontId="14" fillId="63" borderId="13" xfId="0" applyFont="1" applyFill="1" applyBorder="1" applyAlignment="1">
      <alignment horizontal="center" vertical="center" wrapText="1"/>
    </xf>
    <xf numFmtId="0" fontId="14" fillId="57" borderId="13" xfId="0" applyFont="1" applyFill="1" applyBorder="1" applyAlignment="1">
      <alignment horizontal="center" vertical="center" wrapText="1"/>
    </xf>
    <xf numFmtId="0" fontId="14" fillId="64" borderId="13" xfId="0" applyFont="1" applyFill="1" applyBorder="1" applyAlignment="1">
      <alignment horizontal="center" vertical="center" wrapText="1"/>
    </xf>
    <xf numFmtId="0" fontId="14" fillId="65" borderId="13" xfId="0" applyFont="1" applyFill="1" applyBorder="1" applyAlignment="1">
      <alignment horizontal="center" vertical="center" wrapText="1"/>
    </xf>
    <xf numFmtId="0" fontId="14" fillId="66" borderId="13" xfId="0" applyFont="1" applyFill="1" applyBorder="1" applyAlignment="1">
      <alignment horizontal="center" vertical="center" wrapText="1"/>
    </xf>
    <xf numFmtId="0" fontId="15" fillId="54" borderId="13" xfId="0" applyFont="1" applyFill="1" applyBorder="1" applyAlignment="1">
      <alignment horizontal="center" vertical="center" wrapText="1"/>
    </xf>
    <xf numFmtId="0" fontId="15" fillId="67" borderId="13" xfId="0" applyFont="1" applyFill="1" applyBorder="1" applyAlignment="1">
      <alignment horizontal="center" vertical="center" wrapText="1"/>
    </xf>
    <xf numFmtId="0" fontId="14" fillId="68" borderId="13" xfId="0" applyFont="1" applyFill="1" applyBorder="1" applyAlignment="1">
      <alignment horizontal="center" vertical="center" wrapText="1"/>
    </xf>
    <xf numFmtId="0" fontId="14" fillId="69" borderId="13" xfId="0" applyFont="1" applyFill="1" applyBorder="1" applyAlignment="1">
      <alignment horizontal="center" vertical="center" wrapText="1"/>
    </xf>
    <xf numFmtId="0" fontId="14" fillId="76" borderId="13" xfId="0" applyFont="1" applyFill="1" applyBorder="1" applyAlignment="1">
      <alignment horizontal="center" vertical="center" wrapText="1"/>
    </xf>
    <xf numFmtId="0" fontId="14" fillId="77" borderId="13" xfId="0" applyFont="1" applyFill="1" applyBorder="1" applyAlignment="1">
      <alignment horizontal="center" vertical="center" wrapText="1"/>
    </xf>
    <xf numFmtId="0" fontId="14" fillId="73" borderId="13" xfId="0" applyFont="1" applyFill="1" applyBorder="1" applyAlignment="1">
      <alignment horizontal="center" vertical="center" wrapText="1"/>
    </xf>
    <xf numFmtId="0" fontId="14" fillId="74" borderId="13" xfId="0" applyFont="1" applyFill="1" applyBorder="1" applyAlignment="1">
      <alignment horizontal="center" vertical="center" wrapText="1"/>
    </xf>
    <xf numFmtId="0" fontId="14" fillId="75" borderId="13" xfId="0" applyFont="1" applyFill="1" applyBorder="1" applyAlignment="1">
      <alignment horizontal="center" vertical="center" wrapText="1"/>
    </xf>
    <xf numFmtId="0" fontId="14" fillId="70" borderId="13" xfId="0" applyFont="1" applyFill="1" applyBorder="1" applyAlignment="1">
      <alignment horizontal="center" vertical="center" wrapText="1"/>
    </xf>
    <xf numFmtId="0" fontId="14" fillId="71" borderId="13" xfId="0" applyFont="1" applyFill="1" applyBorder="1" applyAlignment="1">
      <alignment horizontal="center" vertical="center" wrapText="1"/>
    </xf>
    <xf numFmtId="0" fontId="15" fillId="72" borderId="13" xfId="0" applyFont="1" applyFill="1" applyBorder="1" applyAlignment="1">
      <alignment horizontal="center" vertical="center" wrapText="1"/>
    </xf>
    <xf numFmtId="0" fontId="14" fillId="78" borderId="13" xfId="0" applyFont="1" applyFill="1" applyBorder="1" applyAlignment="1">
      <alignment horizontal="center" vertical="center" wrapText="1"/>
    </xf>
    <xf numFmtId="0" fontId="11" fillId="44" borderId="13" xfId="0" applyFont="1" applyFill="1" applyBorder="1" applyAlignment="1">
      <alignment horizontal="center" vertical="center" wrapText="1"/>
    </xf>
    <xf numFmtId="0" fontId="11" fillId="49" borderId="13" xfId="0" applyFont="1" applyFill="1" applyBorder="1" applyAlignment="1">
      <alignment horizontal="center" vertical="center" wrapText="1"/>
    </xf>
    <xf numFmtId="0" fontId="11" fillId="43" borderId="13" xfId="0" applyFont="1" applyFill="1" applyBorder="1" applyAlignment="1">
      <alignment horizontal="center" vertical="center" wrapText="1"/>
    </xf>
    <xf numFmtId="0" fontId="11" fillId="39" borderId="13" xfId="0" applyFont="1" applyFill="1" applyBorder="1" applyAlignment="1">
      <alignment horizontal="center" vertical="center" wrapText="1"/>
    </xf>
    <xf numFmtId="0" fontId="11" fillId="37" borderId="13" xfId="0" applyFont="1" applyFill="1" applyBorder="1" applyAlignment="1">
      <alignment horizontal="center" vertical="center" wrapText="1"/>
    </xf>
    <xf numFmtId="0" fontId="11" fillId="44" borderId="16" xfId="0" applyFont="1" applyFill="1" applyBorder="1" applyAlignment="1">
      <alignment horizontal="center" vertical="center" wrapText="1"/>
    </xf>
    <xf numFmtId="0" fontId="11" fillId="44" borderId="17" xfId="0" applyFont="1" applyFill="1" applyBorder="1" applyAlignment="1">
      <alignment horizontal="center" vertical="center" wrapText="1"/>
    </xf>
    <xf numFmtId="0" fontId="11" fillId="45" borderId="13" xfId="0" applyFont="1" applyFill="1" applyBorder="1" applyAlignment="1">
      <alignment horizontal="center" vertical="center" wrapText="1"/>
    </xf>
    <xf numFmtId="0" fontId="11" fillId="48" borderId="13" xfId="0" applyFont="1" applyFill="1" applyBorder="1" applyAlignment="1">
      <alignment horizontal="center" vertical="center" wrapText="1"/>
    </xf>
    <xf numFmtId="0" fontId="11" fillId="42" borderId="13" xfId="0" applyFont="1" applyFill="1" applyBorder="1" applyAlignment="1">
      <alignment horizontal="center" vertical="center" wrapText="1"/>
    </xf>
    <xf numFmtId="14" fontId="13" fillId="12" borderId="13" xfId="0" applyNumberFormat="1" applyFont="1" applyFill="1" applyBorder="1" applyAlignment="1">
      <alignment horizontal="center" vertical="center"/>
    </xf>
    <xf numFmtId="0" fontId="11" fillId="34" borderId="13" xfId="0" applyFont="1" applyFill="1" applyBorder="1" applyAlignment="1">
      <alignment horizontal="center" vertical="center" wrapText="1"/>
    </xf>
    <xf numFmtId="0" fontId="12" fillId="35" borderId="13" xfId="0" applyFont="1" applyFill="1" applyBorder="1" applyAlignment="1">
      <alignment horizontal="center" vertical="center" wrapText="1"/>
    </xf>
    <xf numFmtId="0" fontId="11" fillId="36" borderId="13" xfId="0" applyFont="1" applyFill="1" applyBorder="1" applyAlignment="1">
      <alignment horizontal="center" vertical="center" wrapText="1"/>
    </xf>
    <xf numFmtId="0" fontId="11" fillId="38" borderId="13" xfId="0" applyFont="1" applyFill="1" applyBorder="1" applyAlignment="1">
      <alignment horizontal="center" vertical="center" wrapText="1"/>
    </xf>
    <xf numFmtId="0" fontId="11" fillId="40" borderId="13" xfId="0" applyFont="1" applyFill="1" applyBorder="1" applyAlignment="1">
      <alignment horizontal="center" vertical="center" wrapText="1"/>
    </xf>
    <xf numFmtId="0" fontId="11" fillId="41" borderId="13" xfId="0" applyFont="1" applyFill="1" applyBorder="1" applyAlignment="1">
      <alignment horizontal="center" vertical="center" wrapText="1"/>
    </xf>
    <xf numFmtId="0" fontId="11" fillId="50" borderId="13" xfId="0" applyFont="1" applyFill="1" applyBorder="1" applyAlignment="1">
      <alignment horizontal="center" vertical="center" wrapText="1"/>
    </xf>
    <xf numFmtId="0" fontId="11" fillId="46" borderId="13" xfId="0" applyFont="1" applyFill="1" applyBorder="1" applyAlignment="1">
      <alignment horizontal="center" vertical="center" wrapText="1"/>
    </xf>
    <xf numFmtId="0" fontId="11" fillId="47" borderId="13" xfId="0" applyFont="1" applyFill="1" applyBorder="1" applyAlignment="1">
      <alignment horizontal="center" vertical="center" wrapText="1"/>
    </xf>
    <xf numFmtId="0" fontId="11" fillId="51" borderId="13" xfId="0" applyFont="1" applyFill="1" applyBorder="1" applyAlignment="1">
      <alignment horizontal="center" vertical="center" wrapText="1"/>
    </xf>
    <xf numFmtId="0" fontId="8" fillId="14" borderId="13" xfId="0" applyFont="1" applyFill="1" applyBorder="1" applyAlignment="1">
      <alignment horizontal="center" vertical="center" wrapText="1"/>
    </xf>
    <xf numFmtId="0" fontId="8" fillId="19" borderId="13" xfId="0" applyFont="1" applyFill="1" applyBorder="1" applyAlignment="1">
      <alignment horizontal="center" vertical="center" wrapText="1"/>
    </xf>
    <xf numFmtId="0" fontId="8" fillId="25" borderId="13" xfId="0" applyFont="1" applyFill="1" applyBorder="1" applyAlignment="1">
      <alignment horizontal="center" vertical="center" wrapText="1"/>
    </xf>
    <xf numFmtId="0" fontId="8" fillId="16" borderId="13" xfId="0" applyFont="1" applyFill="1" applyBorder="1" applyAlignment="1">
      <alignment horizontal="center" vertical="center" wrapText="1"/>
    </xf>
    <xf numFmtId="0" fontId="8" fillId="17" borderId="13" xfId="0" applyFont="1" applyFill="1" applyBorder="1" applyAlignment="1">
      <alignment horizontal="center" vertical="center" wrapText="1"/>
    </xf>
    <xf numFmtId="0" fontId="8" fillId="24" borderId="13" xfId="0" applyFont="1" applyFill="1" applyBorder="1" applyAlignment="1">
      <alignment horizontal="center" vertical="center" wrapText="1"/>
    </xf>
    <xf numFmtId="0" fontId="9" fillId="24" borderId="13" xfId="0" applyFont="1" applyFill="1" applyBorder="1" applyAlignment="1">
      <alignment horizontal="center" vertical="center" wrapText="1"/>
    </xf>
    <xf numFmtId="0" fontId="8" fillId="15" borderId="13" xfId="0" applyFont="1" applyFill="1" applyBorder="1" applyAlignment="1">
      <alignment horizontal="center" vertical="center" wrapText="1"/>
    </xf>
    <xf numFmtId="0" fontId="9" fillId="18" borderId="13" xfId="0" applyFont="1" applyFill="1" applyBorder="1" applyAlignment="1">
      <alignment horizontal="center" vertical="center" wrapText="1"/>
    </xf>
    <xf numFmtId="0" fontId="8" fillId="18" borderId="13" xfId="0" applyFont="1" applyFill="1" applyBorder="1" applyAlignment="1">
      <alignment horizontal="center" vertical="center" wrapText="1"/>
    </xf>
    <xf numFmtId="0" fontId="8" fillId="31" borderId="13" xfId="0" applyFont="1" applyFill="1" applyBorder="1" applyAlignment="1">
      <alignment horizontal="center" vertical="center" wrapText="1"/>
    </xf>
    <xf numFmtId="0" fontId="8" fillId="29" borderId="13" xfId="0" applyFont="1" applyFill="1" applyBorder="1" applyAlignment="1">
      <alignment horizontal="center" vertical="center" wrapText="1"/>
    </xf>
    <xf numFmtId="0" fontId="8" fillId="30" borderId="13" xfId="0" applyFont="1" applyFill="1" applyBorder="1" applyAlignment="1">
      <alignment horizontal="center" vertical="center" wrapText="1"/>
    </xf>
    <xf numFmtId="0" fontId="8" fillId="27" borderId="13" xfId="0" applyFont="1" applyFill="1" applyBorder="1" applyAlignment="1">
      <alignment horizontal="center" vertical="center" wrapText="1"/>
    </xf>
    <xf numFmtId="0" fontId="8" fillId="20" borderId="13" xfId="0" applyFont="1" applyFill="1" applyBorder="1" applyAlignment="1">
      <alignment horizontal="center" vertical="center" wrapText="1"/>
    </xf>
    <xf numFmtId="0" fontId="8" fillId="28" borderId="13" xfId="0" applyFont="1" applyFill="1" applyBorder="1" applyAlignment="1">
      <alignment horizontal="center" vertical="center" wrapText="1"/>
    </xf>
    <xf numFmtId="0" fontId="8" fillId="21" borderId="13" xfId="0" applyFont="1" applyFill="1" applyBorder="1" applyAlignment="1">
      <alignment horizontal="center" vertical="center" wrapText="1"/>
    </xf>
    <xf numFmtId="0" fontId="8" fillId="26" borderId="13" xfId="0" applyFont="1" applyFill="1" applyBorder="1" applyAlignment="1">
      <alignment horizontal="center" vertical="center" wrapText="1"/>
    </xf>
    <xf numFmtId="0" fontId="8" fillId="23" borderId="13" xfId="0" applyFont="1" applyFill="1" applyBorder="1" applyAlignment="1">
      <alignment horizontal="center" vertical="center" wrapText="1"/>
    </xf>
    <xf numFmtId="0" fontId="9" fillId="18" borderId="13" xfId="0" applyFont="1" applyFill="1" applyBorder="1" applyAlignment="1">
      <alignment vertical="center" wrapText="1"/>
    </xf>
    <xf numFmtId="0" fontId="8" fillId="22" borderId="13" xfId="0" applyFont="1" applyFill="1" applyBorder="1" applyAlignment="1">
      <alignment horizontal="center" vertical="center" wrapText="1"/>
    </xf>
    <xf numFmtId="0" fontId="8" fillId="13" borderId="13" xfId="0" applyFont="1" applyFill="1" applyBorder="1" applyAlignment="1">
      <alignment horizontal="center" vertical="center" wrapText="1"/>
    </xf>
    <xf numFmtId="14" fontId="7" fillId="12" borderId="13" xfId="0" applyNumberFormat="1" applyFont="1" applyFill="1" applyBorder="1" applyAlignment="1">
      <alignment horizontal="center" vertical="center"/>
    </xf>
    <xf numFmtId="14" fontId="7" fillId="12" borderId="14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2" fillId="185" borderId="27" xfId="0" applyFont="1" applyFill="1" applyBorder="1" applyAlignment="1">
      <alignment horizontal="center" vertical="center" wrapText="1"/>
    </xf>
    <xf numFmtId="0" fontId="32" fillId="13" borderId="10" xfId="0" applyFont="1" applyFill="1" applyBorder="1" applyAlignment="1">
      <alignment horizontal="center" vertical="center"/>
    </xf>
    <xf numFmtId="0" fontId="32" fillId="13" borderId="11" xfId="0" applyFont="1" applyFill="1" applyBorder="1" applyAlignment="1">
      <alignment horizontal="center" vertical="center"/>
    </xf>
    <xf numFmtId="0" fontId="32" fillId="13" borderId="12" xfId="0" applyFont="1" applyFill="1" applyBorder="1" applyAlignment="1">
      <alignment horizontal="center" vertical="center"/>
    </xf>
    <xf numFmtId="0" fontId="31" fillId="185" borderId="10" xfId="0" applyFont="1" applyFill="1" applyBorder="1" applyAlignment="1">
      <alignment horizontal="center" vertical="center" wrapText="1"/>
    </xf>
    <xf numFmtId="0" fontId="31" fillId="185" borderId="11" xfId="0" applyFont="1" applyFill="1" applyBorder="1" applyAlignment="1">
      <alignment horizontal="center" vertical="center" wrapText="1"/>
    </xf>
    <xf numFmtId="0" fontId="31" fillId="185" borderId="12" xfId="0" applyFont="1" applyFill="1" applyBorder="1" applyAlignment="1">
      <alignment horizontal="center" vertical="center" wrapText="1"/>
    </xf>
    <xf numFmtId="14" fontId="29" fillId="12" borderId="4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DC96D"/>
      <color rgb="FFB03367"/>
      <color rgb="FFA24FE7"/>
      <color rgb="FFD67C60"/>
      <color rgb="FF60A3B0"/>
      <color rgb="FFD9C741"/>
      <color rgb="FFFF9999"/>
      <color rgb="FFBCEF88"/>
      <color rgb="FFFFF2CD"/>
      <color rgb="FFDE77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203</xdr:row>
      <xdr:rowOff>0</xdr:rowOff>
    </xdr:from>
    <xdr:to>
      <xdr:col>12</xdr:col>
      <xdr:colOff>444389</xdr:colOff>
      <xdr:row>244</xdr:row>
      <xdr:rowOff>22617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3FB8CAB-F419-4E18-A908-92B957316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44545" y="43468636"/>
          <a:ext cx="5647619" cy="748571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203</xdr:row>
      <xdr:rowOff>0</xdr:rowOff>
    </xdr:from>
    <xdr:to>
      <xdr:col>12</xdr:col>
      <xdr:colOff>486294</xdr:colOff>
      <xdr:row>244</xdr:row>
      <xdr:rowOff>58810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57F7EB4-2B8F-4E87-8638-4B5826FF4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44545" y="43468636"/>
          <a:ext cx="5685714" cy="750476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245</xdr:row>
      <xdr:rowOff>0</xdr:rowOff>
    </xdr:from>
    <xdr:to>
      <xdr:col>12</xdr:col>
      <xdr:colOff>446295</xdr:colOff>
      <xdr:row>277</xdr:row>
      <xdr:rowOff>38235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809BECE-6D8C-47A0-9C9F-896350253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44545" y="51105955"/>
          <a:ext cx="5638095" cy="58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689</xdr:col>
      <xdr:colOff>255814</xdr:colOff>
      <xdr:row>1</xdr:row>
      <xdr:rowOff>0</xdr:rowOff>
    </xdr:from>
    <xdr:to>
      <xdr:col>691</xdr:col>
      <xdr:colOff>97653</xdr:colOff>
      <xdr:row>16</xdr:row>
      <xdr:rowOff>146503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4015F50-CB47-4858-9C69-1E396AA315D3}"/>
            </a:ext>
          </a:extLst>
        </xdr:cNvPr>
        <xdr:cNvSpPr/>
      </xdr:nvSpPr>
      <xdr:spPr>
        <a:xfrm>
          <a:off x="145137414" y="1320800"/>
          <a:ext cx="400639" cy="13278303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4000"/>
            <a:t>P i   l</a:t>
          </a:r>
        </a:p>
        <a:p>
          <a:pPr algn="l"/>
          <a:r>
            <a:rPr lang="en-US" sz="4000"/>
            <a:t>ot </a:t>
          </a:r>
        </a:p>
        <a:p>
          <a:pPr algn="l"/>
          <a:endParaRPr lang="en-US" sz="4000"/>
        </a:p>
        <a:p>
          <a:pPr algn="l"/>
          <a:r>
            <a:rPr lang="en-US" sz="4000"/>
            <a:t>Des i g</a:t>
          </a:r>
        </a:p>
        <a:p>
          <a:pPr algn="l"/>
          <a:r>
            <a:rPr lang="en-US" sz="4000"/>
            <a:t>n</a:t>
          </a:r>
          <a:r>
            <a:rPr lang="en-US" sz="4000" baseline="0"/>
            <a:t> </a:t>
          </a:r>
        </a:p>
        <a:p>
          <a:pPr algn="l"/>
          <a:endParaRPr lang="en-US" sz="4000" baseline="0"/>
        </a:p>
        <a:p>
          <a:pPr algn="l"/>
          <a:r>
            <a:rPr lang="en-US" sz="4000" baseline="0"/>
            <a:t>Freeze</a:t>
          </a:r>
          <a:endParaRPr lang="en-US" sz="4000"/>
        </a:p>
      </xdr:txBody>
    </xdr:sp>
    <xdr:clientData/>
  </xdr:twoCellAnchor>
  <xdr:twoCellAnchor>
    <xdr:from>
      <xdr:col>1104</xdr:col>
      <xdr:colOff>152400</xdr:colOff>
      <xdr:row>0</xdr:row>
      <xdr:rowOff>1270000</xdr:rowOff>
    </xdr:from>
    <xdr:to>
      <xdr:col>1106</xdr:col>
      <xdr:colOff>0</xdr:colOff>
      <xdr:row>28</xdr:row>
      <xdr:rowOff>50800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B48D315-7A4E-46F6-8518-6BBFFD266454}"/>
            </a:ext>
          </a:extLst>
        </xdr:cNvPr>
        <xdr:cNvSpPr/>
      </xdr:nvSpPr>
      <xdr:spPr>
        <a:xfrm>
          <a:off x="260985000" y="1270000"/>
          <a:ext cx="406400" cy="15367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4000"/>
            <a:t>P roduction</a:t>
          </a:r>
        </a:p>
        <a:p>
          <a:pPr algn="l"/>
          <a:endParaRPr lang="en-US" sz="4000"/>
        </a:p>
        <a:p>
          <a:pPr algn="l"/>
          <a:r>
            <a:rPr lang="en-US" sz="4000"/>
            <a:t>Des i g</a:t>
          </a:r>
        </a:p>
        <a:p>
          <a:pPr algn="l"/>
          <a:r>
            <a:rPr lang="en-US" sz="4000"/>
            <a:t>n</a:t>
          </a:r>
          <a:r>
            <a:rPr lang="en-US" sz="4000" baseline="0"/>
            <a:t> </a:t>
          </a:r>
        </a:p>
        <a:p>
          <a:pPr algn="l"/>
          <a:endParaRPr lang="en-US" sz="4000" baseline="0"/>
        </a:p>
        <a:p>
          <a:pPr algn="l"/>
          <a:r>
            <a:rPr lang="en-US" sz="4000" baseline="0"/>
            <a:t>Freeze</a:t>
          </a:r>
          <a:endParaRPr lang="en-US" sz="4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2D58-0FAF-4EF7-BAF2-9912FE99C58B}">
  <dimension ref="A1:O154"/>
  <sheetViews>
    <sheetView topLeftCell="B1" zoomScale="80" zoomScaleNormal="80" workbookViewId="0">
      <pane xSplit="3" ySplit="1" topLeftCell="E2" activePane="bottomRight" state="frozen"/>
      <selection activeCell="B1" sqref="B1"/>
      <selection pane="topRight" activeCell="E1" sqref="E1"/>
      <selection pane="bottomLeft" activeCell="B2" sqref="B2"/>
      <selection pane="bottomRight" activeCell="K2" sqref="K2"/>
    </sheetView>
  </sheetViews>
  <sheetFormatPr defaultRowHeight="14.4"/>
  <cols>
    <col min="1" max="1" width="31.21875" bestFit="1" customWidth="1"/>
    <col min="2" max="2" width="46.44140625" style="3" customWidth="1"/>
    <col min="3" max="3" width="15.109375" style="3" bestFit="1" customWidth="1"/>
    <col min="4" max="4" width="15.33203125" style="3" customWidth="1"/>
    <col min="5" max="5" width="14.6640625" bestFit="1" customWidth="1"/>
    <col min="6" max="6" width="13.6640625" hidden="1" customWidth="1"/>
    <col min="7" max="7" width="15.77734375" hidden="1" customWidth="1"/>
    <col min="8" max="8" width="9.109375" hidden="1" customWidth="1"/>
    <col min="9" max="9" width="11.33203125" hidden="1" customWidth="1"/>
    <col min="10" max="10" width="46.21875" customWidth="1"/>
    <col min="11" max="11" width="13.44140625" style="229" customWidth="1"/>
    <col min="12" max="12" width="16.21875" style="229" customWidth="1"/>
    <col min="14" max="14" width="13.33203125" bestFit="1" customWidth="1"/>
    <col min="15" max="15" width="12.6640625" bestFit="1" customWidth="1"/>
  </cols>
  <sheetData>
    <row r="1" spans="1:12" ht="28.8">
      <c r="A1" s="123"/>
      <c r="B1" s="123" t="s">
        <v>0</v>
      </c>
      <c r="C1" s="123" t="s">
        <v>3</v>
      </c>
      <c r="D1" s="123" t="s">
        <v>4</v>
      </c>
      <c r="E1" s="125" t="s">
        <v>692</v>
      </c>
      <c r="K1" s="3" t="s">
        <v>842</v>
      </c>
      <c r="L1" s="3" t="s">
        <v>843</v>
      </c>
    </row>
    <row r="2" spans="1:12" ht="25.8">
      <c r="A2" s="85"/>
      <c r="B2" s="115" t="s">
        <v>691</v>
      </c>
      <c r="C2" s="215">
        <f>MIN(C3:C20)</f>
        <v>43524</v>
      </c>
      <c r="D2" s="215">
        <f>MAX(D3:D19)</f>
        <v>44812</v>
      </c>
      <c r="E2" s="58"/>
      <c r="F2" s="214">
        <f>MIN(C2:C147)</f>
        <v>43524</v>
      </c>
      <c r="G2" s="214">
        <f>MAX(D2:D147)</f>
        <v>44812</v>
      </c>
      <c r="K2" s="737">
        <f>MIN(C2,C21,C27,C37,C43,C66,C98,C116,C132)</f>
        <v>43524</v>
      </c>
      <c r="L2" s="737">
        <f>MAX(D2,D21,D27,D37,D43,D66,D98,D116,D132)</f>
        <v>44812</v>
      </c>
    </row>
    <row r="3" spans="1:12" ht="18">
      <c r="A3" s="87" t="s">
        <v>626</v>
      </c>
      <c r="B3" s="88" t="s">
        <v>627</v>
      </c>
      <c r="C3" s="86">
        <v>43524</v>
      </c>
      <c r="D3" s="86">
        <v>43524</v>
      </c>
      <c r="E3" s="58"/>
      <c r="I3" s="63">
        <f>MIN(C2:D110)</f>
        <v>43524</v>
      </c>
      <c r="K3"/>
      <c r="L3"/>
    </row>
    <row r="4" spans="1:12" ht="18">
      <c r="A4" s="87" t="s">
        <v>647</v>
      </c>
      <c r="B4" s="88" t="s">
        <v>632</v>
      </c>
      <c r="C4" s="86">
        <v>43673</v>
      </c>
      <c r="D4" s="86">
        <f>C4+4</f>
        <v>43677</v>
      </c>
      <c r="E4" s="58"/>
      <c r="I4" s="63">
        <f>MAX(C2:D110)</f>
        <v>44812</v>
      </c>
      <c r="K4"/>
      <c r="L4"/>
    </row>
    <row r="5" spans="1:12" ht="18">
      <c r="A5" s="87" t="s">
        <v>626</v>
      </c>
      <c r="B5" s="88" t="s">
        <v>633</v>
      </c>
      <c r="C5" s="86">
        <v>43788</v>
      </c>
      <c r="D5" s="86">
        <f>C5+2</f>
        <v>43790</v>
      </c>
      <c r="E5" s="58"/>
      <c r="K5"/>
      <c r="L5"/>
    </row>
    <row r="6" spans="1:12" ht="15" customHeight="1">
      <c r="A6" s="87" t="s">
        <v>626</v>
      </c>
      <c r="B6" s="88" t="s">
        <v>824</v>
      </c>
      <c r="C6" s="86">
        <v>43876</v>
      </c>
      <c r="D6" s="86">
        <f t="shared" ref="D6" si="0">C6+1</f>
        <v>43877</v>
      </c>
      <c r="E6" s="58"/>
      <c r="K6"/>
      <c r="L6"/>
    </row>
    <row r="7" spans="1:12" ht="15" customHeight="1">
      <c r="A7" s="87" t="s">
        <v>694</v>
      </c>
      <c r="B7" s="88" t="s">
        <v>698</v>
      </c>
      <c r="C7" s="86">
        <v>43866</v>
      </c>
      <c r="D7" s="86">
        <f>C7+2</f>
        <v>43868</v>
      </c>
      <c r="E7" s="58"/>
      <c r="K7"/>
      <c r="L7"/>
    </row>
    <row r="8" spans="1:12" ht="15" customHeight="1">
      <c r="A8" s="87" t="s">
        <v>653</v>
      </c>
      <c r="B8" s="88" t="s">
        <v>86</v>
      </c>
      <c r="C8" s="86">
        <v>43875</v>
      </c>
      <c r="D8" s="86">
        <v>43910</v>
      </c>
      <c r="E8" s="58"/>
      <c r="K8"/>
      <c r="L8"/>
    </row>
    <row r="9" spans="1:12" ht="15" customHeight="1">
      <c r="A9" s="87" t="s">
        <v>653</v>
      </c>
      <c r="B9" s="88" t="s">
        <v>696</v>
      </c>
      <c r="C9" s="86">
        <v>43920</v>
      </c>
      <c r="D9" s="86">
        <f>C9+85</f>
        <v>44005</v>
      </c>
      <c r="E9" s="58"/>
      <c r="K9"/>
      <c r="L9"/>
    </row>
    <row r="10" spans="1:12" ht="15" customHeight="1">
      <c r="A10" s="87" t="s">
        <v>653</v>
      </c>
      <c r="B10" s="88" t="s">
        <v>828</v>
      </c>
      <c r="C10" s="86">
        <v>44150</v>
      </c>
      <c r="D10" s="86">
        <f>C10+2</f>
        <v>44152</v>
      </c>
      <c r="E10" s="58"/>
      <c r="G10" s="221">
        <f>120000000/7000000000</f>
        <v>1.7142857142857144E-2</v>
      </c>
      <c r="H10" s="221">
        <f>1/16</f>
        <v>6.25E-2</v>
      </c>
      <c r="K10"/>
      <c r="L10"/>
    </row>
    <row r="11" spans="1:12" ht="15" customHeight="1">
      <c r="A11" s="87" t="s">
        <v>653</v>
      </c>
      <c r="B11" s="88" t="s">
        <v>649</v>
      </c>
      <c r="C11" s="86">
        <v>44210</v>
      </c>
      <c r="D11" s="86">
        <f>C11+2</f>
        <v>44212</v>
      </c>
      <c r="E11" s="58"/>
      <c r="K11"/>
      <c r="L11"/>
    </row>
    <row r="12" spans="1:12" ht="15" customHeight="1">
      <c r="A12" s="87" t="s">
        <v>626</v>
      </c>
      <c r="B12" s="88" t="s">
        <v>74</v>
      </c>
      <c r="C12" s="86">
        <v>44362</v>
      </c>
      <c r="D12" s="86">
        <f>C12+2</f>
        <v>44364</v>
      </c>
      <c r="E12" s="58"/>
      <c r="K12"/>
      <c r="L12"/>
    </row>
    <row r="13" spans="1:12" ht="18">
      <c r="A13" s="87" t="s">
        <v>653</v>
      </c>
      <c r="B13" s="88" t="s">
        <v>89</v>
      </c>
      <c r="C13" s="86">
        <v>44354</v>
      </c>
      <c r="D13" s="86">
        <f>C13+59</f>
        <v>44413</v>
      </c>
      <c r="E13" s="58"/>
      <c r="K13"/>
      <c r="L13"/>
    </row>
    <row r="14" spans="1:12" ht="15" customHeight="1">
      <c r="A14" s="87" t="s">
        <v>653</v>
      </c>
      <c r="B14" s="88" t="s">
        <v>699</v>
      </c>
      <c r="C14" s="86">
        <v>44417</v>
      </c>
      <c r="D14" s="86">
        <f>C14+160</f>
        <v>44577</v>
      </c>
      <c r="E14" s="58"/>
      <c r="K14"/>
      <c r="L14"/>
    </row>
    <row r="15" spans="1:12" ht="15" customHeight="1">
      <c r="A15" s="87" t="s">
        <v>653</v>
      </c>
      <c r="B15" s="88" t="s">
        <v>835</v>
      </c>
      <c r="C15" s="86">
        <v>44576</v>
      </c>
      <c r="D15" s="86">
        <f>C15</f>
        <v>44576</v>
      </c>
      <c r="E15" s="58"/>
      <c r="K15"/>
      <c r="L15"/>
    </row>
    <row r="16" spans="1:12" ht="15" customHeight="1">
      <c r="A16" s="87" t="s">
        <v>653</v>
      </c>
      <c r="B16" s="88" t="s">
        <v>654</v>
      </c>
      <c r="C16" s="86">
        <v>44621</v>
      </c>
      <c r="D16" s="86">
        <f>C16+2</f>
        <v>44623</v>
      </c>
      <c r="E16" s="58"/>
      <c r="K16"/>
      <c r="L16"/>
    </row>
    <row r="17" spans="1:15" ht="15" customHeight="1">
      <c r="A17" s="87" t="s">
        <v>626</v>
      </c>
      <c r="B17" s="88" t="s">
        <v>655</v>
      </c>
      <c r="C17" s="86">
        <v>44699</v>
      </c>
      <c r="D17" s="86">
        <f t="shared" ref="D17:D20" si="1">C17</f>
        <v>44699</v>
      </c>
      <c r="E17" s="58"/>
      <c r="K17"/>
      <c r="L17"/>
    </row>
    <row r="18" spans="1:15" ht="15" customHeight="1">
      <c r="A18" s="87" t="s">
        <v>694</v>
      </c>
      <c r="B18" s="88" t="s">
        <v>693</v>
      </c>
      <c r="C18" s="86">
        <v>44501</v>
      </c>
      <c r="D18" s="86">
        <f t="shared" si="1"/>
        <v>44501</v>
      </c>
      <c r="E18" s="58"/>
      <c r="K18"/>
      <c r="L18"/>
    </row>
    <row r="19" spans="1:15" ht="18">
      <c r="A19" s="87" t="s">
        <v>626</v>
      </c>
      <c r="B19" s="88" t="s">
        <v>651</v>
      </c>
      <c r="C19" s="86">
        <v>44812</v>
      </c>
      <c r="D19" s="86">
        <f t="shared" si="1"/>
        <v>44812</v>
      </c>
      <c r="E19" s="58"/>
      <c r="K19"/>
      <c r="L19"/>
    </row>
    <row r="20" spans="1:15" ht="18">
      <c r="A20" s="87" t="s">
        <v>653</v>
      </c>
      <c r="B20" s="88" t="s">
        <v>695</v>
      </c>
      <c r="C20" s="86">
        <v>44736</v>
      </c>
      <c r="D20" s="86">
        <f t="shared" si="1"/>
        <v>44736</v>
      </c>
      <c r="E20" s="58"/>
      <c r="K20"/>
      <c r="L20"/>
    </row>
    <row r="21" spans="1:15" ht="25.8">
      <c r="A21" s="89"/>
      <c r="B21" s="116" t="s">
        <v>690</v>
      </c>
      <c r="C21" s="90">
        <f>MIN(C22:C26)</f>
        <v>43864</v>
      </c>
      <c r="D21" s="90">
        <f>MAX(D22:D26)</f>
        <v>44137</v>
      </c>
      <c r="E21" s="58"/>
      <c r="K21"/>
      <c r="L21"/>
    </row>
    <row r="22" spans="1:15" ht="18">
      <c r="A22" s="89" t="s">
        <v>490</v>
      </c>
      <c r="B22" s="91" t="s">
        <v>673</v>
      </c>
      <c r="C22" s="90">
        <v>43864</v>
      </c>
      <c r="D22" s="90">
        <f>C22</f>
        <v>43864</v>
      </c>
      <c r="E22" s="58"/>
      <c r="K22"/>
      <c r="L22"/>
    </row>
    <row r="23" spans="1:15" ht="18">
      <c r="A23" s="89" t="s">
        <v>490</v>
      </c>
      <c r="B23" s="91" t="s">
        <v>674</v>
      </c>
      <c r="C23" s="90">
        <v>43983</v>
      </c>
      <c r="D23" s="90">
        <f>C23</f>
        <v>43983</v>
      </c>
      <c r="E23" s="58"/>
      <c r="K23"/>
      <c r="L23"/>
    </row>
    <row r="24" spans="1:15" ht="15" customHeight="1">
      <c r="A24" s="89" t="s">
        <v>490</v>
      </c>
      <c r="B24" s="91" t="s">
        <v>675</v>
      </c>
      <c r="C24" s="90">
        <v>44046</v>
      </c>
      <c r="D24" s="90">
        <f>C24</f>
        <v>44046</v>
      </c>
      <c r="E24" s="58"/>
      <c r="K24"/>
      <c r="L24"/>
    </row>
    <row r="25" spans="1:15" ht="15" customHeight="1">
      <c r="A25" s="89" t="s">
        <v>490</v>
      </c>
      <c r="B25" s="91" t="s">
        <v>745</v>
      </c>
      <c r="C25" s="90">
        <v>44116</v>
      </c>
      <c r="D25" s="90">
        <f>C25</f>
        <v>44116</v>
      </c>
      <c r="E25" s="58"/>
      <c r="K25"/>
      <c r="L25"/>
    </row>
    <row r="26" spans="1:15" ht="15" customHeight="1">
      <c r="A26" s="89" t="s">
        <v>490</v>
      </c>
      <c r="B26" s="91" t="s">
        <v>676</v>
      </c>
      <c r="C26" s="90">
        <v>44137</v>
      </c>
      <c r="D26" s="90">
        <f>C26</f>
        <v>44137</v>
      </c>
      <c r="E26" s="58"/>
      <c r="K26"/>
      <c r="L26"/>
    </row>
    <row r="27" spans="1:15" ht="25.8">
      <c r="A27" s="92"/>
      <c r="B27" s="117" t="s">
        <v>689</v>
      </c>
      <c r="C27" s="93">
        <f>MIN(C28:C36)</f>
        <v>44189</v>
      </c>
      <c r="D27" s="93">
        <f>MAX(D28:D36)</f>
        <v>44643</v>
      </c>
      <c r="E27" s="58"/>
      <c r="K27"/>
      <c r="L27"/>
    </row>
    <row r="28" spans="1:15" ht="15" customHeight="1">
      <c r="A28" s="92" t="s">
        <v>672</v>
      </c>
      <c r="B28" s="94" t="s">
        <v>667</v>
      </c>
      <c r="C28" s="93">
        <f>D59+30</f>
        <v>44189</v>
      </c>
      <c r="D28" s="93">
        <f t="shared" ref="D28:D36" si="2">C28+1</f>
        <v>44190</v>
      </c>
      <c r="E28" s="58"/>
      <c r="K28"/>
      <c r="L28"/>
    </row>
    <row r="29" spans="1:15" ht="18">
      <c r="A29" s="92" t="s">
        <v>672</v>
      </c>
      <c r="B29" s="94" t="s">
        <v>668</v>
      </c>
      <c r="C29" s="93">
        <f>D60+30</f>
        <v>44216</v>
      </c>
      <c r="D29" s="93">
        <f t="shared" si="2"/>
        <v>44217</v>
      </c>
      <c r="E29" s="58"/>
      <c r="K29"/>
      <c r="L29"/>
    </row>
    <row r="30" spans="1:15" ht="18">
      <c r="A30" s="92" t="s">
        <v>672</v>
      </c>
      <c r="B30" s="94" t="s">
        <v>781</v>
      </c>
      <c r="C30" s="93">
        <f>D95+30</f>
        <v>44332</v>
      </c>
      <c r="D30" s="93">
        <f t="shared" si="2"/>
        <v>44333</v>
      </c>
      <c r="E30" s="58"/>
      <c r="K30"/>
      <c r="L30"/>
    </row>
    <row r="31" spans="1:15" s="57" customFormat="1" ht="18">
      <c r="A31" s="92" t="s">
        <v>672</v>
      </c>
      <c r="B31" s="94" t="s">
        <v>670</v>
      </c>
      <c r="C31" s="93">
        <f>D88+33</f>
        <v>44213</v>
      </c>
      <c r="D31" s="93">
        <f t="shared" si="2"/>
        <v>44214</v>
      </c>
      <c r="E31" s="58"/>
      <c r="J31"/>
      <c r="K31"/>
      <c r="L31"/>
      <c r="M31"/>
      <c r="N31"/>
      <c r="O31"/>
    </row>
    <row r="32" spans="1:15" ht="18">
      <c r="A32" s="92" t="s">
        <v>671</v>
      </c>
      <c r="B32" s="94" t="s">
        <v>821</v>
      </c>
      <c r="C32" s="93">
        <f>D136+60</f>
        <v>44529</v>
      </c>
      <c r="D32" s="93">
        <f t="shared" si="2"/>
        <v>44530</v>
      </c>
      <c r="E32" s="58"/>
      <c r="K32"/>
      <c r="L32"/>
    </row>
    <row r="33" spans="1:12" ht="18">
      <c r="A33" s="92" t="s">
        <v>671</v>
      </c>
      <c r="B33" s="94" t="s">
        <v>820</v>
      </c>
      <c r="C33" s="93">
        <f>D138+60</f>
        <v>44547</v>
      </c>
      <c r="D33" s="93">
        <f t="shared" si="2"/>
        <v>44548</v>
      </c>
      <c r="E33" s="58"/>
      <c r="K33"/>
      <c r="L33"/>
    </row>
    <row r="34" spans="1:12" ht="18">
      <c r="A34" s="92" t="s">
        <v>671</v>
      </c>
      <c r="B34" s="94" t="s">
        <v>819</v>
      </c>
      <c r="C34" s="93">
        <f>D130</f>
        <v>44613</v>
      </c>
      <c r="D34" s="93">
        <f t="shared" si="2"/>
        <v>44614</v>
      </c>
      <c r="E34" s="58"/>
      <c r="K34"/>
      <c r="L34"/>
    </row>
    <row r="35" spans="1:12" ht="18">
      <c r="A35" s="92" t="s">
        <v>671</v>
      </c>
      <c r="B35" s="94" t="s">
        <v>822</v>
      </c>
      <c r="C35" s="93">
        <f>D142+60</f>
        <v>44632</v>
      </c>
      <c r="D35" s="93">
        <f t="shared" si="2"/>
        <v>44633</v>
      </c>
      <c r="E35" s="58"/>
      <c r="F35" s="1"/>
      <c r="H35" s="68"/>
      <c r="K35"/>
      <c r="L35"/>
    </row>
    <row r="36" spans="1:12" ht="18">
      <c r="A36" s="92" t="s">
        <v>671</v>
      </c>
      <c r="B36" s="94" t="s">
        <v>823</v>
      </c>
      <c r="C36" s="93">
        <f>D143+60</f>
        <v>44642</v>
      </c>
      <c r="D36" s="93">
        <f t="shared" si="2"/>
        <v>44643</v>
      </c>
      <c r="E36" s="58"/>
      <c r="H36" s="68"/>
      <c r="I36" s="67"/>
      <c r="K36"/>
      <c r="L36"/>
    </row>
    <row r="37" spans="1:12" ht="25.8">
      <c r="A37" s="95"/>
      <c r="B37" s="118" t="s">
        <v>688</v>
      </c>
      <c r="C37" s="96">
        <f>MIN(C38:C42)</f>
        <v>43598</v>
      </c>
      <c r="D37" s="96">
        <f>MAX(D38:D42)</f>
        <v>43791</v>
      </c>
      <c r="E37" s="58"/>
      <c r="H37" s="68"/>
      <c r="I37" s="67"/>
      <c r="K37"/>
      <c r="L37"/>
    </row>
    <row r="38" spans="1:12" ht="36">
      <c r="A38" s="97" t="s">
        <v>608</v>
      </c>
      <c r="B38" s="129" t="s">
        <v>142</v>
      </c>
      <c r="C38" s="99">
        <v>43598</v>
      </c>
      <c r="D38" s="99">
        <f>C38+11</f>
        <v>43609</v>
      </c>
      <c r="E38" s="58"/>
      <c r="H38" s="68"/>
      <c r="I38" s="67"/>
      <c r="K38"/>
      <c r="L38"/>
    </row>
    <row r="39" spans="1:12" ht="18">
      <c r="A39" s="97" t="s">
        <v>489</v>
      </c>
      <c r="B39" s="98" t="s">
        <v>147</v>
      </c>
      <c r="C39" s="99">
        <f>D38+4</f>
        <v>43613</v>
      </c>
      <c r="D39" s="99">
        <f>C39+2</f>
        <v>43615</v>
      </c>
      <c r="E39" s="58"/>
      <c r="H39" s="68"/>
      <c r="I39" s="67"/>
      <c r="K39"/>
      <c r="L39"/>
    </row>
    <row r="40" spans="1:12" ht="18">
      <c r="A40" s="97" t="s">
        <v>608</v>
      </c>
      <c r="B40" s="98" t="s">
        <v>826</v>
      </c>
      <c r="C40" s="99">
        <v>43739</v>
      </c>
      <c r="D40" s="99">
        <f>C40+0</f>
        <v>43739</v>
      </c>
      <c r="E40" s="58"/>
      <c r="H40" s="68"/>
      <c r="I40" s="67"/>
      <c r="K40"/>
      <c r="L40"/>
    </row>
    <row r="41" spans="1:12" ht="18">
      <c r="A41" s="97" t="s">
        <v>491</v>
      </c>
      <c r="B41" s="98" t="s">
        <v>827</v>
      </c>
      <c r="C41" s="99">
        <f>WORKDAY(D40, 1)</f>
        <v>43740</v>
      </c>
      <c r="D41" s="216">
        <f>WORKDAY(C41,0)</f>
        <v>43740</v>
      </c>
      <c r="E41" s="58"/>
      <c r="H41" s="68"/>
      <c r="I41" s="67"/>
      <c r="K41"/>
      <c r="L41"/>
    </row>
    <row r="42" spans="1:12" ht="36">
      <c r="A42" s="135" t="s">
        <v>492</v>
      </c>
      <c r="B42" s="136" t="s">
        <v>782</v>
      </c>
      <c r="C42" s="99">
        <f>WORKDAY(D41, 23)</f>
        <v>43773</v>
      </c>
      <c r="D42" s="216">
        <f>WORKDAY(C42,14)</f>
        <v>43791</v>
      </c>
      <c r="E42" s="58"/>
      <c r="H42" s="68"/>
      <c r="I42" s="67"/>
      <c r="K42"/>
      <c r="L42"/>
    </row>
    <row r="43" spans="1:12" ht="25.8">
      <c r="A43" s="153"/>
      <c r="B43" s="231" t="s">
        <v>687</v>
      </c>
      <c r="C43" s="101">
        <f>MIN(C44:C65)</f>
        <v>43906</v>
      </c>
      <c r="D43" s="101">
        <f>MAX(D44:D65)</f>
        <v>44257</v>
      </c>
      <c r="E43" s="58"/>
      <c r="H43" s="68"/>
      <c r="I43" s="67"/>
      <c r="K43"/>
      <c r="L43"/>
    </row>
    <row r="44" spans="1:12" ht="18">
      <c r="A44" s="102" t="s">
        <v>608</v>
      </c>
      <c r="B44" s="131" t="s">
        <v>831</v>
      </c>
      <c r="C44" s="225">
        <v>43906</v>
      </c>
      <c r="D44" s="225">
        <f>C44+39</f>
        <v>43945</v>
      </c>
      <c r="E44" s="58"/>
      <c r="H44" s="68"/>
      <c r="I44" s="67"/>
      <c r="K44"/>
      <c r="L44"/>
    </row>
    <row r="45" spans="1:12" ht="18">
      <c r="A45" s="130" t="s">
        <v>489</v>
      </c>
      <c r="B45" s="131" t="s">
        <v>707</v>
      </c>
      <c r="C45" s="133">
        <f t="shared" ref="C45:C59" si="3">WORKDAY(D44,1)</f>
        <v>43948</v>
      </c>
      <c r="D45" s="133">
        <f>WORKDAY(C45,10)</f>
        <v>43962</v>
      </c>
      <c r="E45" s="58"/>
      <c r="H45" s="68"/>
      <c r="I45" s="67"/>
      <c r="K45"/>
      <c r="L45"/>
    </row>
    <row r="46" spans="1:12" ht="54">
      <c r="A46" s="130" t="s">
        <v>490</v>
      </c>
      <c r="B46" s="131" t="s">
        <v>733</v>
      </c>
      <c r="C46" s="133">
        <f t="shared" si="3"/>
        <v>43963</v>
      </c>
      <c r="D46" s="133">
        <f>WORKDAY(C46,8)</f>
        <v>43973</v>
      </c>
      <c r="E46" s="58"/>
      <c r="H46" s="68"/>
      <c r="I46" s="67"/>
      <c r="K46"/>
      <c r="L46"/>
    </row>
    <row r="47" spans="1:12" ht="18">
      <c r="A47" s="130" t="s">
        <v>488</v>
      </c>
      <c r="B47" s="131" t="s">
        <v>708</v>
      </c>
      <c r="C47" s="133">
        <f t="shared" si="3"/>
        <v>43976</v>
      </c>
      <c r="D47" s="133">
        <f>WORKDAY(C47,16)</f>
        <v>43998</v>
      </c>
      <c r="E47" s="58"/>
      <c r="H47" s="68"/>
      <c r="I47" s="67"/>
      <c r="K47"/>
      <c r="L47"/>
    </row>
    <row r="48" spans="1:12" ht="18">
      <c r="A48" s="130" t="s">
        <v>624</v>
      </c>
      <c r="B48" s="131" t="s">
        <v>709</v>
      </c>
      <c r="C48" s="133">
        <f t="shared" si="3"/>
        <v>43999</v>
      </c>
      <c r="D48" s="133">
        <f>WORKDAY(C48,10)</f>
        <v>44013</v>
      </c>
      <c r="E48" s="58"/>
      <c r="H48" s="68"/>
      <c r="I48" s="67"/>
      <c r="K48"/>
      <c r="L48"/>
    </row>
    <row r="49" spans="1:12" ht="18">
      <c r="A49" s="130" t="s">
        <v>491</v>
      </c>
      <c r="B49" s="131" t="s">
        <v>710</v>
      </c>
      <c r="C49" s="133">
        <f t="shared" si="3"/>
        <v>44014</v>
      </c>
      <c r="D49" s="133">
        <f>WORKDAY(C49,2)</f>
        <v>44018</v>
      </c>
      <c r="E49" s="58"/>
      <c r="H49" s="68"/>
      <c r="I49" s="67"/>
      <c r="K49"/>
      <c r="L49"/>
    </row>
    <row r="50" spans="1:12" ht="36">
      <c r="A50" s="130" t="s">
        <v>492</v>
      </c>
      <c r="B50" s="131" t="s">
        <v>804</v>
      </c>
      <c r="C50" s="133">
        <f t="shared" si="3"/>
        <v>44019</v>
      </c>
      <c r="D50" s="133">
        <f>WORKDAY(C50,37)</f>
        <v>44070</v>
      </c>
      <c r="E50" s="58"/>
      <c r="H50" s="68"/>
      <c r="I50" s="67"/>
      <c r="K50"/>
      <c r="L50"/>
    </row>
    <row r="51" spans="1:12" ht="18">
      <c r="A51" s="130" t="s">
        <v>490</v>
      </c>
      <c r="B51" s="131" t="s">
        <v>711</v>
      </c>
      <c r="C51" s="133">
        <f t="shared" si="3"/>
        <v>44071</v>
      </c>
      <c r="D51" s="133">
        <f>WORKDAY(C51,4)</f>
        <v>44077</v>
      </c>
      <c r="E51" s="58"/>
      <c r="H51" s="68"/>
      <c r="I51" s="67"/>
      <c r="K51"/>
      <c r="L51"/>
    </row>
    <row r="52" spans="1:12" ht="18">
      <c r="A52" s="130" t="s">
        <v>491</v>
      </c>
      <c r="B52" s="131" t="s">
        <v>712</v>
      </c>
      <c r="C52" s="133">
        <f t="shared" si="3"/>
        <v>44078</v>
      </c>
      <c r="D52" s="133">
        <f>WORKDAY(C52,2)</f>
        <v>44082</v>
      </c>
      <c r="E52" s="58"/>
      <c r="H52" s="68"/>
      <c r="I52" s="67"/>
      <c r="K52"/>
      <c r="L52"/>
    </row>
    <row r="53" spans="1:12" ht="36">
      <c r="A53" s="102" t="s">
        <v>620</v>
      </c>
      <c r="B53" s="131" t="s">
        <v>713</v>
      </c>
      <c r="C53" s="133">
        <f t="shared" si="3"/>
        <v>44083</v>
      </c>
      <c r="D53" s="133">
        <f>WORKDAY(C53,9)</f>
        <v>44096</v>
      </c>
      <c r="E53" s="58"/>
      <c r="H53" s="68"/>
      <c r="I53" s="67"/>
      <c r="K53"/>
      <c r="L53"/>
    </row>
    <row r="54" spans="1:12" ht="54">
      <c r="A54" s="130" t="s">
        <v>621</v>
      </c>
      <c r="B54" s="131" t="s">
        <v>805</v>
      </c>
      <c r="C54" s="133">
        <f t="shared" si="3"/>
        <v>44097</v>
      </c>
      <c r="D54" s="133">
        <f>WORKDAY(C54,5)</f>
        <v>44104</v>
      </c>
      <c r="E54" s="142"/>
      <c r="H54" s="68"/>
      <c r="I54" s="67"/>
      <c r="K54"/>
      <c r="L54"/>
    </row>
    <row r="55" spans="1:12" ht="18">
      <c r="A55" s="130" t="s">
        <v>808</v>
      </c>
      <c r="B55" s="131" t="s">
        <v>830</v>
      </c>
      <c r="C55" s="133">
        <f>WORKDAY(D54,1)</f>
        <v>44105</v>
      </c>
      <c r="D55" s="133">
        <f>WORKDAY(C55,4)</f>
        <v>44111</v>
      </c>
      <c r="E55" s="142"/>
      <c r="H55" s="68"/>
      <c r="I55" s="67"/>
      <c r="K55"/>
      <c r="L55"/>
    </row>
    <row r="56" spans="1:12" ht="54">
      <c r="A56" s="130" t="s">
        <v>621</v>
      </c>
      <c r="B56" s="131" t="s">
        <v>805</v>
      </c>
      <c r="C56" s="133">
        <f t="shared" ref="C56" si="4">WORKDAY(D55,1)</f>
        <v>44112</v>
      </c>
      <c r="D56" s="133">
        <f>WORKDAY(C56,11)</f>
        <v>44127</v>
      </c>
      <c r="E56" s="142"/>
      <c r="H56" s="68"/>
      <c r="I56" s="67"/>
      <c r="K56"/>
      <c r="L56"/>
    </row>
    <row r="57" spans="1:12" ht="18">
      <c r="A57" s="130" t="s">
        <v>755</v>
      </c>
      <c r="B57" s="152" t="s">
        <v>785</v>
      </c>
      <c r="C57" s="133">
        <f>WORKDAY(D56,1)</f>
        <v>44130</v>
      </c>
      <c r="D57" s="133">
        <f>WORKDAY(C57,2)</f>
        <v>44132</v>
      </c>
      <c r="E57" s="142"/>
      <c r="H57" s="68"/>
      <c r="I57" s="67"/>
      <c r="K57"/>
      <c r="L57"/>
    </row>
    <row r="58" spans="1:12" ht="18">
      <c r="A58" s="130" t="s">
        <v>494</v>
      </c>
      <c r="B58" s="152" t="s">
        <v>714</v>
      </c>
      <c r="C58" s="133">
        <f t="shared" si="3"/>
        <v>44133</v>
      </c>
      <c r="D58" s="133">
        <f>WORKDAY(C58,2)</f>
        <v>44137</v>
      </c>
      <c r="H58" s="68"/>
      <c r="I58" s="67"/>
      <c r="K58"/>
      <c r="L58"/>
    </row>
    <row r="59" spans="1:12" ht="18">
      <c r="A59" s="130" t="s">
        <v>497</v>
      </c>
      <c r="B59" s="131" t="s">
        <v>717</v>
      </c>
      <c r="C59" s="133">
        <f t="shared" si="3"/>
        <v>44138</v>
      </c>
      <c r="D59" s="133">
        <f>WORKDAY(C59,15)</f>
        <v>44159</v>
      </c>
      <c r="E59" s="142"/>
      <c r="H59" s="68"/>
      <c r="I59" s="67"/>
      <c r="K59"/>
      <c r="L59"/>
    </row>
    <row r="60" spans="1:12" ht="18">
      <c r="A60" s="130" t="s">
        <v>497</v>
      </c>
      <c r="B60" s="131" t="s">
        <v>716</v>
      </c>
      <c r="C60" s="133">
        <f>WORKDAY(D59,1)</f>
        <v>44160</v>
      </c>
      <c r="D60" s="133">
        <f>WORKDAY(C60,18)</f>
        <v>44186</v>
      </c>
      <c r="E60" s="142"/>
      <c r="H60" s="68"/>
      <c r="I60" s="67"/>
      <c r="K60"/>
      <c r="L60"/>
    </row>
    <row r="61" spans="1:12" ht="36">
      <c r="A61" s="222" t="s">
        <v>732</v>
      </c>
      <c r="B61" s="131" t="s">
        <v>731</v>
      </c>
      <c r="C61" s="133">
        <f>WORKDAY(D60,1)</f>
        <v>44187</v>
      </c>
      <c r="D61" s="133">
        <f>WORKDAY(C61,3)</f>
        <v>44190</v>
      </c>
      <c r="E61" s="58"/>
      <c r="H61" s="68"/>
      <c r="I61" s="67"/>
      <c r="K61"/>
      <c r="L61"/>
    </row>
    <row r="62" spans="1:12" ht="36">
      <c r="A62" s="130" t="s">
        <v>498</v>
      </c>
      <c r="B62" s="131" t="s">
        <v>796</v>
      </c>
      <c r="C62" s="133">
        <f>WORKDAY(D61,1)</f>
        <v>44193</v>
      </c>
      <c r="D62" s="133">
        <f>C62+45</f>
        <v>44238</v>
      </c>
      <c r="E62" s="142"/>
      <c r="H62" s="68"/>
      <c r="I62" s="67"/>
      <c r="K62"/>
      <c r="L62"/>
    </row>
    <row r="63" spans="1:12" ht="18">
      <c r="A63" s="130" t="s">
        <v>808</v>
      </c>
      <c r="B63" s="131" t="s">
        <v>836</v>
      </c>
      <c r="C63" s="133">
        <v>44238</v>
      </c>
      <c r="D63" s="133">
        <f>WORKDAY(C63,5)</f>
        <v>44245</v>
      </c>
      <c r="E63" s="142"/>
      <c r="H63" s="68"/>
      <c r="I63" s="67"/>
      <c r="K63"/>
      <c r="L63"/>
    </row>
    <row r="64" spans="1:12" ht="18">
      <c r="A64" s="130" t="s">
        <v>490</v>
      </c>
      <c r="B64" s="131" t="s">
        <v>715</v>
      </c>
      <c r="C64" s="133">
        <f>WORKDAY(D63,1)</f>
        <v>44246</v>
      </c>
      <c r="D64" s="133">
        <f t="shared" ref="D64:D65" si="5">WORKDAY(C64,3)</f>
        <v>44251</v>
      </c>
      <c r="E64" s="142"/>
      <c r="H64" s="68"/>
      <c r="I64" s="67"/>
      <c r="K64"/>
      <c r="L64"/>
    </row>
    <row r="65" spans="1:12" ht="18">
      <c r="A65" s="102" t="s">
        <v>794</v>
      </c>
      <c r="B65" s="131" t="s">
        <v>795</v>
      </c>
      <c r="C65" s="133">
        <f>WORKDAY(D64,1)</f>
        <v>44252</v>
      </c>
      <c r="D65" s="133">
        <f t="shared" si="5"/>
        <v>44257</v>
      </c>
      <c r="E65" s="142"/>
      <c r="H65" s="68"/>
      <c r="I65" s="67"/>
      <c r="K65"/>
      <c r="L65"/>
    </row>
    <row r="66" spans="1:12" ht="35.4" customHeight="1">
      <c r="A66" s="103"/>
      <c r="B66" s="232" t="s">
        <v>686</v>
      </c>
      <c r="C66" s="104">
        <f>MIN(C67:C115)</f>
        <v>43878</v>
      </c>
      <c r="D66" s="104">
        <f>MAX(D67:D115)</f>
        <v>44476</v>
      </c>
      <c r="E66" s="58"/>
      <c r="H66" s="68"/>
      <c r="I66" s="67"/>
      <c r="K66"/>
      <c r="L66"/>
    </row>
    <row r="67" spans="1:12" ht="18">
      <c r="A67" s="105" t="s">
        <v>751</v>
      </c>
      <c r="B67" s="134" t="s">
        <v>831</v>
      </c>
      <c r="C67" s="208">
        <v>43878</v>
      </c>
      <c r="D67" s="208">
        <f>C67+34</f>
        <v>43912</v>
      </c>
      <c r="E67" s="58"/>
      <c r="H67" s="68"/>
      <c r="I67" s="67"/>
      <c r="K67"/>
      <c r="L67"/>
    </row>
    <row r="68" spans="1:12" ht="18">
      <c r="A68" s="105" t="s">
        <v>489</v>
      </c>
      <c r="B68" s="134" t="s">
        <v>803</v>
      </c>
      <c r="C68" s="104">
        <f>D67+1</f>
        <v>43913</v>
      </c>
      <c r="D68" s="104">
        <f>C68+4</f>
        <v>43917</v>
      </c>
      <c r="E68" s="58"/>
      <c r="H68" s="68"/>
      <c r="I68" s="67"/>
      <c r="K68"/>
      <c r="L68"/>
    </row>
    <row r="69" spans="1:12" ht="18">
      <c r="A69" s="105" t="s">
        <v>751</v>
      </c>
      <c r="B69" s="134" t="s">
        <v>752</v>
      </c>
      <c r="C69" s="104">
        <f>D68+2</f>
        <v>43919</v>
      </c>
      <c r="D69" s="104">
        <f>C69+73</f>
        <v>43992</v>
      </c>
      <c r="E69" s="58"/>
      <c r="H69" s="68"/>
      <c r="I69" s="67"/>
      <c r="K69"/>
      <c r="L69"/>
    </row>
    <row r="70" spans="1:12" ht="18">
      <c r="A70" s="105" t="s">
        <v>489</v>
      </c>
      <c r="B70" s="134" t="s">
        <v>707</v>
      </c>
      <c r="C70" s="104">
        <f>WORKDAY(D69,1)</f>
        <v>43993</v>
      </c>
      <c r="D70" s="104">
        <f>WORKDAY(C70,3)</f>
        <v>43998</v>
      </c>
      <c r="E70" s="58"/>
      <c r="H70" s="68"/>
      <c r="I70" s="67"/>
      <c r="K70"/>
      <c r="L70"/>
    </row>
    <row r="71" spans="1:12" ht="18">
      <c r="A71" s="105" t="s">
        <v>490</v>
      </c>
      <c r="B71" s="134" t="s">
        <v>722</v>
      </c>
      <c r="C71" s="104">
        <f t="shared" ref="C71:C96" si="6">WORKDAY(D70,1)</f>
        <v>43999</v>
      </c>
      <c r="D71" s="104">
        <f>WORKDAY(C71,5)</f>
        <v>44006</v>
      </c>
      <c r="E71" s="58"/>
      <c r="H71" s="68"/>
      <c r="I71" s="67"/>
      <c r="K71"/>
      <c r="L71"/>
    </row>
    <row r="72" spans="1:12" ht="18">
      <c r="A72" s="105" t="s">
        <v>497</v>
      </c>
      <c r="B72" s="134" t="s">
        <v>719</v>
      </c>
      <c r="C72" s="104">
        <f t="shared" si="6"/>
        <v>44007</v>
      </c>
      <c r="D72" s="104">
        <f>WORKDAY(C72,0)</f>
        <v>44007</v>
      </c>
      <c r="E72" s="58"/>
      <c r="K72"/>
      <c r="L72"/>
    </row>
    <row r="73" spans="1:12" ht="18">
      <c r="A73" s="105" t="s">
        <v>732</v>
      </c>
      <c r="B73" s="134" t="s">
        <v>734</v>
      </c>
      <c r="C73" s="104">
        <f t="shared" si="6"/>
        <v>44008</v>
      </c>
      <c r="D73" s="104">
        <f>WORKDAY(C73,0)</f>
        <v>44008</v>
      </c>
      <c r="E73" s="58"/>
      <c r="K73"/>
      <c r="L73"/>
    </row>
    <row r="74" spans="1:12" ht="18">
      <c r="A74" s="105" t="s">
        <v>623</v>
      </c>
      <c r="B74" s="134" t="s">
        <v>723</v>
      </c>
      <c r="C74" s="104">
        <f>WORKDAY(D71,1)</f>
        <v>44007</v>
      </c>
      <c r="D74" s="104">
        <f>WORKDAY(C74,7, 1)</f>
        <v>44018</v>
      </c>
      <c r="E74" s="58"/>
      <c r="H74" s="68"/>
      <c r="I74" s="67"/>
      <c r="K74"/>
      <c r="L74"/>
    </row>
    <row r="75" spans="1:12" ht="18">
      <c r="A75" s="105" t="s">
        <v>494</v>
      </c>
      <c r="B75" s="134" t="s">
        <v>606</v>
      </c>
      <c r="C75" s="104">
        <f t="shared" si="6"/>
        <v>44019</v>
      </c>
      <c r="D75" s="104">
        <f>WORKDAY(C75,5)</f>
        <v>44026</v>
      </c>
      <c r="E75" s="58"/>
      <c r="H75" s="68"/>
      <c r="I75" s="67"/>
      <c r="K75"/>
      <c r="L75"/>
    </row>
    <row r="76" spans="1:12" ht="18">
      <c r="A76" s="105" t="s">
        <v>748</v>
      </c>
      <c r="B76" s="134" t="s">
        <v>742</v>
      </c>
      <c r="C76" s="104">
        <f t="shared" si="6"/>
        <v>44027</v>
      </c>
      <c r="D76" s="104">
        <f>WORKDAY(C76,2)</f>
        <v>44029</v>
      </c>
      <c r="E76" s="58"/>
      <c r="H76" s="68"/>
      <c r="I76" s="67"/>
      <c r="K76"/>
      <c r="L76"/>
    </row>
    <row r="77" spans="1:12" ht="39.6" customHeight="1">
      <c r="A77" s="105" t="s">
        <v>783</v>
      </c>
      <c r="B77" s="134" t="s">
        <v>784</v>
      </c>
      <c r="C77" s="104">
        <f t="shared" si="6"/>
        <v>44032</v>
      </c>
      <c r="D77" s="104">
        <f>WORKDAY(C77,3)</f>
        <v>44035</v>
      </c>
      <c r="E77" s="58"/>
      <c r="H77" s="68"/>
      <c r="I77" s="67"/>
      <c r="K77"/>
      <c r="L77"/>
    </row>
    <row r="78" spans="1:12" ht="18">
      <c r="A78" s="105" t="s">
        <v>488</v>
      </c>
      <c r="B78" s="134" t="s">
        <v>806</v>
      </c>
      <c r="C78" s="104">
        <f t="shared" si="6"/>
        <v>44036</v>
      </c>
      <c r="D78" s="104">
        <f>WORKDAY(C78,1)</f>
        <v>44039</v>
      </c>
      <c r="E78" s="58"/>
      <c r="H78" s="68"/>
      <c r="I78" s="67"/>
      <c r="K78"/>
      <c r="L78"/>
    </row>
    <row r="79" spans="1:12" ht="18">
      <c r="A79" s="105" t="s">
        <v>502</v>
      </c>
      <c r="B79" s="134" t="s">
        <v>725</v>
      </c>
      <c r="C79" s="104">
        <f t="shared" si="6"/>
        <v>44040</v>
      </c>
      <c r="D79" s="104">
        <f>WORKDAY(C79,10)</f>
        <v>44054</v>
      </c>
      <c r="E79" s="58"/>
      <c r="H79" s="68"/>
      <c r="I79" s="67"/>
      <c r="K79"/>
      <c r="L79"/>
    </row>
    <row r="80" spans="1:12" ht="18">
      <c r="A80" s="105" t="s">
        <v>490</v>
      </c>
      <c r="B80" s="134" t="s">
        <v>736</v>
      </c>
      <c r="C80" s="104">
        <f>WORKDAY(D79,1)</f>
        <v>44055</v>
      </c>
      <c r="D80" s="104">
        <f>WORKDAY(C80,5)</f>
        <v>44062</v>
      </c>
      <c r="E80" s="58"/>
      <c r="F80" s="1"/>
      <c r="K80"/>
      <c r="L80"/>
    </row>
    <row r="81" spans="1:12" ht="18">
      <c r="A81" s="105" t="s">
        <v>755</v>
      </c>
      <c r="B81" s="134" t="s">
        <v>785</v>
      </c>
      <c r="C81" s="104">
        <f>WORKDAY(D80,1)</f>
        <v>44063</v>
      </c>
      <c r="D81" s="104">
        <f>WORKDAY(C81,11)</f>
        <v>44078</v>
      </c>
      <c r="E81" s="58"/>
      <c r="F81" s="1"/>
      <c r="G81" s="209"/>
      <c r="K81"/>
      <c r="L81"/>
    </row>
    <row r="82" spans="1:12" ht="18">
      <c r="A82" s="105" t="s">
        <v>624</v>
      </c>
      <c r="B82" s="134" t="s">
        <v>724</v>
      </c>
      <c r="C82" s="104">
        <f>WORKDAY(D81,1)</f>
        <v>44081</v>
      </c>
      <c r="D82" s="104">
        <f>WORKDAY(C82,12)</f>
        <v>44097</v>
      </c>
      <c r="E82" s="58"/>
      <c r="F82" s="1"/>
      <c r="K82"/>
      <c r="L82"/>
    </row>
    <row r="83" spans="1:12" ht="18">
      <c r="A83" s="105" t="s">
        <v>622</v>
      </c>
      <c r="B83" s="134" t="s">
        <v>727</v>
      </c>
      <c r="C83" s="104">
        <f>WORKDAY(D82,1)</f>
        <v>44098</v>
      </c>
      <c r="D83" s="104">
        <f>WORKDAY(C83,5)</f>
        <v>44105</v>
      </c>
      <c r="E83" s="149"/>
      <c r="F83" s="1"/>
      <c r="K83"/>
      <c r="L83"/>
    </row>
    <row r="84" spans="1:12" ht="36">
      <c r="A84" s="89" t="s">
        <v>620</v>
      </c>
      <c r="B84" s="134" t="s">
        <v>744</v>
      </c>
      <c r="C84" s="104">
        <f t="shared" si="6"/>
        <v>44106</v>
      </c>
      <c r="D84" s="104">
        <f>WORKDAY(C84,8)</f>
        <v>44118</v>
      </c>
      <c r="E84" s="149"/>
      <c r="F84" s="1"/>
      <c r="K84"/>
      <c r="L84"/>
    </row>
    <row r="85" spans="1:12" ht="54">
      <c r="A85" s="105" t="s">
        <v>621</v>
      </c>
      <c r="B85" s="134" t="s">
        <v>728</v>
      </c>
      <c r="C85" s="104">
        <f t="shared" si="6"/>
        <v>44119</v>
      </c>
      <c r="D85" s="104">
        <f>WORKDAY(C85,19)</f>
        <v>44146</v>
      </c>
      <c r="E85" s="197" t="s">
        <v>839</v>
      </c>
      <c r="F85" s="1"/>
      <c r="K85"/>
      <c r="L85"/>
    </row>
    <row r="86" spans="1:12" ht="18">
      <c r="A86" s="89" t="s">
        <v>494</v>
      </c>
      <c r="B86" s="134" t="s">
        <v>729</v>
      </c>
      <c r="C86" s="104">
        <f t="shared" si="6"/>
        <v>44147</v>
      </c>
      <c r="D86" s="104">
        <f>WORKDAY(C86,7)</f>
        <v>44158</v>
      </c>
      <c r="E86" s="58"/>
      <c r="F86" s="1"/>
      <c r="K86"/>
      <c r="L86"/>
    </row>
    <row r="87" spans="1:12" ht="18">
      <c r="A87" s="89" t="s">
        <v>808</v>
      </c>
      <c r="B87" s="134" t="s">
        <v>829</v>
      </c>
      <c r="C87" s="104">
        <f t="shared" ref="C87" si="7">WORKDAY(D86,1)</f>
        <v>44159</v>
      </c>
      <c r="D87" s="104">
        <f>WORKDAY(C87,5)</f>
        <v>44166</v>
      </c>
      <c r="E87" s="58"/>
      <c r="F87" s="1"/>
      <c r="K87"/>
      <c r="L87"/>
    </row>
    <row r="88" spans="1:12" ht="36">
      <c r="A88" s="105" t="s">
        <v>488</v>
      </c>
      <c r="B88" s="134" t="s">
        <v>797</v>
      </c>
      <c r="C88" s="104">
        <f>WORKDAY(D87,5)</f>
        <v>44173</v>
      </c>
      <c r="D88" s="104">
        <f>WORKDAY(C88,5)</f>
        <v>44180</v>
      </c>
      <c r="E88" s="58"/>
      <c r="F88" s="1"/>
      <c r="K88"/>
      <c r="L88"/>
    </row>
    <row r="89" spans="1:12" ht="18">
      <c r="A89" s="89" t="s">
        <v>808</v>
      </c>
      <c r="B89" s="134" t="s">
        <v>809</v>
      </c>
      <c r="C89" s="104">
        <f>WORKDAY(D88,3)</f>
        <v>44183</v>
      </c>
      <c r="D89" s="104">
        <f>WORKDAY(C89,11)</f>
        <v>44200</v>
      </c>
      <c r="E89" s="142"/>
      <c r="F89" s="1"/>
      <c r="K89"/>
      <c r="L89"/>
    </row>
    <row r="90" spans="1:12" ht="18">
      <c r="A90" s="89" t="s">
        <v>780</v>
      </c>
      <c r="B90" s="134" t="s">
        <v>645</v>
      </c>
      <c r="C90" s="104">
        <f>WORKDAY(D89,5,)</f>
        <v>44207</v>
      </c>
      <c r="D90" s="104">
        <f>WORKDAY(C90,3)</f>
        <v>44210</v>
      </c>
      <c r="E90" s="58"/>
      <c r="F90" s="1"/>
      <c r="K90"/>
      <c r="L90"/>
    </row>
    <row r="91" spans="1:12" ht="18">
      <c r="A91" s="89" t="s">
        <v>786</v>
      </c>
      <c r="B91" s="134" t="s">
        <v>787</v>
      </c>
      <c r="C91" s="104">
        <f>WORKDAY(D89,1)</f>
        <v>44201</v>
      </c>
      <c r="D91" s="104">
        <f>WORKDAY(C91,10)</f>
        <v>44215</v>
      </c>
      <c r="E91" s="142"/>
      <c r="F91" s="1"/>
      <c r="K91"/>
      <c r="L91"/>
    </row>
    <row r="92" spans="1:12" ht="18">
      <c r="A92" s="89" t="s">
        <v>625</v>
      </c>
      <c r="B92" s="134" t="s">
        <v>640</v>
      </c>
      <c r="C92" s="104">
        <f>WORKDAY(D91,1)</f>
        <v>44216</v>
      </c>
      <c r="D92" s="104">
        <f>WORKDAY(C92,36)</f>
        <v>44266</v>
      </c>
      <c r="E92" s="142"/>
      <c r="F92" s="1"/>
      <c r="K92"/>
      <c r="L92"/>
    </row>
    <row r="93" spans="1:12" ht="18">
      <c r="A93" s="105" t="s">
        <v>755</v>
      </c>
      <c r="B93" s="134" t="s">
        <v>788</v>
      </c>
      <c r="C93" s="104">
        <f t="shared" si="6"/>
        <v>44267</v>
      </c>
      <c r="D93" s="104">
        <f>WORKDAY(C93,11)</f>
        <v>44284</v>
      </c>
      <c r="E93" s="149"/>
      <c r="K93"/>
      <c r="L93"/>
    </row>
    <row r="94" spans="1:12" ht="18">
      <c r="A94" s="105" t="s">
        <v>497</v>
      </c>
      <c r="B94" s="134" t="s">
        <v>726</v>
      </c>
      <c r="C94" s="104">
        <f>WORKDAY(D93,1)</f>
        <v>44285</v>
      </c>
      <c r="D94" s="104">
        <f>WORKDAY(C94,7)</f>
        <v>44294</v>
      </c>
      <c r="F94" s="1"/>
      <c r="K94"/>
      <c r="L94"/>
    </row>
    <row r="95" spans="1:12" ht="36">
      <c r="A95" s="105" t="s">
        <v>490</v>
      </c>
      <c r="B95" s="134" t="s">
        <v>791</v>
      </c>
      <c r="C95" s="104">
        <f t="shared" si="6"/>
        <v>44295</v>
      </c>
      <c r="D95" s="104">
        <f>WORKDAY(C95,5)</f>
        <v>44302</v>
      </c>
      <c r="E95" s="149"/>
      <c r="F95" s="1"/>
      <c r="K95"/>
      <c r="L95"/>
    </row>
    <row r="96" spans="1:12" ht="18">
      <c r="A96" s="105" t="s">
        <v>623</v>
      </c>
      <c r="B96" s="134" t="s">
        <v>747</v>
      </c>
      <c r="C96" s="104">
        <f t="shared" si="6"/>
        <v>44305</v>
      </c>
      <c r="D96" s="104">
        <f>WORKDAY(C96,5)</f>
        <v>44312</v>
      </c>
      <c r="E96" s="149"/>
      <c r="F96" s="1"/>
      <c r="K96"/>
      <c r="L96"/>
    </row>
    <row r="97" spans="1:12" ht="18">
      <c r="A97" s="134" t="s">
        <v>837</v>
      </c>
      <c r="B97" s="134" t="s">
        <v>832</v>
      </c>
      <c r="C97" s="104">
        <f>WORKDAY(D96,18)</f>
        <v>44336</v>
      </c>
      <c r="D97" s="104">
        <f>WORKDAY(C97,100)</f>
        <v>44476</v>
      </c>
      <c r="E97" s="58"/>
      <c r="K97"/>
      <c r="L97"/>
    </row>
    <row r="98" spans="1:12" ht="25.8">
      <c r="A98" s="191"/>
      <c r="B98" s="192" t="s">
        <v>779</v>
      </c>
      <c r="C98" s="193">
        <f>MIN(C99:C115)</f>
        <v>43892</v>
      </c>
      <c r="D98" s="193">
        <f>MAX(D99:D115)</f>
        <v>44347</v>
      </c>
      <c r="E98" s="149"/>
      <c r="F98" s="1"/>
      <c r="K98"/>
      <c r="L98"/>
    </row>
    <row r="99" spans="1:12" ht="18">
      <c r="A99" s="194" t="s">
        <v>608</v>
      </c>
      <c r="B99" s="195" t="s">
        <v>831</v>
      </c>
      <c r="C99" s="226">
        <v>43892</v>
      </c>
      <c r="D99" s="226">
        <f>C99+34</f>
        <v>43926</v>
      </c>
      <c r="E99" s="149"/>
      <c r="F99" s="1"/>
      <c r="K99"/>
      <c r="L99"/>
    </row>
    <row r="100" spans="1:12" ht="18">
      <c r="A100" s="194" t="s">
        <v>489</v>
      </c>
      <c r="B100" s="195" t="s">
        <v>803</v>
      </c>
      <c r="C100" s="193">
        <f>D99+1</f>
        <v>43927</v>
      </c>
      <c r="D100" s="193">
        <f>C100+4</f>
        <v>43931</v>
      </c>
      <c r="K100"/>
      <c r="L100"/>
    </row>
    <row r="101" spans="1:12" ht="18">
      <c r="A101" s="194" t="s">
        <v>751</v>
      </c>
      <c r="B101" s="195" t="s">
        <v>752</v>
      </c>
      <c r="C101" s="193">
        <f>D100+2</f>
        <v>43933</v>
      </c>
      <c r="D101" s="193">
        <f>C101+74</f>
        <v>44007</v>
      </c>
      <c r="E101" s="149"/>
      <c r="F101" s="1"/>
      <c r="K101"/>
      <c r="L101"/>
    </row>
    <row r="102" spans="1:12" ht="18">
      <c r="A102" s="194" t="s">
        <v>489</v>
      </c>
      <c r="B102" s="195" t="s">
        <v>707</v>
      </c>
      <c r="C102" s="193">
        <f t="shared" ref="C102:C110" si="8">WORKDAY(D101,1)</f>
        <v>44008</v>
      </c>
      <c r="D102" s="193">
        <f>WORKDAY(C102,3)</f>
        <v>44013</v>
      </c>
      <c r="E102" s="149"/>
      <c r="F102" s="1"/>
      <c r="K102"/>
      <c r="L102"/>
    </row>
    <row r="103" spans="1:12" ht="18">
      <c r="A103" s="194" t="s">
        <v>490</v>
      </c>
      <c r="B103" s="196" t="s">
        <v>722</v>
      </c>
      <c r="C103" s="193">
        <f>WORKDAY(D102,1)</f>
        <v>44014</v>
      </c>
      <c r="D103" s="193">
        <f>WORKDAY(C103,5)</f>
        <v>44021</v>
      </c>
      <c r="E103" s="149"/>
      <c r="K103"/>
      <c r="L103"/>
    </row>
    <row r="104" spans="1:12" ht="36">
      <c r="A104" s="194" t="s">
        <v>624</v>
      </c>
      <c r="B104" s="196" t="s">
        <v>807</v>
      </c>
      <c r="C104" s="193">
        <f>WORKDAY(D102,1)</f>
        <v>44014</v>
      </c>
      <c r="D104" s="193">
        <f>WORKDAY(C104,12)</f>
        <v>44032</v>
      </c>
      <c r="E104" s="149"/>
      <c r="K104"/>
      <c r="L104"/>
    </row>
    <row r="105" spans="1:12" ht="18">
      <c r="A105" s="194" t="s">
        <v>494</v>
      </c>
      <c r="B105" s="196" t="s">
        <v>606</v>
      </c>
      <c r="C105" s="193">
        <f>WORKDAY(D104,1)</f>
        <v>44033</v>
      </c>
      <c r="D105" s="193">
        <f>WORKDAY(C105,5)</f>
        <v>44040</v>
      </c>
      <c r="E105" s="149"/>
      <c r="K105"/>
      <c r="L105"/>
    </row>
    <row r="106" spans="1:12" ht="18">
      <c r="A106" s="194" t="s">
        <v>755</v>
      </c>
      <c r="B106" s="196" t="s">
        <v>785</v>
      </c>
      <c r="C106" s="193">
        <f>WORKDAY(D105,1)</f>
        <v>44041</v>
      </c>
      <c r="D106" s="193">
        <f>WORKDAY(C106,7)</f>
        <v>44050</v>
      </c>
      <c r="E106" s="58"/>
      <c r="K106"/>
      <c r="L106"/>
    </row>
    <row r="107" spans="1:12" ht="18">
      <c r="A107" s="194" t="s">
        <v>502</v>
      </c>
      <c r="B107" s="196" t="s">
        <v>725</v>
      </c>
      <c r="C107" s="193">
        <f>WORKDAY(D106,1)</f>
        <v>44053</v>
      </c>
      <c r="D107" s="193">
        <f>WORKDAY(C107,9)</f>
        <v>44064</v>
      </c>
      <c r="E107" s="149"/>
      <c r="K107"/>
      <c r="L107"/>
    </row>
    <row r="108" spans="1:12" ht="18">
      <c r="A108" s="194" t="s">
        <v>624</v>
      </c>
      <c r="B108" s="196" t="s">
        <v>724</v>
      </c>
      <c r="C108" s="193">
        <f>WORKDAY(D106,12)</f>
        <v>44068</v>
      </c>
      <c r="D108" s="193">
        <f t="shared" ref="D108" si="9">WORKDAY(C108,7)</f>
        <v>44077</v>
      </c>
      <c r="E108" s="58"/>
      <c r="K108"/>
      <c r="L108"/>
    </row>
    <row r="109" spans="1:12" ht="54">
      <c r="A109" s="194" t="s">
        <v>495</v>
      </c>
      <c r="B109" s="196" t="s">
        <v>840</v>
      </c>
      <c r="C109" s="193">
        <f t="shared" si="8"/>
        <v>44078</v>
      </c>
      <c r="D109" s="193">
        <f>WORKDAY(C109,44)</f>
        <v>44140</v>
      </c>
      <c r="E109" s="140"/>
      <c r="K109"/>
      <c r="L109"/>
    </row>
    <row r="110" spans="1:12" ht="36">
      <c r="A110" s="194" t="s">
        <v>492</v>
      </c>
      <c r="B110" s="196" t="s">
        <v>737</v>
      </c>
      <c r="C110" s="193">
        <f t="shared" si="8"/>
        <v>44141</v>
      </c>
      <c r="D110" s="193">
        <f>WORKDAY(C110,10)</f>
        <v>44155</v>
      </c>
      <c r="E110" s="149"/>
      <c r="F110" s="1"/>
      <c r="K110"/>
      <c r="L110"/>
    </row>
    <row r="111" spans="1:12" ht="18">
      <c r="A111" s="194" t="s">
        <v>808</v>
      </c>
      <c r="B111" s="196" t="s">
        <v>829</v>
      </c>
      <c r="C111" s="193">
        <f>WORKDAY(D110,1)</f>
        <v>44158</v>
      </c>
      <c r="D111" s="193">
        <f>WORKDAY(C111,5)</f>
        <v>44165</v>
      </c>
      <c r="E111" s="149"/>
      <c r="F111" s="1"/>
      <c r="K111"/>
      <c r="L111"/>
    </row>
    <row r="112" spans="1:12" ht="36">
      <c r="A112" s="194" t="s">
        <v>492</v>
      </c>
      <c r="B112" s="196" t="s">
        <v>737</v>
      </c>
      <c r="C112" s="193">
        <f>WORKDAY(D111,1)</f>
        <v>44166</v>
      </c>
      <c r="D112" s="193">
        <f>WORKDAY(C112,13)</f>
        <v>44183</v>
      </c>
      <c r="E112" s="149"/>
      <c r="F112" s="1"/>
      <c r="K112"/>
      <c r="L112"/>
    </row>
    <row r="113" spans="1:12" ht="18">
      <c r="A113" s="194" t="s">
        <v>808</v>
      </c>
      <c r="B113" s="196" t="s">
        <v>809</v>
      </c>
      <c r="C113" s="193">
        <f>WORKDAY(D112,2)</f>
        <v>44187</v>
      </c>
      <c r="D113" s="193">
        <v>44200</v>
      </c>
      <c r="E113" s="149"/>
      <c r="F113" s="1"/>
      <c r="K113"/>
      <c r="L113"/>
    </row>
    <row r="114" spans="1:12" ht="36">
      <c r="A114" s="194" t="s">
        <v>490</v>
      </c>
      <c r="B114" s="196" t="s">
        <v>810</v>
      </c>
      <c r="C114" s="193">
        <f>WORKDAY(D113,1)</f>
        <v>44201</v>
      </c>
      <c r="D114" s="193">
        <f>WORKDAY(C114,5)</f>
        <v>44208</v>
      </c>
      <c r="E114" s="149"/>
      <c r="F114" s="1"/>
      <c r="K114"/>
      <c r="L114"/>
    </row>
    <row r="115" spans="1:12" ht="18">
      <c r="A115" s="194" t="s">
        <v>758</v>
      </c>
      <c r="B115" s="196" t="s">
        <v>841</v>
      </c>
      <c r="C115" s="193">
        <f>WORKDAY(D61,85)</f>
        <v>44309</v>
      </c>
      <c r="D115" s="193">
        <f>WORKDAY(C115,26)</f>
        <v>44347</v>
      </c>
      <c r="E115" s="58"/>
      <c r="K115"/>
      <c r="L115"/>
    </row>
    <row r="116" spans="1:12" ht="25.8">
      <c r="A116" s="126"/>
      <c r="B116" s="127" t="s">
        <v>685</v>
      </c>
      <c r="C116" s="107">
        <f>MIN(C117:C131)</f>
        <v>44354</v>
      </c>
      <c r="D116" s="107">
        <f>MAX(D117:D131)</f>
        <v>44627</v>
      </c>
      <c r="E116" s="58"/>
      <c r="K116"/>
      <c r="L116"/>
    </row>
    <row r="117" spans="1:12" ht="18">
      <c r="A117" s="108" t="s">
        <v>751</v>
      </c>
      <c r="B117" s="210" t="s">
        <v>834</v>
      </c>
      <c r="C117" s="128">
        <v>44354</v>
      </c>
      <c r="D117" s="128">
        <v>44413</v>
      </c>
      <c r="E117" s="58"/>
      <c r="K117"/>
      <c r="L117"/>
    </row>
    <row r="118" spans="1:12" ht="18">
      <c r="A118" s="108" t="s">
        <v>751</v>
      </c>
      <c r="B118" s="210" t="s">
        <v>752</v>
      </c>
      <c r="C118" s="107">
        <f>D117+1</f>
        <v>44414</v>
      </c>
      <c r="D118" s="107">
        <f>C118+60</f>
        <v>44474</v>
      </c>
      <c r="E118" s="58"/>
      <c r="K118"/>
      <c r="L118"/>
    </row>
    <row r="119" spans="1:12" ht="18">
      <c r="A119" s="108" t="s">
        <v>489</v>
      </c>
      <c r="B119" s="210" t="s">
        <v>707</v>
      </c>
      <c r="C119" s="107">
        <f>WORKDAY(D118,1)</f>
        <v>44475</v>
      </c>
      <c r="D119" s="107">
        <f>WORKDAY(C119,3)</f>
        <v>44480</v>
      </c>
      <c r="E119" s="58"/>
      <c r="K119"/>
      <c r="L119"/>
    </row>
    <row r="120" spans="1:12" ht="18">
      <c r="A120" s="108" t="s">
        <v>490</v>
      </c>
      <c r="B120" s="210" t="s">
        <v>811</v>
      </c>
      <c r="C120" s="107">
        <f>WORKDAY(D119,1)</f>
        <v>44481</v>
      </c>
      <c r="D120" s="107">
        <f>WORKDAY(C120,5)</f>
        <v>44488</v>
      </c>
      <c r="E120" s="58"/>
      <c r="K120"/>
      <c r="L120"/>
    </row>
    <row r="121" spans="1:12" ht="36">
      <c r="A121" s="139" t="s">
        <v>488</v>
      </c>
      <c r="B121" s="211" t="s">
        <v>773</v>
      </c>
      <c r="C121" s="107">
        <f>WORKDAY(D120,1)</f>
        <v>44489</v>
      </c>
      <c r="D121" s="107">
        <f>WORKDAY(C121,5)</f>
        <v>44496</v>
      </c>
      <c r="E121" s="58"/>
      <c r="K121"/>
      <c r="L121"/>
    </row>
    <row r="122" spans="1:12" ht="18">
      <c r="A122" s="108" t="s">
        <v>659</v>
      </c>
      <c r="B122" s="210" t="s">
        <v>812</v>
      </c>
      <c r="C122" s="107">
        <f>WORKDAY(D121,1)</f>
        <v>44497</v>
      </c>
      <c r="D122" s="107">
        <f>WORKDAY(C122,8)</f>
        <v>44509</v>
      </c>
      <c r="E122" s="58"/>
      <c r="K122"/>
      <c r="L122"/>
    </row>
    <row r="123" spans="1:12" ht="18">
      <c r="A123" s="108" t="s">
        <v>490</v>
      </c>
      <c r="B123" s="210" t="s">
        <v>774</v>
      </c>
      <c r="C123" s="107">
        <f>WORKDAY(D122,1)</f>
        <v>44510</v>
      </c>
      <c r="D123" s="107">
        <f t="shared" ref="D123:D124" si="10">WORKDAY(C123,3)</f>
        <v>44515</v>
      </c>
      <c r="E123" s="58"/>
      <c r="K123"/>
      <c r="L123"/>
    </row>
    <row r="124" spans="1:12" ht="18">
      <c r="A124" s="108" t="s">
        <v>491</v>
      </c>
      <c r="B124" s="210" t="s">
        <v>712</v>
      </c>
      <c r="C124" s="107">
        <f t="shared" ref="C124:C130" si="11">WORKDAY(D123,1)</f>
        <v>44516</v>
      </c>
      <c r="D124" s="107">
        <f t="shared" si="10"/>
        <v>44519</v>
      </c>
      <c r="E124" s="58"/>
      <c r="K124"/>
      <c r="L124"/>
    </row>
    <row r="125" spans="1:12" ht="18">
      <c r="A125" s="108" t="s">
        <v>808</v>
      </c>
      <c r="B125" s="210" t="s">
        <v>829</v>
      </c>
      <c r="C125" s="107">
        <f t="shared" si="11"/>
        <v>44522</v>
      </c>
      <c r="D125" s="107">
        <f>WORKDAY(C125,5)</f>
        <v>44529</v>
      </c>
      <c r="E125" s="58"/>
      <c r="K125"/>
      <c r="L125"/>
    </row>
    <row r="126" spans="1:12" ht="18">
      <c r="A126" s="108" t="s">
        <v>495</v>
      </c>
      <c r="B126" s="210" t="s">
        <v>813</v>
      </c>
      <c r="C126" s="107">
        <f>WORKDAY(D125,1)</f>
        <v>44530</v>
      </c>
      <c r="D126" s="107">
        <f>WORKDAY(C126,10)</f>
        <v>44544</v>
      </c>
      <c r="E126" s="58"/>
      <c r="K126"/>
      <c r="L126"/>
    </row>
    <row r="127" spans="1:12" ht="18">
      <c r="A127" s="108" t="s">
        <v>808</v>
      </c>
      <c r="B127" s="210" t="s">
        <v>809</v>
      </c>
      <c r="C127" s="107">
        <f>WORKDAY(D126,3)</f>
        <v>44547</v>
      </c>
      <c r="D127" s="107">
        <f>WORKDAY(C127,11)</f>
        <v>44564</v>
      </c>
      <c r="E127" s="58"/>
      <c r="K127"/>
      <c r="L127"/>
    </row>
    <row r="128" spans="1:12" ht="18">
      <c r="A128" s="108" t="s">
        <v>495</v>
      </c>
      <c r="B128" s="210" t="s">
        <v>813</v>
      </c>
      <c r="C128" s="107">
        <f>WORKDAY(D127,1)</f>
        <v>44565</v>
      </c>
      <c r="D128" s="107">
        <f>WORKDAY(C128,20)</f>
        <v>44593</v>
      </c>
      <c r="E128" s="58"/>
      <c r="K128"/>
      <c r="L128"/>
    </row>
    <row r="129" spans="1:12" ht="18">
      <c r="A129" s="108" t="s">
        <v>490</v>
      </c>
      <c r="B129" s="210" t="s">
        <v>715</v>
      </c>
      <c r="C129" s="107">
        <f>WORKDAY(D128,1)</f>
        <v>44594</v>
      </c>
      <c r="D129" s="107">
        <f>WORKDAY(C129,5)</f>
        <v>44601</v>
      </c>
      <c r="E129" s="58"/>
      <c r="K129"/>
      <c r="L129"/>
    </row>
    <row r="130" spans="1:12" ht="18">
      <c r="A130" s="108" t="s">
        <v>497</v>
      </c>
      <c r="B130" s="210" t="s">
        <v>814</v>
      </c>
      <c r="C130" s="107">
        <f t="shared" si="11"/>
        <v>44602</v>
      </c>
      <c r="D130" s="107">
        <f>WORKDAY(C130,7)</f>
        <v>44613</v>
      </c>
      <c r="E130" s="58"/>
      <c r="K130"/>
      <c r="L130"/>
    </row>
    <row r="131" spans="1:12" ht="18">
      <c r="A131" s="108" t="s">
        <v>748</v>
      </c>
      <c r="B131" s="210" t="s">
        <v>789</v>
      </c>
      <c r="C131" s="107">
        <f>WORKDAY(D130,1)</f>
        <v>44614</v>
      </c>
      <c r="D131" s="107">
        <f>WORKDAY(C131,9)</f>
        <v>44627</v>
      </c>
      <c r="E131" s="58"/>
      <c r="K131"/>
      <c r="L131"/>
    </row>
    <row r="132" spans="1:12" ht="25.8">
      <c r="A132" s="109"/>
      <c r="B132" s="121" t="s">
        <v>661</v>
      </c>
      <c r="C132" s="110">
        <f>MIN(C133:C147)</f>
        <v>44354</v>
      </c>
      <c r="D132" s="110">
        <f>MAX(D133:D147)</f>
        <v>44796</v>
      </c>
      <c r="E132" s="58"/>
      <c r="K132"/>
      <c r="L132"/>
    </row>
    <row r="133" spans="1:12" ht="18">
      <c r="A133" s="109" t="s">
        <v>818</v>
      </c>
      <c r="B133" s="109" t="s">
        <v>833</v>
      </c>
      <c r="C133" s="227">
        <v>44354</v>
      </c>
      <c r="D133" s="228">
        <v>44414</v>
      </c>
      <c r="E133" s="58"/>
      <c r="K133"/>
      <c r="L133"/>
    </row>
    <row r="134" spans="1:12" ht="18">
      <c r="A134" s="111" t="s">
        <v>489</v>
      </c>
      <c r="B134" s="109" t="s">
        <v>147</v>
      </c>
      <c r="C134" s="110">
        <f>WORKDAY(D133,1)</f>
        <v>44417</v>
      </c>
      <c r="D134" s="110">
        <f>WORKDAY(C134,10)</f>
        <v>44431</v>
      </c>
      <c r="E134" s="58"/>
      <c r="K134"/>
      <c r="L134"/>
    </row>
    <row r="135" spans="1:12" ht="18">
      <c r="A135" s="111" t="s">
        <v>490</v>
      </c>
      <c r="B135" s="109" t="s">
        <v>417</v>
      </c>
      <c r="C135" s="110">
        <f>WORKDAY(D134,1)</f>
        <v>44432</v>
      </c>
      <c r="D135" s="110">
        <f>WORKDAY(C135,8)</f>
        <v>44442</v>
      </c>
      <c r="E135" s="58"/>
      <c r="K135"/>
      <c r="L135"/>
    </row>
    <row r="136" spans="1:12" ht="18">
      <c r="A136" s="111" t="s">
        <v>497</v>
      </c>
      <c r="B136" s="109" t="s">
        <v>597</v>
      </c>
      <c r="C136" s="110">
        <f>WORKDAY(D135,1)</f>
        <v>44445</v>
      </c>
      <c r="D136" s="110">
        <f>WORKDAY(C136,18)</f>
        <v>44469</v>
      </c>
      <c r="E136" s="58"/>
      <c r="K136"/>
      <c r="L136"/>
    </row>
    <row r="137" spans="1:12" ht="18">
      <c r="A137" s="111" t="s">
        <v>808</v>
      </c>
      <c r="B137" s="109" t="s">
        <v>838</v>
      </c>
      <c r="C137" s="110">
        <f>WORKDAY(D136,1)</f>
        <v>44470</v>
      </c>
      <c r="D137" s="110">
        <f>WORKDAY(C137,4)</f>
        <v>44476</v>
      </c>
      <c r="E137" s="142"/>
      <c r="H137" s="68"/>
      <c r="I137" s="67"/>
      <c r="K137"/>
      <c r="L137"/>
    </row>
    <row r="138" spans="1:12" ht="18">
      <c r="A138" s="111" t="s">
        <v>497</v>
      </c>
      <c r="B138" s="109" t="s">
        <v>596</v>
      </c>
      <c r="C138" s="110">
        <f>WORKDAY(D136,1)</f>
        <v>44470</v>
      </c>
      <c r="D138" s="110">
        <f>WORKDAY(C138,11)</f>
        <v>44487</v>
      </c>
      <c r="E138" s="58"/>
      <c r="K138"/>
      <c r="L138"/>
    </row>
    <row r="139" spans="1:12" ht="18">
      <c r="A139" s="111" t="s">
        <v>497</v>
      </c>
      <c r="B139" s="112" t="s">
        <v>825</v>
      </c>
      <c r="C139" s="110">
        <f>WORKDAY(D138,1)</f>
        <v>44488</v>
      </c>
      <c r="D139" s="110">
        <f>WORKDAY(C139,12)</f>
        <v>44504</v>
      </c>
      <c r="E139" s="58"/>
      <c r="K139"/>
      <c r="L139"/>
    </row>
    <row r="140" spans="1:12" ht="36">
      <c r="A140" s="111" t="s">
        <v>492</v>
      </c>
      <c r="B140" s="230" t="s">
        <v>595</v>
      </c>
      <c r="C140" s="110">
        <f t="shared" ref="C140:C147" si="12">WORKDAY(D139,1)</f>
        <v>44505</v>
      </c>
      <c r="D140" s="110">
        <f>WORKDAY(C140,31)</f>
        <v>44550</v>
      </c>
      <c r="E140" s="58"/>
      <c r="K140"/>
      <c r="L140"/>
    </row>
    <row r="141" spans="1:12" ht="18">
      <c r="A141" s="111" t="s">
        <v>598</v>
      </c>
      <c r="B141" s="112" t="s">
        <v>702</v>
      </c>
      <c r="C141" s="110">
        <f t="shared" si="12"/>
        <v>44551</v>
      </c>
      <c r="D141" s="110">
        <f>WORKDAY(C141,7)</f>
        <v>44560</v>
      </c>
      <c r="E141" s="58"/>
      <c r="K141"/>
      <c r="L141"/>
    </row>
    <row r="142" spans="1:12" ht="18">
      <c r="A142" s="111" t="s">
        <v>497</v>
      </c>
      <c r="B142" s="112" t="s">
        <v>703</v>
      </c>
      <c r="C142" s="110">
        <f t="shared" si="12"/>
        <v>44561</v>
      </c>
      <c r="D142" s="110">
        <f>WORKDAY(C142,7)</f>
        <v>44572</v>
      </c>
      <c r="E142" s="58"/>
      <c r="H142" s="68"/>
      <c r="I142" s="67"/>
      <c r="K142"/>
      <c r="L142"/>
    </row>
    <row r="143" spans="1:12" ht="18">
      <c r="A143" s="111" t="s">
        <v>497</v>
      </c>
      <c r="B143" s="112" t="s">
        <v>706</v>
      </c>
      <c r="C143" s="110">
        <f t="shared" si="12"/>
        <v>44573</v>
      </c>
      <c r="D143" s="110">
        <f>WORKDAY(C143,7)</f>
        <v>44582</v>
      </c>
      <c r="E143" s="58"/>
      <c r="H143" s="68"/>
      <c r="I143" s="67"/>
      <c r="K143"/>
      <c r="L143"/>
    </row>
    <row r="144" spans="1:12" ht="18">
      <c r="A144" s="111" t="s">
        <v>808</v>
      </c>
      <c r="B144" s="112" t="s">
        <v>836</v>
      </c>
      <c r="C144" s="110">
        <v>44591</v>
      </c>
      <c r="D144" s="110">
        <f>WORKDAY(C144,6)</f>
        <v>44599</v>
      </c>
      <c r="E144" s="58"/>
      <c r="H144" s="68"/>
      <c r="I144" s="67"/>
      <c r="K144"/>
      <c r="L144"/>
    </row>
    <row r="145" spans="1:12" ht="34.200000000000003" customHeight="1">
      <c r="A145" s="213" t="s">
        <v>767</v>
      </c>
      <c r="B145" s="212" t="s">
        <v>815</v>
      </c>
      <c r="C145" s="110">
        <f>WORKDAY(D144,1)</f>
        <v>44600</v>
      </c>
      <c r="D145" s="110">
        <f>WORKDAY(C145,46)</f>
        <v>44664</v>
      </c>
      <c r="E145" s="58"/>
      <c r="K145"/>
      <c r="L145"/>
    </row>
    <row r="146" spans="1:12" ht="18">
      <c r="A146" s="213" t="s">
        <v>768</v>
      </c>
      <c r="B146" s="112" t="s">
        <v>816</v>
      </c>
      <c r="C146" s="110">
        <f t="shared" si="12"/>
        <v>44665</v>
      </c>
      <c r="D146" s="110">
        <f>WORKDAY(C146,46)</f>
        <v>44729</v>
      </c>
      <c r="E146" s="58"/>
      <c r="K146"/>
      <c r="L146"/>
    </row>
    <row r="147" spans="1:12" ht="18">
      <c r="A147" s="213" t="s">
        <v>769</v>
      </c>
      <c r="B147" s="112" t="s">
        <v>817</v>
      </c>
      <c r="C147" s="110">
        <f t="shared" si="12"/>
        <v>44732</v>
      </c>
      <c r="D147" s="110">
        <f>WORKDAY(C147,46)</f>
        <v>44796</v>
      </c>
      <c r="E147" s="58"/>
      <c r="K147"/>
      <c r="L147"/>
    </row>
    <row r="148" spans="1:12">
      <c r="K148"/>
      <c r="L148"/>
    </row>
    <row r="149" spans="1:12">
      <c r="K149"/>
      <c r="L149"/>
    </row>
    <row r="150" spans="1:12">
      <c r="K150"/>
      <c r="L150"/>
    </row>
    <row r="151" spans="1:12">
      <c r="K151"/>
      <c r="L151"/>
    </row>
    <row r="152" spans="1:12">
      <c r="K152"/>
      <c r="L152"/>
    </row>
    <row r="153" spans="1:12">
      <c r="K153"/>
      <c r="L153"/>
    </row>
    <row r="154" spans="1:12">
      <c r="K154"/>
      <c r="L154"/>
    </row>
  </sheetData>
  <pageMargins left="0.7" right="0.7" top="0.75" bottom="0.75" header="0.3" footer="0.3"/>
  <pageSetup paperSize="8199" scale="185" orientation="portrait" r:id="rId1"/>
  <headerFooter>
    <oddFooter>&amp;L&amp;1#&amp;"Calibri"&amp;10&amp;K737373Caterpillar: Confidential Green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1C1D-AB38-4369-800A-3407E41D8F21}">
  <dimension ref="A1:AXD11"/>
  <sheetViews>
    <sheetView zoomScale="60" zoomScaleNormal="60" workbookViewId="0">
      <selection activeCell="A2" sqref="A2:XFD2"/>
    </sheetView>
  </sheetViews>
  <sheetFormatPr defaultRowHeight="14.4"/>
  <cols>
    <col min="1" max="1" width="29.21875" bestFit="1" customWidth="1"/>
    <col min="2" max="2" width="31" bestFit="1" customWidth="1"/>
    <col min="6" max="6" width="8.6640625" bestFit="1" customWidth="1"/>
    <col min="221" max="221" width="20.6640625" bestFit="1" customWidth="1"/>
    <col min="222" max="222" width="21.5546875" bestFit="1" customWidth="1"/>
    <col min="346" max="346" width="12" bestFit="1" customWidth="1"/>
    <col min="465" max="465" width="12.33203125" bestFit="1" customWidth="1"/>
    <col min="489" max="489" width="23.21875" bestFit="1" customWidth="1"/>
    <col min="490" max="490" width="22.6640625" bestFit="1" customWidth="1"/>
    <col min="528" max="528" width="12.33203125" bestFit="1" customWidth="1"/>
    <col min="598" max="598" width="11.21875" bestFit="1" customWidth="1"/>
    <col min="619" max="619" width="12.33203125" bestFit="1" customWidth="1"/>
    <col min="1181" max="1181" width="8.44140625" bestFit="1" customWidth="1"/>
    <col min="1218" max="1218" width="14.88671875" bestFit="1" customWidth="1"/>
    <col min="1294" max="1294" width="6.77734375" bestFit="1" customWidth="1"/>
  </cols>
  <sheetData>
    <row r="1" spans="1:1304" ht="31.2" customHeight="1" thickTop="1" thickBot="1">
      <c r="A1" t="s">
        <v>610</v>
      </c>
      <c r="B1" t="s">
        <v>611</v>
      </c>
      <c r="C1" s="238">
        <v>43521</v>
      </c>
      <c r="D1" s="238"/>
      <c r="E1" s="238"/>
      <c r="F1" s="238"/>
      <c r="G1" s="238"/>
      <c r="H1" s="238"/>
      <c r="I1" s="238"/>
      <c r="J1" s="238">
        <v>43528</v>
      </c>
      <c r="K1" s="238"/>
      <c r="L1" s="238"/>
      <c r="M1" s="238"/>
      <c r="N1" s="238"/>
      <c r="O1" s="238"/>
      <c r="P1" s="238"/>
      <c r="Q1" s="238">
        <v>43535</v>
      </c>
      <c r="R1" s="238"/>
      <c r="S1" s="238"/>
      <c r="T1" s="238"/>
      <c r="U1" s="238"/>
      <c r="V1" s="238"/>
      <c r="W1" s="238"/>
      <c r="X1" s="238">
        <v>43542</v>
      </c>
      <c r="Y1" s="238"/>
      <c r="Z1" s="238"/>
      <c r="AA1" s="238"/>
      <c r="AB1" s="238"/>
      <c r="AC1" s="238"/>
      <c r="AD1" s="238"/>
      <c r="AE1" s="238">
        <v>43549</v>
      </c>
      <c r="AF1" s="238"/>
      <c r="AG1" s="238"/>
      <c r="AH1" s="238"/>
      <c r="AI1" s="238"/>
      <c r="AJ1" s="238"/>
      <c r="AK1" s="238"/>
      <c r="AL1" s="238">
        <v>43556</v>
      </c>
      <c r="AM1" s="238"/>
      <c r="AN1" s="238"/>
      <c r="AO1" s="238"/>
      <c r="AP1" s="238"/>
      <c r="AQ1" s="238"/>
      <c r="AR1" s="238"/>
      <c r="AS1" s="238">
        <v>43563</v>
      </c>
      <c r="AT1" s="238"/>
      <c r="AU1" s="238"/>
      <c r="AV1" s="238"/>
      <c r="AW1" s="238"/>
      <c r="AX1" s="238"/>
      <c r="AY1" s="238"/>
      <c r="AZ1" s="238">
        <v>43570</v>
      </c>
      <c r="BA1" s="238"/>
      <c r="BB1" s="238"/>
      <c r="BC1" s="238"/>
      <c r="BD1" s="238"/>
      <c r="BE1" s="238"/>
      <c r="BF1" s="238"/>
      <c r="BG1" s="238">
        <v>43577</v>
      </c>
      <c r="BH1" s="238"/>
      <c r="BI1" s="238"/>
      <c r="BJ1" s="238"/>
      <c r="BK1" s="238"/>
      <c r="BL1" s="238"/>
      <c r="BM1" s="238"/>
      <c r="BN1" s="238">
        <v>43584</v>
      </c>
      <c r="BO1" s="238"/>
      <c r="BP1" s="238"/>
      <c r="BQ1" s="238"/>
      <c r="BR1" s="238"/>
      <c r="BS1" s="238"/>
      <c r="BT1" s="238"/>
      <c r="BU1" s="238">
        <v>43591</v>
      </c>
      <c r="BV1" s="238"/>
      <c r="BW1" s="238"/>
      <c r="BX1" s="238"/>
      <c r="BY1" s="238"/>
      <c r="BZ1" s="238"/>
      <c r="CA1" s="238"/>
      <c r="CB1" s="238">
        <v>43598</v>
      </c>
      <c r="CC1" s="238"/>
      <c r="CD1" s="238"/>
      <c r="CE1" s="238"/>
      <c r="CF1" s="238"/>
      <c r="CG1" s="238"/>
      <c r="CH1" s="238"/>
      <c r="CI1" s="238">
        <v>43605</v>
      </c>
      <c r="CJ1" s="238"/>
      <c r="CK1" s="238"/>
      <c r="CL1" s="238"/>
      <c r="CM1" s="238"/>
      <c r="CN1" s="238"/>
      <c r="CO1" s="238"/>
      <c r="CP1" s="238">
        <v>43612</v>
      </c>
      <c r="CQ1" s="238"/>
      <c r="CR1" s="238"/>
      <c r="CS1" s="238"/>
      <c r="CT1" s="238"/>
      <c r="CU1" s="238"/>
      <c r="CV1" s="238"/>
      <c r="CW1" s="238">
        <v>43619</v>
      </c>
      <c r="CX1" s="238"/>
      <c r="CY1" s="238"/>
      <c r="CZ1" s="238"/>
      <c r="DA1" s="238"/>
      <c r="DB1" s="238"/>
      <c r="DC1" s="238"/>
      <c r="DD1" s="238">
        <v>43626</v>
      </c>
      <c r="DE1" s="238"/>
      <c r="DF1" s="238"/>
      <c r="DG1" s="238"/>
      <c r="DH1" s="238"/>
      <c r="DI1" s="238"/>
      <c r="DJ1" s="238"/>
      <c r="DK1" s="238">
        <v>43633</v>
      </c>
      <c r="DL1" s="238"/>
      <c r="DM1" s="238"/>
      <c r="DN1" s="238"/>
      <c r="DO1" s="238"/>
      <c r="DP1" s="238"/>
      <c r="DQ1" s="238"/>
      <c r="DR1" s="238">
        <v>43640</v>
      </c>
      <c r="DS1" s="238"/>
      <c r="DT1" s="238"/>
      <c r="DU1" s="238"/>
      <c r="DV1" s="238"/>
      <c r="DW1" s="238"/>
      <c r="DX1" s="238"/>
      <c r="DY1" s="238">
        <v>43647</v>
      </c>
      <c r="DZ1" s="238"/>
      <c r="EA1" s="238"/>
      <c r="EB1" s="238"/>
      <c r="EC1" s="238"/>
      <c r="ED1" s="238"/>
      <c r="EE1" s="238"/>
      <c r="EF1" s="238">
        <v>43654</v>
      </c>
      <c r="EG1" s="238"/>
      <c r="EH1" s="238"/>
      <c r="EI1" s="238"/>
      <c r="EJ1" s="238"/>
      <c r="EK1" s="238"/>
      <c r="EL1" s="238"/>
      <c r="EM1" s="238">
        <v>43661</v>
      </c>
      <c r="EN1" s="238"/>
      <c r="EO1" s="238"/>
      <c r="EP1" s="238"/>
      <c r="EQ1" s="238"/>
      <c r="ER1" s="238"/>
      <c r="ES1" s="238"/>
      <c r="ET1" s="238">
        <v>43668</v>
      </c>
      <c r="EU1" s="238"/>
      <c r="EV1" s="238"/>
      <c r="EW1" s="238"/>
      <c r="EX1" s="238"/>
      <c r="EY1" s="238"/>
      <c r="EZ1" s="238"/>
      <c r="FA1" s="238">
        <v>43675</v>
      </c>
      <c r="FB1" s="238"/>
      <c r="FC1" s="238"/>
      <c r="FD1" s="238"/>
      <c r="FE1" s="238"/>
      <c r="FF1" s="238"/>
      <c r="FG1" s="238"/>
      <c r="FH1" s="238">
        <v>43682</v>
      </c>
      <c r="FI1" s="238"/>
      <c r="FJ1" s="238"/>
      <c r="FK1" s="238"/>
      <c r="FL1" s="238"/>
      <c r="FM1" s="238"/>
      <c r="FN1" s="238"/>
      <c r="FO1" s="238">
        <v>43689</v>
      </c>
      <c r="FP1" s="238"/>
      <c r="FQ1" s="238"/>
      <c r="FR1" s="238"/>
      <c r="FS1" s="238"/>
      <c r="FT1" s="238"/>
      <c r="FU1" s="238"/>
      <c r="FV1" s="238">
        <v>43696</v>
      </c>
      <c r="FW1" s="238"/>
      <c r="FX1" s="238"/>
      <c r="FY1" s="238"/>
      <c r="FZ1" s="238"/>
      <c r="GA1" s="238"/>
      <c r="GB1" s="238"/>
      <c r="GC1" s="238">
        <v>43703</v>
      </c>
      <c r="GD1" s="238"/>
      <c r="GE1" s="238"/>
      <c r="GF1" s="238"/>
      <c r="GG1" s="238"/>
      <c r="GH1" s="238"/>
      <c r="GI1" s="238"/>
      <c r="GJ1" s="238">
        <v>43710</v>
      </c>
      <c r="GK1" s="238"/>
      <c r="GL1" s="238"/>
      <c r="GM1" s="238"/>
      <c r="GN1" s="238"/>
      <c r="GO1" s="238"/>
      <c r="GP1" s="238"/>
      <c r="GQ1" s="238">
        <v>43717</v>
      </c>
      <c r="GR1" s="238"/>
      <c r="GS1" s="238"/>
      <c r="GT1" s="238"/>
      <c r="GU1" s="238"/>
      <c r="GV1" s="238"/>
      <c r="GW1" s="238"/>
      <c r="GX1" s="238">
        <v>43724</v>
      </c>
      <c r="GY1" s="238"/>
      <c r="GZ1" s="238"/>
      <c r="HA1" s="238"/>
      <c r="HB1" s="238"/>
      <c r="HC1" s="238"/>
      <c r="HD1" s="238"/>
      <c r="HE1" s="238">
        <v>43731</v>
      </c>
      <c r="HF1" s="238"/>
      <c r="HG1" s="238"/>
      <c r="HH1" s="238"/>
      <c r="HI1" s="238"/>
      <c r="HJ1" s="238"/>
      <c r="HK1" s="238"/>
      <c r="HL1" s="238">
        <v>43738</v>
      </c>
      <c r="HM1" s="238"/>
      <c r="HN1" s="238"/>
      <c r="HO1" s="238"/>
      <c r="HP1" s="238"/>
      <c r="HQ1" s="238"/>
      <c r="HR1" s="238"/>
      <c r="HS1" s="238">
        <v>43745</v>
      </c>
      <c r="HT1" s="238"/>
      <c r="HU1" s="238"/>
      <c r="HV1" s="238"/>
      <c r="HW1" s="238"/>
      <c r="HX1" s="238"/>
      <c r="HY1" s="238"/>
      <c r="HZ1" s="238">
        <v>43752</v>
      </c>
      <c r="IA1" s="238"/>
      <c r="IB1" s="238"/>
      <c r="IC1" s="238"/>
      <c r="ID1" s="238"/>
      <c r="IE1" s="238"/>
      <c r="IF1" s="238"/>
      <c r="IG1" s="238">
        <v>43759</v>
      </c>
      <c r="IH1" s="238"/>
      <c r="II1" s="238"/>
      <c r="IJ1" s="238"/>
      <c r="IK1" s="238"/>
      <c r="IL1" s="238"/>
      <c r="IM1" s="238"/>
      <c r="IN1" s="238">
        <v>43766</v>
      </c>
      <c r="IO1" s="238"/>
      <c r="IP1" s="238"/>
      <c r="IQ1" s="238"/>
      <c r="IR1" s="238"/>
      <c r="IS1" s="238"/>
      <c r="IT1" s="238"/>
      <c r="IU1" s="238">
        <v>43773</v>
      </c>
      <c r="IV1" s="238"/>
      <c r="IW1" s="238"/>
      <c r="IX1" s="238"/>
      <c r="IY1" s="238"/>
      <c r="IZ1" s="238"/>
      <c r="JA1" s="238"/>
      <c r="JB1" s="238">
        <v>43780</v>
      </c>
      <c r="JC1" s="238"/>
      <c r="JD1" s="238"/>
      <c r="JE1" s="238"/>
      <c r="JF1" s="238"/>
      <c r="JG1" s="238"/>
      <c r="JH1" s="238"/>
      <c r="JI1" s="238">
        <v>43787</v>
      </c>
      <c r="JJ1" s="238"/>
      <c r="JK1" s="238"/>
      <c r="JL1" s="238"/>
      <c r="JM1" s="238"/>
      <c r="JN1" s="238"/>
      <c r="JO1" s="238"/>
      <c r="JP1" s="238">
        <v>43794</v>
      </c>
      <c r="JQ1" s="238"/>
      <c r="JR1" s="238"/>
      <c r="JS1" s="238"/>
      <c r="JT1" s="238"/>
      <c r="JU1" s="238"/>
      <c r="JV1" s="238"/>
      <c r="JW1" s="238">
        <v>43801</v>
      </c>
      <c r="JX1" s="238"/>
      <c r="JY1" s="238"/>
      <c r="JZ1" s="238"/>
      <c r="KA1" s="238"/>
      <c r="KB1" s="238"/>
      <c r="KC1" s="238"/>
      <c r="KD1" s="238">
        <v>43808</v>
      </c>
      <c r="KE1" s="238"/>
      <c r="KF1" s="238"/>
      <c r="KG1" s="238"/>
      <c r="KH1" s="238"/>
      <c r="KI1" s="238"/>
      <c r="KJ1" s="238"/>
      <c r="KK1" s="238">
        <v>43815</v>
      </c>
      <c r="KL1" s="238"/>
      <c r="KM1" s="238"/>
      <c r="KN1" s="238"/>
      <c r="KO1" s="238"/>
      <c r="KP1" s="238"/>
      <c r="KQ1" s="238"/>
      <c r="KR1" s="238">
        <v>43822</v>
      </c>
      <c r="KS1" s="238"/>
      <c r="KT1" s="238"/>
      <c r="KU1" s="238"/>
      <c r="KV1" s="238"/>
      <c r="KW1" s="238"/>
      <c r="KX1" s="238"/>
      <c r="KY1" s="238">
        <v>43829</v>
      </c>
      <c r="KZ1" s="238"/>
      <c r="LA1" s="238"/>
      <c r="LB1" s="238"/>
      <c r="LC1" s="238"/>
      <c r="LD1" s="238"/>
      <c r="LE1" s="238"/>
      <c r="LF1" s="238">
        <v>43836</v>
      </c>
      <c r="LG1" s="238"/>
      <c r="LH1" s="238"/>
      <c r="LI1" s="238"/>
      <c r="LJ1" s="238"/>
      <c r="LK1" s="238"/>
      <c r="LL1" s="238"/>
      <c r="LM1" s="238">
        <v>43843</v>
      </c>
      <c r="LN1" s="238"/>
      <c r="LO1" s="238"/>
      <c r="LP1" s="238"/>
      <c r="LQ1" s="238"/>
      <c r="LR1" s="238"/>
      <c r="LS1" s="238"/>
      <c r="LT1" s="238">
        <v>43850</v>
      </c>
      <c r="LU1" s="238"/>
      <c r="LV1" s="238"/>
      <c r="LW1" s="238"/>
      <c r="LX1" s="238"/>
      <c r="LY1" s="238"/>
      <c r="LZ1" s="238"/>
      <c r="MA1" s="238">
        <v>43857</v>
      </c>
      <c r="MB1" s="238"/>
      <c r="MC1" s="238"/>
      <c r="MD1" s="238"/>
      <c r="ME1" s="238"/>
      <c r="MF1" s="238"/>
      <c r="MG1" s="238"/>
      <c r="MH1" s="238">
        <v>43864</v>
      </c>
      <c r="MI1" s="238"/>
      <c r="MJ1" s="238"/>
      <c r="MK1" s="238"/>
      <c r="ML1" s="238"/>
      <c r="MM1" s="238"/>
      <c r="MN1" s="238"/>
      <c r="MO1" s="238">
        <v>43871</v>
      </c>
      <c r="MP1" s="238"/>
      <c r="MQ1" s="238"/>
      <c r="MR1" s="238"/>
      <c r="MS1" s="238"/>
      <c r="MT1" s="238"/>
      <c r="MU1" s="238"/>
      <c r="MV1" s="238">
        <v>43878</v>
      </c>
      <c r="MW1" s="238"/>
      <c r="MX1" s="238"/>
      <c r="MY1" s="238"/>
      <c r="MZ1" s="238"/>
      <c r="NA1" s="238"/>
      <c r="NB1" s="238"/>
      <c r="NC1" s="238">
        <v>43885</v>
      </c>
      <c r="ND1" s="238"/>
      <c r="NE1" s="238"/>
      <c r="NF1" s="238"/>
      <c r="NG1" s="238"/>
      <c r="NH1" s="238"/>
      <c r="NI1" s="238"/>
      <c r="NJ1" s="238">
        <v>43892</v>
      </c>
      <c r="NK1" s="238"/>
      <c r="NL1" s="238"/>
      <c r="NM1" s="238"/>
      <c r="NN1" s="238"/>
      <c r="NO1" s="238"/>
      <c r="NP1" s="238"/>
      <c r="NQ1" s="238">
        <v>43899</v>
      </c>
      <c r="NR1" s="238"/>
      <c r="NS1" s="238"/>
      <c r="NT1" s="238"/>
      <c r="NU1" s="238"/>
      <c r="NV1" s="238"/>
      <c r="NW1" s="238"/>
      <c r="NX1" s="238">
        <v>43906</v>
      </c>
      <c r="NY1" s="238"/>
      <c r="NZ1" s="238"/>
      <c r="OA1" s="238"/>
      <c r="OB1" s="238"/>
      <c r="OC1" s="238"/>
      <c r="OD1" s="238"/>
      <c r="OE1" s="238">
        <v>43913</v>
      </c>
      <c r="OF1" s="238"/>
      <c r="OG1" s="238"/>
      <c r="OH1" s="238"/>
      <c r="OI1" s="238"/>
      <c r="OJ1" s="238"/>
      <c r="OK1" s="238"/>
      <c r="OL1" s="238">
        <v>43920</v>
      </c>
      <c r="OM1" s="238"/>
      <c r="ON1" s="238"/>
      <c r="OO1" s="238"/>
      <c r="OP1" s="238"/>
      <c r="OQ1" s="238"/>
      <c r="OR1" s="238"/>
      <c r="OS1" s="238">
        <v>43927</v>
      </c>
      <c r="OT1" s="238"/>
      <c r="OU1" s="238"/>
      <c r="OV1" s="238"/>
      <c r="OW1" s="238"/>
      <c r="OX1" s="238"/>
      <c r="OY1" s="238"/>
      <c r="OZ1" s="238">
        <v>43934</v>
      </c>
      <c r="PA1" s="238"/>
      <c r="PB1" s="238"/>
      <c r="PC1" s="238"/>
      <c r="PD1" s="238"/>
      <c r="PE1" s="238"/>
      <c r="PF1" s="238"/>
      <c r="PG1" s="238">
        <v>43941</v>
      </c>
      <c r="PH1" s="238"/>
      <c r="PI1" s="238"/>
      <c r="PJ1" s="238"/>
      <c r="PK1" s="238"/>
      <c r="PL1" s="238"/>
      <c r="PM1" s="238"/>
      <c r="PN1" s="238">
        <v>43948</v>
      </c>
      <c r="PO1" s="238"/>
      <c r="PP1" s="238"/>
      <c r="PQ1" s="238"/>
      <c r="PR1" s="238"/>
      <c r="PS1" s="238"/>
      <c r="PT1" s="238"/>
      <c r="PU1" s="238">
        <v>43955</v>
      </c>
      <c r="PV1" s="238"/>
      <c r="PW1" s="238"/>
      <c r="PX1" s="238"/>
      <c r="PY1" s="238"/>
      <c r="PZ1" s="238"/>
      <c r="QA1" s="238"/>
      <c r="QB1" s="238">
        <v>43962</v>
      </c>
      <c r="QC1" s="238"/>
      <c r="QD1" s="238"/>
      <c r="QE1" s="238"/>
      <c r="QF1" s="238"/>
      <c r="QG1" s="238"/>
      <c r="QH1" s="238"/>
      <c r="QI1" s="238">
        <v>43969</v>
      </c>
      <c r="QJ1" s="238"/>
      <c r="QK1" s="238"/>
      <c r="QL1" s="238"/>
      <c r="QM1" s="238"/>
      <c r="QN1" s="238"/>
      <c r="QO1" s="238"/>
      <c r="QP1" s="238">
        <v>43976</v>
      </c>
      <c r="QQ1" s="238"/>
      <c r="QR1" s="238"/>
      <c r="QS1" s="238"/>
      <c r="QT1" s="238"/>
      <c r="QU1" s="238"/>
      <c r="QV1" s="238"/>
      <c r="QW1" s="238">
        <v>43983</v>
      </c>
      <c r="QX1" s="238"/>
      <c r="QY1" s="238"/>
      <c r="QZ1" s="238"/>
      <c r="RA1" s="238"/>
      <c r="RB1" s="238"/>
      <c r="RC1" s="238"/>
      <c r="RD1" s="238">
        <v>43990</v>
      </c>
      <c r="RE1" s="238"/>
      <c r="RF1" s="238"/>
      <c r="RG1" s="238"/>
      <c r="RH1" s="238"/>
      <c r="RI1" s="238"/>
      <c r="RJ1" s="238"/>
      <c r="RK1" s="238">
        <v>43997</v>
      </c>
      <c r="RL1" s="238"/>
      <c r="RM1" s="238"/>
      <c r="RN1" s="238"/>
      <c r="RO1" s="238"/>
      <c r="RP1" s="238"/>
      <c r="RQ1" s="238"/>
      <c r="RR1" s="238">
        <v>44004</v>
      </c>
      <c r="RS1" s="238"/>
      <c r="RT1" s="238"/>
      <c r="RU1" s="238"/>
      <c r="RV1" s="238"/>
      <c r="RW1" s="238"/>
      <c r="RX1" s="238"/>
      <c r="RY1" s="238">
        <v>44011</v>
      </c>
      <c r="RZ1" s="238"/>
      <c r="SA1" s="238"/>
      <c r="SB1" s="238"/>
      <c r="SC1" s="238"/>
      <c r="SD1" s="238"/>
      <c r="SE1" s="238"/>
      <c r="SF1" s="238">
        <v>44018</v>
      </c>
      <c r="SG1" s="238"/>
      <c r="SH1" s="238"/>
      <c r="SI1" s="238"/>
      <c r="SJ1" s="238"/>
      <c r="SK1" s="238"/>
      <c r="SL1" s="238"/>
      <c r="SM1" s="238">
        <v>44025</v>
      </c>
      <c r="SN1" s="238"/>
      <c r="SO1" s="238"/>
      <c r="SP1" s="238"/>
      <c r="SQ1" s="238"/>
      <c r="SR1" s="238"/>
      <c r="SS1" s="238"/>
      <c r="ST1" s="238">
        <v>44032</v>
      </c>
      <c r="SU1" s="238"/>
      <c r="SV1" s="238"/>
      <c r="SW1" s="238"/>
      <c r="SX1" s="238"/>
      <c r="SY1" s="238"/>
      <c r="SZ1" s="238"/>
      <c r="TA1" s="238">
        <v>44039</v>
      </c>
      <c r="TB1" s="238"/>
      <c r="TC1" s="238"/>
      <c r="TD1" s="238"/>
      <c r="TE1" s="238"/>
      <c r="TF1" s="238"/>
      <c r="TG1" s="238"/>
      <c r="TH1" s="238">
        <v>44046</v>
      </c>
      <c r="TI1" s="238"/>
      <c r="TJ1" s="238"/>
      <c r="TK1" s="238"/>
      <c r="TL1" s="238"/>
      <c r="TM1" s="238"/>
      <c r="TN1" s="238"/>
      <c r="TO1" s="238">
        <v>44053</v>
      </c>
      <c r="TP1" s="238"/>
      <c r="TQ1" s="238"/>
      <c r="TR1" s="238"/>
      <c r="TS1" s="238"/>
      <c r="TT1" s="238"/>
      <c r="TU1" s="238"/>
      <c r="TV1" s="238">
        <v>44060</v>
      </c>
      <c r="TW1" s="238"/>
      <c r="TX1" s="238"/>
      <c r="TY1" s="238"/>
      <c r="TZ1" s="238"/>
      <c r="UA1" s="238"/>
      <c r="UB1" s="238"/>
      <c r="UC1" s="238">
        <v>44067</v>
      </c>
      <c r="UD1" s="238"/>
      <c r="UE1" s="238"/>
      <c r="UF1" s="238"/>
      <c r="UG1" s="238"/>
      <c r="UH1" s="238"/>
      <c r="UI1" s="238"/>
      <c r="UJ1" s="238">
        <v>44074</v>
      </c>
      <c r="UK1" s="238"/>
      <c r="UL1" s="238"/>
      <c r="UM1" s="238"/>
      <c r="UN1" s="238"/>
      <c r="UO1" s="238"/>
      <c r="UP1" s="238"/>
      <c r="UQ1" s="238">
        <v>44081</v>
      </c>
      <c r="UR1" s="238"/>
      <c r="US1" s="238"/>
      <c r="UT1" s="238"/>
      <c r="UU1" s="238"/>
      <c r="UV1" s="238"/>
      <c r="UW1" s="238"/>
      <c r="UX1" s="238">
        <v>44088</v>
      </c>
      <c r="UY1" s="238"/>
      <c r="UZ1" s="238"/>
      <c r="VA1" s="238"/>
      <c r="VB1" s="238"/>
      <c r="VC1" s="238"/>
      <c r="VD1" s="238"/>
      <c r="VE1" s="238">
        <v>44095</v>
      </c>
      <c r="VF1" s="238"/>
      <c r="VG1" s="238"/>
      <c r="VH1" s="238"/>
      <c r="VI1" s="238"/>
      <c r="VJ1" s="238"/>
      <c r="VK1" s="238"/>
      <c r="VL1" s="238">
        <v>44102</v>
      </c>
      <c r="VM1" s="238"/>
      <c r="VN1" s="238"/>
      <c r="VO1" s="238"/>
      <c r="VP1" s="238"/>
      <c r="VQ1" s="238"/>
      <c r="VR1" s="238"/>
      <c r="VS1" s="238">
        <v>44109</v>
      </c>
      <c r="VT1" s="238"/>
      <c r="VU1" s="238"/>
      <c r="VV1" s="238"/>
      <c r="VW1" s="238"/>
      <c r="VX1" s="238"/>
      <c r="VY1" s="238"/>
      <c r="VZ1" s="238">
        <v>44116</v>
      </c>
      <c r="WA1" s="238"/>
      <c r="WB1" s="238"/>
      <c r="WC1" s="238"/>
      <c r="WD1" s="238"/>
      <c r="WE1" s="238"/>
      <c r="WF1" s="238"/>
      <c r="WG1" s="238">
        <v>44123</v>
      </c>
      <c r="WH1" s="238"/>
      <c r="WI1" s="238"/>
      <c r="WJ1" s="238"/>
      <c r="WK1" s="238"/>
      <c r="WL1" s="238"/>
      <c r="WM1" s="238"/>
      <c r="WN1" s="238">
        <v>44130</v>
      </c>
      <c r="WO1" s="238"/>
      <c r="WP1" s="238"/>
      <c r="WQ1" s="238"/>
      <c r="WR1" s="238"/>
      <c r="WS1" s="238"/>
      <c r="WT1" s="238"/>
      <c r="WU1" s="238">
        <v>44137</v>
      </c>
      <c r="WV1" s="238"/>
      <c r="WW1" s="238"/>
      <c r="WX1" s="238"/>
      <c r="WY1" s="238"/>
      <c r="WZ1" s="238"/>
      <c r="XA1" s="238"/>
      <c r="XB1" s="238">
        <v>44144</v>
      </c>
      <c r="XC1" s="238"/>
      <c r="XD1" s="238"/>
      <c r="XE1" s="238"/>
      <c r="XF1" s="238"/>
      <c r="XG1" s="238"/>
      <c r="XH1" s="238"/>
      <c r="XI1" s="238">
        <v>44151</v>
      </c>
      <c r="XJ1" s="238"/>
      <c r="XK1" s="238"/>
      <c r="XL1" s="238"/>
      <c r="XM1" s="238"/>
      <c r="XN1" s="238"/>
      <c r="XO1" s="238"/>
      <c r="XP1" s="238">
        <v>44158</v>
      </c>
      <c r="XQ1" s="238"/>
      <c r="XR1" s="238"/>
      <c r="XS1" s="238"/>
      <c r="XT1" s="238"/>
      <c r="XU1" s="238"/>
      <c r="XV1" s="238"/>
      <c r="XW1" s="238">
        <v>44165</v>
      </c>
      <c r="XX1" s="238"/>
      <c r="XY1" s="238"/>
      <c r="XZ1" s="238"/>
      <c r="YA1" s="238"/>
      <c r="YB1" s="238"/>
      <c r="YC1" s="238"/>
      <c r="YD1" s="238">
        <v>44172</v>
      </c>
      <c r="YE1" s="238"/>
      <c r="YF1" s="238"/>
      <c r="YG1" s="238"/>
      <c r="YH1" s="238"/>
      <c r="YI1" s="238"/>
      <c r="YJ1" s="238"/>
      <c r="YK1" s="238">
        <v>44179</v>
      </c>
      <c r="YL1" s="238"/>
      <c r="YM1" s="238"/>
      <c r="YN1" s="238"/>
      <c r="YO1" s="238"/>
      <c r="YP1" s="238"/>
      <c r="YQ1" s="238"/>
      <c r="YR1" s="238">
        <v>44186</v>
      </c>
      <c r="YS1" s="238"/>
      <c r="YT1" s="238"/>
      <c r="YU1" s="238"/>
      <c r="YV1" s="238"/>
      <c r="YW1" s="238"/>
      <c r="YX1" s="238"/>
      <c r="YY1" s="238">
        <v>44193</v>
      </c>
      <c r="YZ1" s="238"/>
      <c r="ZA1" s="238"/>
      <c r="ZB1" s="238"/>
      <c r="ZC1" s="238"/>
      <c r="ZD1" s="238"/>
      <c r="ZE1" s="238"/>
      <c r="ZF1" s="238">
        <v>44200</v>
      </c>
      <c r="ZG1" s="238"/>
      <c r="ZH1" s="238"/>
      <c r="ZI1" s="238"/>
      <c r="ZJ1" s="238"/>
      <c r="ZK1" s="238"/>
      <c r="ZL1" s="238"/>
      <c r="ZM1" s="238">
        <v>44207</v>
      </c>
      <c r="ZN1" s="238"/>
      <c r="ZO1" s="238"/>
      <c r="ZP1" s="238"/>
      <c r="ZQ1" s="238"/>
      <c r="ZR1" s="238"/>
      <c r="ZS1" s="238"/>
      <c r="ZT1" s="238">
        <v>44214</v>
      </c>
      <c r="ZU1" s="238"/>
      <c r="ZV1" s="238"/>
      <c r="ZW1" s="238"/>
      <c r="ZX1" s="238"/>
      <c r="ZY1" s="238"/>
      <c r="ZZ1" s="238"/>
      <c r="AAA1" s="238">
        <v>44221</v>
      </c>
      <c r="AAB1" s="238"/>
      <c r="AAC1" s="238"/>
      <c r="AAD1" s="238"/>
      <c r="AAE1" s="238"/>
      <c r="AAF1" s="238"/>
      <c r="AAG1" s="238"/>
      <c r="AAH1" s="238">
        <v>44228</v>
      </c>
      <c r="AAI1" s="238"/>
      <c r="AAJ1" s="238"/>
      <c r="AAK1" s="238"/>
      <c r="AAL1" s="238"/>
      <c r="AAM1" s="238"/>
      <c r="AAN1" s="238"/>
      <c r="AAO1" s="238">
        <v>44235</v>
      </c>
      <c r="AAP1" s="238"/>
      <c r="AAQ1" s="238"/>
      <c r="AAR1" s="238"/>
      <c r="AAS1" s="238"/>
      <c r="AAT1" s="238"/>
      <c r="AAU1" s="238"/>
      <c r="AAV1" s="238">
        <v>44242</v>
      </c>
      <c r="AAW1" s="238"/>
      <c r="AAX1" s="238"/>
      <c r="AAY1" s="238"/>
      <c r="AAZ1" s="238"/>
      <c r="ABA1" s="238"/>
      <c r="ABB1" s="238"/>
      <c r="ABC1" s="238">
        <v>44249</v>
      </c>
      <c r="ABD1" s="238"/>
      <c r="ABE1" s="238"/>
      <c r="ABF1" s="238"/>
      <c r="ABG1" s="238"/>
      <c r="ABH1" s="238"/>
      <c r="ABI1" s="238"/>
      <c r="ABJ1" s="238">
        <v>44256</v>
      </c>
      <c r="ABK1" s="238"/>
      <c r="ABL1" s="238"/>
      <c r="ABM1" s="238"/>
      <c r="ABN1" s="238"/>
      <c r="ABO1" s="238"/>
      <c r="ABP1" s="238"/>
      <c r="ABQ1" s="238">
        <v>44263</v>
      </c>
      <c r="ABR1" s="238"/>
      <c r="ABS1" s="238"/>
      <c r="ABT1" s="238"/>
      <c r="ABU1" s="238"/>
      <c r="ABV1" s="238"/>
      <c r="ABW1" s="238"/>
      <c r="ABX1" s="238">
        <v>44270</v>
      </c>
      <c r="ABY1" s="238"/>
      <c r="ABZ1" s="238"/>
      <c r="ACA1" s="238"/>
      <c r="ACB1" s="238"/>
      <c r="ACC1" s="238"/>
      <c r="ACD1" s="238"/>
      <c r="ACE1" s="238">
        <v>44277</v>
      </c>
      <c r="ACF1" s="238"/>
      <c r="ACG1" s="238"/>
      <c r="ACH1" s="238"/>
      <c r="ACI1" s="238"/>
      <c r="ACJ1" s="238"/>
      <c r="ACK1" s="238"/>
      <c r="ACL1" s="238">
        <v>44284</v>
      </c>
      <c r="ACM1" s="238"/>
      <c r="ACN1" s="238"/>
      <c r="ACO1" s="238"/>
      <c r="ACP1" s="238"/>
      <c r="ACQ1" s="238"/>
      <c r="ACR1" s="238"/>
      <c r="ACS1" s="238">
        <v>44291</v>
      </c>
      <c r="ACT1" s="238"/>
      <c r="ACU1" s="238"/>
      <c r="ACV1" s="238"/>
      <c r="ACW1" s="238"/>
      <c r="ACX1" s="238"/>
      <c r="ACY1" s="238"/>
      <c r="ACZ1" s="238">
        <v>44298</v>
      </c>
      <c r="ADA1" s="238"/>
      <c r="ADB1" s="238"/>
      <c r="ADC1" s="238"/>
      <c r="ADD1" s="238"/>
      <c r="ADE1" s="238"/>
      <c r="ADF1" s="238"/>
      <c r="ADG1" s="238">
        <v>44305</v>
      </c>
      <c r="ADH1" s="238"/>
      <c r="ADI1" s="238"/>
      <c r="ADJ1" s="238"/>
      <c r="ADK1" s="238"/>
      <c r="ADL1" s="238"/>
      <c r="ADM1" s="238"/>
      <c r="ADN1" s="238">
        <v>44312</v>
      </c>
      <c r="ADO1" s="238"/>
      <c r="ADP1" s="238"/>
      <c r="ADQ1" s="238"/>
      <c r="ADR1" s="238"/>
      <c r="ADS1" s="238"/>
      <c r="ADT1" s="238"/>
      <c r="ADU1" s="238">
        <v>44319</v>
      </c>
      <c r="ADV1" s="238"/>
      <c r="ADW1" s="238"/>
      <c r="ADX1" s="238"/>
      <c r="ADY1" s="238"/>
      <c r="ADZ1" s="238"/>
      <c r="AEA1" s="238"/>
      <c r="AEB1" s="238">
        <v>44326</v>
      </c>
      <c r="AEC1" s="238"/>
      <c r="AED1" s="238"/>
      <c r="AEE1" s="238"/>
      <c r="AEF1" s="238"/>
      <c r="AEG1" s="238"/>
      <c r="AEH1" s="238"/>
      <c r="AEI1" s="238">
        <v>44333</v>
      </c>
      <c r="AEJ1" s="238"/>
      <c r="AEK1" s="238"/>
      <c r="AEL1" s="238"/>
      <c r="AEM1" s="238"/>
      <c r="AEN1" s="238"/>
      <c r="AEO1" s="238"/>
      <c r="AEP1" s="238">
        <v>44340</v>
      </c>
      <c r="AEQ1" s="238"/>
      <c r="AER1" s="238"/>
      <c r="AES1" s="238"/>
      <c r="AET1" s="238"/>
      <c r="AEU1" s="238"/>
      <c r="AEV1" s="238"/>
      <c r="AEW1" s="238">
        <v>44347</v>
      </c>
      <c r="AEX1" s="238"/>
      <c r="AEY1" s="238"/>
      <c r="AEZ1" s="238"/>
      <c r="AFA1" s="238"/>
      <c r="AFB1" s="238"/>
      <c r="AFC1" s="238"/>
      <c r="AFD1" s="238">
        <v>44354</v>
      </c>
      <c r="AFE1" s="238"/>
      <c r="AFF1" s="238"/>
      <c r="AFG1" s="238"/>
      <c r="AFH1" s="238"/>
      <c r="AFI1" s="238"/>
      <c r="AFJ1" s="238"/>
      <c r="AFK1" s="238">
        <v>44361</v>
      </c>
      <c r="AFL1" s="238"/>
      <c r="AFM1" s="238"/>
      <c r="AFN1" s="238"/>
      <c r="AFO1" s="238"/>
      <c r="AFP1" s="238"/>
      <c r="AFQ1" s="238"/>
      <c r="AFR1" s="238">
        <v>44368</v>
      </c>
      <c r="AFS1" s="238"/>
      <c r="AFT1" s="238"/>
      <c r="AFU1" s="238"/>
      <c r="AFV1" s="238"/>
      <c r="AFW1" s="238"/>
      <c r="AFX1" s="238"/>
      <c r="AFY1" s="238">
        <v>44375</v>
      </c>
      <c r="AFZ1" s="238"/>
      <c r="AGA1" s="238"/>
      <c r="AGB1" s="238"/>
      <c r="AGC1" s="238"/>
      <c r="AGD1" s="238"/>
      <c r="AGE1" s="238"/>
      <c r="AGF1" s="238">
        <v>44382</v>
      </c>
      <c r="AGG1" s="238"/>
      <c r="AGH1" s="238"/>
      <c r="AGI1" s="238"/>
      <c r="AGJ1" s="238"/>
      <c r="AGK1" s="238"/>
      <c r="AGL1" s="238"/>
      <c r="AGM1" s="238">
        <v>44389</v>
      </c>
      <c r="AGN1" s="238"/>
      <c r="AGO1" s="238"/>
      <c r="AGP1" s="238"/>
      <c r="AGQ1" s="238"/>
      <c r="AGR1" s="238"/>
      <c r="AGS1" s="238"/>
      <c r="AGT1" s="238">
        <v>44396</v>
      </c>
      <c r="AGU1" s="238"/>
      <c r="AGV1" s="238"/>
      <c r="AGW1" s="238"/>
      <c r="AGX1" s="238"/>
      <c r="AGY1" s="238"/>
      <c r="AGZ1" s="238"/>
      <c r="AHA1" s="238">
        <v>44403</v>
      </c>
      <c r="AHB1" s="238"/>
      <c r="AHC1" s="238"/>
      <c r="AHD1" s="238"/>
      <c r="AHE1" s="238"/>
      <c r="AHF1" s="238"/>
      <c r="AHG1" s="238"/>
      <c r="AHH1" s="238">
        <v>44410</v>
      </c>
      <c r="AHI1" s="238"/>
      <c r="AHJ1" s="238"/>
      <c r="AHK1" s="238"/>
      <c r="AHL1" s="238"/>
      <c r="AHM1" s="238"/>
      <c r="AHN1" s="238"/>
      <c r="AHO1" s="238">
        <v>44417</v>
      </c>
      <c r="AHP1" s="238"/>
      <c r="AHQ1" s="238"/>
      <c r="AHR1" s="238"/>
      <c r="AHS1" s="238"/>
      <c r="AHT1" s="238"/>
      <c r="AHU1" s="238"/>
      <c r="AHV1" s="238">
        <v>44424</v>
      </c>
      <c r="AHW1" s="238"/>
      <c r="AHX1" s="238"/>
      <c r="AHY1" s="238"/>
      <c r="AHZ1" s="238"/>
      <c r="AIA1" s="238"/>
      <c r="AIB1" s="238"/>
      <c r="AIC1" s="238">
        <v>44431</v>
      </c>
      <c r="AID1" s="238"/>
      <c r="AIE1" s="238"/>
      <c r="AIF1" s="238"/>
      <c r="AIG1" s="238"/>
      <c r="AIH1" s="238"/>
      <c r="AII1" s="238"/>
      <c r="AIJ1" s="238">
        <v>44438</v>
      </c>
      <c r="AIK1" s="238"/>
      <c r="AIL1" s="238"/>
      <c r="AIM1" s="238"/>
      <c r="AIN1" s="238"/>
      <c r="AIO1" s="238"/>
      <c r="AIP1" s="238"/>
      <c r="AIQ1" s="238">
        <v>44445</v>
      </c>
      <c r="AIR1" s="238"/>
      <c r="AIS1" s="238"/>
      <c r="AIT1" s="238"/>
      <c r="AIU1" s="238"/>
      <c r="AIV1" s="238"/>
      <c r="AIW1" s="238"/>
      <c r="AIX1" s="238">
        <v>44452</v>
      </c>
      <c r="AIY1" s="238"/>
      <c r="AIZ1" s="238"/>
      <c r="AJA1" s="238"/>
      <c r="AJB1" s="238"/>
      <c r="AJC1" s="238"/>
      <c r="AJD1" s="238"/>
      <c r="AJE1" s="238">
        <v>44459</v>
      </c>
      <c r="AJF1" s="238"/>
      <c r="AJG1" s="238"/>
      <c r="AJH1" s="238"/>
      <c r="AJI1" s="238"/>
      <c r="AJJ1" s="238"/>
      <c r="AJK1" s="238"/>
      <c r="AJL1" s="238">
        <v>44466</v>
      </c>
      <c r="AJM1" s="238"/>
      <c r="AJN1" s="238"/>
      <c r="AJO1" s="238"/>
      <c r="AJP1" s="238"/>
      <c r="AJQ1" s="238"/>
      <c r="AJR1" s="238"/>
      <c r="AJS1" s="238">
        <v>44473</v>
      </c>
      <c r="AJT1" s="238"/>
      <c r="AJU1" s="238"/>
      <c r="AJV1" s="238"/>
      <c r="AJW1" s="238"/>
      <c r="AJX1" s="238"/>
      <c r="AJY1" s="238"/>
      <c r="AJZ1" s="238">
        <v>44480</v>
      </c>
      <c r="AKA1" s="238"/>
      <c r="AKB1" s="238"/>
      <c r="AKC1" s="238"/>
      <c r="AKD1" s="238"/>
      <c r="AKE1" s="238"/>
      <c r="AKF1" s="238"/>
      <c r="AKG1" s="238">
        <v>44487</v>
      </c>
      <c r="AKH1" s="238"/>
      <c r="AKI1" s="238"/>
      <c r="AKJ1" s="238"/>
      <c r="AKK1" s="238"/>
      <c r="AKL1" s="238"/>
      <c r="AKM1" s="238"/>
      <c r="AKN1" s="238">
        <v>44494</v>
      </c>
      <c r="AKO1" s="238"/>
      <c r="AKP1" s="238"/>
      <c r="AKQ1" s="238"/>
      <c r="AKR1" s="238"/>
      <c r="AKS1" s="238"/>
      <c r="AKT1" s="238"/>
      <c r="AKU1" s="238">
        <v>44501</v>
      </c>
      <c r="AKV1" s="238"/>
      <c r="AKW1" s="238"/>
      <c r="AKX1" s="238"/>
      <c r="AKY1" s="238"/>
      <c r="AKZ1" s="238"/>
      <c r="ALA1" s="238"/>
      <c r="ALB1" s="238">
        <v>44508</v>
      </c>
      <c r="ALC1" s="238"/>
      <c r="ALD1" s="238"/>
      <c r="ALE1" s="238"/>
      <c r="ALF1" s="238"/>
      <c r="ALG1" s="238"/>
      <c r="ALH1" s="238"/>
      <c r="ALI1" s="238">
        <v>44515</v>
      </c>
      <c r="ALJ1" s="238"/>
      <c r="ALK1" s="238"/>
      <c r="ALL1" s="238"/>
      <c r="ALM1" s="238"/>
      <c r="ALN1" s="238"/>
      <c r="ALO1" s="238"/>
      <c r="ALP1" s="238">
        <v>44522</v>
      </c>
      <c r="ALQ1" s="238"/>
      <c r="ALR1" s="238"/>
      <c r="ALS1" s="238"/>
      <c r="ALT1" s="238"/>
      <c r="ALU1" s="238"/>
      <c r="ALV1" s="238"/>
      <c r="ALW1" s="238">
        <v>44529</v>
      </c>
      <c r="ALX1" s="238"/>
      <c r="ALY1" s="238"/>
      <c r="ALZ1" s="238"/>
      <c r="AMA1" s="238"/>
      <c r="AMB1" s="238"/>
      <c r="AMC1" s="238"/>
      <c r="AMD1" s="238">
        <v>44536</v>
      </c>
      <c r="AME1" s="238"/>
      <c r="AMF1" s="238"/>
      <c r="AMG1" s="238"/>
      <c r="AMH1" s="238"/>
      <c r="AMI1" s="238"/>
      <c r="AMJ1" s="238"/>
      <c r="AMK1" s="238">
        <v>44543</v>
      </c>
      <c r="AML1" s="238"/>
      <c r="AMM1" s="238"/>
      <c r="AMN1" s="238"/>
      <c r="AMO1" s="238"/>
      <c r="AMP1" s="238"/>
      <c r="AMQ1" s="238"/>
      <c r="AMR1" s="238">
        <v>44550</v>
      </c>
      <c r="AMS1" s="238"/>
      <c r="AMT1" s="238"/>
      <c r="AMU1" s="238"/>
      <c r="AMV1" s="238"/>
      <c r="AMW1" s="238"/>
      <c r="AMX1" s="238"/>
      <c r="AMY1" s="238">
        <v>44557</v>
      </c>
      <c r="AMZ1" s="238"/>
      <c r="ANA1" s="238"/>
      <c r="ANB1" s="238"/>
      <c r="ANC1" s="238"/>
      <c r="AND1" s="238"/>
      <c r="ANE1" s="238"/>
      <c r="ANF1" s="238">
        <v>44564</v>
      </c>
      <c r="ANG1" s="238"/>
      <c r="ANH1" s="238"/>
      <c r="ANI1" s="238"/>
      <c r="ANJ1" s="238"/>
      <c r="ANK1" s="238"/>
      <c r="ANL1" s="238"/>
      <c r="ANM1" s="238">
        <v>44571</v>
      </c>
      <c r="ANN1" s="238"/>
      <c r="ANO1" s="238"/>
      <c r="ANP1" s="238"/>
      <c r="ANQ1" s="238"/>
      <c r="ANR1" s="238"/>
      <c r="ANS1" s="238"/>
      <c r="ANT1" s="238">
        <v>44578</v>
      </c>
      <c r="ANU1" s="238"/>
      <c r="ANV1" s="238"/>
      <c r="ANW1" s="238"/>
      <c r="ANX1" s="238"/>
      <c r="ANY1" s="238"/>
      <c r="ANZ1" s="238"/>
      <c r="AOA1" s="238">
        <v>44585</v>
      </c>
      <c r="AOB1" s="238"/>
      <c r="AOC1" s="238"/>
      <c r="AOD1" s="238"/>
      <c r="AOE1" s="238"/>
      <c r="AOF1" s="238"/>
      <c r="AOG1" s="238"/>
      <c r="AOH1" s="238">
        <v>44592</v>
      </c>
      <c r="AOI1" s="238"/>
      <c r="AOJ1" s="238"/>
      <c r="AOK1" s="238"/>
      <c r="AOL1" s="238"/>
      <c r="AOM1" s="238"/>
      <c r="AON1" s="238"/>
      <c r="AOO1" s="238">
        <v>44599</v>
      </c>
      <c r="AOP1" s="238"/>
      <c r="AOQ1" s="238"/>
      <c r="AOR1" s="238"/>
      <c r="AOS1" s="238"/>
      <c r="AOT1" s="238"/>
      <c r="AOU1" s="238"/>
      <c r="AOV1" s="238">
        <v>44606</v>
      </c>
      <c r="AOW1" s="238"/>
      <c r="AOX1" s="238"/>
      <c r="AOY1" s="238"/>
      <c r="AOZ1" s="238"/>
      <c r="APA1" s="238"/>
      <c r="APB1" s="238"/>
      <c r="APC1" s="238">
        <v>44613</v>
      </c>
      <c r="APD1" s="238"/>
      <c r="APE1" s="238"/>
      <c r="APF1" s="238"/>
      <c r="APG1" s="238"/>
      <c r="APH1" s="238"/>
      <c r="API1" s="238"/>
      <c r="APJ1" s="238">
        <v>44620</v>
      </c>
      <c r="APK1" s="238"/>
      <c r="APL1" s="238"/>
      <c r="APM1" s="238"/>
      <c r="APN1" s="238"/>
      <c r="APO1" s="238"/>
      <c r="APP1" s="238"/>
      <c r="APQ1" s="238">
        <v>44627</v>
      </c>
      <c r="APR1" s="238"/>
      <c r="APS1" s="238"/>
      <c r="APT1" s="238"/>
      <c r="APU1" s="238"/>
      <c r="APV1" s="238"/>
      <c r="APW1" s="238"/>
      <c r="APX1" s="238">
        <v>44634</v>
      </c>
      <c r="APY1" s="238"/>
      <c r="APZ1" s="238"/>
      <c r="AQA1" s="238"/>
      <c r="AQB1" s="238"/>
      <c r="AQC1" s="238"/>
      <c r="AQD1" s="238"/>
      <c r="AQE1" s="238">
        <v>44641</v>
      </c>
      <c r="AQF1" s="238"/>
      <c r="AQG1" s="238"/>
      <c r="AQH1" s="238"/>
      <c r="AQI1" s="238"/>
      <c r="AQJ1" s="238"/>
      <c r="AQK1" s="238"/>
      <c r="AQL1" s="238">
        <v>44648</v>
      </c>
      <c r="AQM1" s="238"/>
      <c r="AQN1" s="238"/>
      <c r="AQO1" s="238"/>
      <c r="AQP1" s="238"/>
      <c r="AQQ1" s="238"/>
      <c r="AQR1" s="238"/>
      <c r="AQS1" s="238">
        <v>44655</v>
      </c>
      <c r="AQT1" s="238"/>
      <c r="AQU1" s="238"/>
      <c r="AQV1" s="238"/>
      <c r="AQW1" s="238"/>
      <c r="AQX1" s="238"/>
      <c r="AQY1" s="238"/>
      <c r="AQZ1" s="238">
        <v>44662</v>
      </c>
      <c r="ARA1" s="238"/>
      <c r="ARB1" s="238"/>
      <c r="ARC1" s="238"/>
      <c r="ARD1" s="238"/>
      <c r="ARE1" s="238"/>
      <c r="ARF1" s="238"/>
      <c r="ARG1" s="238">
        <v>44669</v>
      </c>
      <c r="ARH1" s="238"/>
      <c r="ARI1" s="238"/>
      <c r="ARJ1" s="238"/>
      <c r="ARK1" s="238"/>
      <c r="ARL1" s="238"/>
      <c r="ARM1" s="238"/>
      <c r="ARN1" s="238">
        <v>44676</v>
      </c>
      <c r="ARO1" s="238"/>
      <c r="ARP1" s="238"/>
      <c r="ARQ1" s="238"/>
      <c r="ARR1" s="238"/>
      <c r="ARS1" s="238"/>
      <c r="ART1" s="238"/>
      <c r="ARU1" s="238">
        <v>44683</v>
      </c>
      <c r="ARV1" s="238"/>
      <c r="ARW1" s="238"/>
      <c r="ARX1" s="238"/>
      <c r="ARY1" s="238"/>
      <c r="ARZ1" s="238"/>
      <c r="ASA1" s="238"/>
      <c r="ASB1" s="238">
        <v>44690</v>
      </c>
      <c r="ASC1" s="238"/>
      <c r="ASD1" s="238"/>
      <c r="ASE1" s="238"/>
      <c r="ASF1" s="238"/>
      <c r="ASG1" s="238"/>
      <c r="ASH1" s="238"/>
      <c r="ASI1" s="238">
        <v>44697</v>
      </c>
      <c r="ASJ1" s="238"/>
      <c r="ASK1" s="238"/>
      <c r="ASL1" s="238"/>
      <c r="ASM1" s="238"/>
      <c r="ASN1" s="238"/>
      <c r="ASO1" s="238"/>
      <c r="ASP1" s="238">
        <v>44704</v>
      </c>
      <c r="ASQ1" s="238"/>
      <c r="ASR1" s="238"/>
      <c r="ASS1" s="238"/>
      <c r="AST1" s="238"/>
      <c r="ASU1" s="238"/>
      <c r="ASV1" s="238"/>
      <c r="ASW1" s="238">
        <v>44711</v>
      </c>
      <c r="ASX1" s="238"/>
      <c r="ASY1" s="238"/>
      <c r="ASZ1" s="238"/>
      <c r="ATA1" s="238"/>
      <c r="ATB1" s="238"/>
      <c r="ATC1" s="238"/>
      <c r="ATD1" s="238">
        <v>44718</v>
      </c>
      <c r="ATE1" s="238"/>
      <c r="ATF1" s="238"/>
      <c r="ATG1" s="238"/>
      <c r="ATH1" s="238"/>
      <c r="ATI1" s="238"/>
      <c r="ATJ1" s="238"/>
      <c r="ATK1" s="238">
        <v>44725</v>
      </c>
      <c r="ATL1" s="238"/>
      <c r="ATM1" s="238"/>
      <c r="ATN1" s="238"/>
      <c r="ATO1" s="238"/>
      <c r="ATP1" s="238"/>
      <c r="ATQ1" s="238"/>
      <c r="ATR1" s="238">
        <v>44732</v>
      </c>
      <c r="ATS1" s="238"/>
      <c r="ATT1" s="238"/>
      <c r="ATU1" s="238"/>
      <c r="ATV1" s="238"/>
      <c r="ATW1" s="238"/>
      <c r="ATX1" s="238"/>
      <c r="ATY1" s="238">
        <v>44739</v>
      </c>
      <c r="ATZ1" s="238"/>
      <c r="AUA1" s="238"/>
      <c r="AUB1" s="238"/>
      <c r="AUC1" s="238"/>
      <c r="AUD1" s="238"/>
      <c r="AUE1" s="238"/>
      <c r="AUF1" s="238">
        <v>44746</v>
      </c>
      <c r="AUG1" s="238"/>
      <c r="AUH1" s="238"/>
      <c r="AUI1" s="238"/>
      <c r="AUJ1" s="238"/>
      <c r="AUK1" s="238"/>
      <c r="AUL1" s="238"/>
      <c r="AUM1" s="238">
        <v>44753</v>
      </c>
      <c r="AUN1" s="238"/>
      <c r="AUO1" s="238"/>
      <c r="AUP1" s="238"/>
      <c r="AUQ1" s="238"/>
      <c r="AUR1" s="238"/>
      <c r="AUS1" s="238"/>
      <c r="AUT1" s="238">
        <v>44760</v>
      </c>
      <c r="AUU1" s="238"/>
      <c r="AUV1" s="238"/>
      <c r="AUW1" s="238"/>
      <c r="AUX1" s="238"/>
      <c r="AUY1" s="238"/>
      <c r="AUZ1" s="238"/>
      <c r="AVA1" s="238">
        <v>44767</v>
      </c>
      <c r="AVB1" s="238"/>
      <c r="AVC1" s="238"/>
      <c r="AVD1" s="238"/>
      <c r="AVE1" s="238"/>
      <c r="AVF1" s="238"/>
      <c r="AVG1" s="238"/>
      <c r="AVH1" s="238">
        <v>44774</v>
      </c>
      <c r="AVI1" s="238"/>
      <c r="AVJ1" s="238"/>
      <c r="AVK1" s="238"/>
      <c r="AVL1" s="238"/>
      <c r="AVM1" s="238"/>
      <c r="AVN1" s="238"/>
      <c r="AVO1" s="238">
        <v>44781</v>
      </c>
      <c r="AVP1" s="238"/>
      <c r="AVQ1" s="238"/>
      <c r="AVR1" s="238"/>
      <c r="AVS1" s="238"/>
      <c r="AVT1" s="238"/>
      <c r="AVU1" s="238"/>
      <c r="AVV1" s="238">
        <v>44788</v>
      </c>
      <c r="AVW1" s="238"/>
      <c r="AVX1" s="238"/>
      <c r="AVY1" s="238"/>
      <c r="AVZ1" s="238"/>
      <c r="AWA1" s="238"/>
      <c r="AWB1" s="238"/>
      <c r="AWC1" s="238">
        <v>44795</v>
      </c>
      <c r="AWD1" s="238"/>
      <c r="AWE1" s="238"/>
      <c r="AWF1" s="238"/>
      <c r="AWG1" s="238"/>
      <c r="AWH1" s="238"/>
      <c r="AWI1" s="238"/>
      <c r="AWJ1" s="238">
        <v>44802</v>
      </c>
      <c r="AWK1" s="238"/>
      <c r="AWL1" s="238"/>
      <c r="AWM1" s="238"/>
      <c r="AWN1" s="238"/>
      <c r="AWO1" s="238"/>
      <c r="AWP1" s="238"/>
      <c r="AWQ1" s="238">
        <v>44809</v>
      </c>
      <c r="AWR1" s="238"/>
      <c r="AWS1" s="238"/>
      <c r="AWT1" s="238"/>
      <c r="AWU1" s="238"/>
      <c r="AWV1" s="238"/>
      <c r="AWW1" s="238"/>
      <c r="AWX1" s="238">
        <v>44816</v>
      </c>
      <c r="AWY1" s="238"/>
      <c r="AWZ1" s="238"/>
      <c r="AXA1" s="238"/>
      <c r="AXB1" s="238"/>
      <c r="AXC1" s="238"/>
      <c r="AXD1" s="238"/>
    </row>
    <row r="2" spans="1:1304" ht="31.2" customHeight="1" thickTop="1" thickBot="1">
      <c r="A2" t="s">
        <v>679</v>
      </c>
      <c r="B2" t="s">
        <v>679</v>
      </c>
      <c r="F2" s="237" t="s">
        <v>627</v>
      </c>
      <c r="EY2" s="239" t="s">
        <v>632</v>
      </c>
      <c r="EZ2" s="239"/>
      <c r="FA2" s="239"/>
      <c r="FB2" s="239"/>
      <c r="FC2" s="239"/>
      <c r="JJ2" s="240" t="s">
        <v>633</v>
      </c>
      <c r="JK2" s="240"/>
      <c r="JL2" s="240"/>
      <c r="MJ2" s="241" t="s">
        <v>698</v>
      </c>
      <c r="MK2" s="241"/>
      <c r="ML2" s="241"/>
      <c r="MS2" s="242" t="s">
        <v>86</v>
      </c>
      <c r="MT2" s="242"/>
      <c r="MU2" s="242"/>
      <c r="MV2" s="242"/>
      <c r="MW2" s="242"/>
      <c r="MX2" s="242"/>
      <c r="MY2" s="242"/>
      <c r="MZ2" s="242"/>
      <c r="NA2" s="242"/>
      <c r="NB2" s="242"/>
      <c r="NC2" s="242"/>
      <c r="ND2" s="242"/>
      <c r="NE2" s="242"/>
      <c r="NF2" s="242"/>
      <c r="NG2" s="242"/>
      <c r="NH2" s="242"/>
      <c r="NI2" s="242"/>
      <c r="NJ2" s="242"/>
      <c r="NK2" s="242"/>
      <c r="NL2" s="242"/>
      <c r="NM2" s="242"/>
      <c r="NN2" s="242"/>
      <c r="NO2" s="242"/>
      <c r="NP2" s="242"/>
      <c r="NQ2" s="242"/>
      <c r="NR2" s="242"/>
      <c r="NS2" s="242"/>
      <c r="NT2" s="242"/>
      <c r="NU2" s="242"/>
      <c r="NV2" s="242"/>
      <c r="NW2" s="242"/>
      <c r="NX2" s="242"/>
      <c r="NY2" s="242"/>
      <c r="NZ2" s="242"/>
      <c r="OA2" s="242"/>
      <c r="OB2" s="242"/>
      <c r="OL2" s="242" t="s">
        <v>696</v>
      </c>
      <c r="OM2" s="242"/>
      <c r="ON2" s="242"/>
      <c r="OO2" s="242"/>
      <c r="OP2" s="242"/>
      <c r="OQ2" s="242"/>
      <c r="OR2" s="242"/>
      <c r="OS2" s="242"/>
      <c r="OT2" s="242"/>
      <c r="OU2" s="242"/>
      <c r="OV2" s="242"/>
      <c r="OW2" s="242"/>
      <c r="OX2" s="242"/>
      <c r="OY2" s="242"/>
      <c r="OZ2" s="242"/>
      <c r="PA2" s="242"/>
      <c r="PB2" s="242"/>
      <c r="PC2" s="242"/>
      <c r="PD2" s="242"/>
      <c r="PE2" s="242"/>
      <c r="PF2" s="242"/>
      <c r="PG2" s="242"/>
      <c r="PH2" s="242"/>
      <c r="PI2" s="242"/>
      <c r="PJ2" s="242"/>
      <c r="PK2" s="242"/>
      <c r="PL2" s="242"/>
      <c r="PM2" s="242"/>
      <c r="PN2" s="242"/>
      <c r="PO2" s="242"/>
      <c r="PP2" s="242"/>
      <c r="PQ2" s="242"/>
      <c r="PR2" s="242"/>
      <c r="PS2" s="242"/>
      <c r="PT2" s="242"/>
      <c r="PU2" s="242"/>
      <c r="PV2" s="242"/>
      <c r="PW2" s="242"/>
      <c r="PX2" s="242"/>
      <c r="PY2" s="242"/>
      <c r="PZ2" s="242"/>
      <c r="QA2" s="242"/>
      <c r="QB2" s="242"/>
      <c r="QC2" s="242"/>
      <c r="QD2" s="242"/>
      <c r="QE2" s="242"/>
      <c r="QF2" s="242"/>
      <c r="QG2" s="242"/>
      <c r="QH2" s="242"/>
      <c r="QI2" s="242"/>
      <c r="QJ2" s="242"/>
      <c r="QK2" s="242"/>
      <c r="QL2" s="242"/>
      <c r="QM2" s="242"/>
      <c r="QN2" s="242"/>
      <c r="QO2" s="242"/>
      <c r="QP2" s="242"/>
      <c r="QQ2" s="242"/>
      <c r="QR2" s="242"/>
      <c r="QS2" s="242"/>
      <c r="QT2" s="242"/>
      <c r="QU2" s="242"/>
      <c r="QV2" s="242"/>
      <c r="QW2" s="242"/>
      <c r="QX2" s="242"/>
      <c r="QY2" s="242"/>
      <c r="QZ2" s="242"/>
      <c r="RA2" s="242"/>
      <c r="RB2" s="242"/>
      <c r="RC2" s="242"/>
      <c r="RD2" s="242"/>
      <c r="RE2" s="242"/>
      <c r="RF2" s="242"/>
      <c r="RG2" s="242"/>
      <c r="RH2" s="242"/>
      <c r="RI2" s="242"/>
      <c r="RJ2" s="242"/>
      <c r="RK2" s="242"/>
      <c r="RL2" s="242"/>
      <c r="RM2" s="242"/>
      <c r="RN2" s="242"/>
      <c r="RO2" s="242"/>
      <c r="RP2" s="242"/>
      <c r="RQ2" s="242"/>
      <c r="RR2" s="242"/>
      <c r="RS2" s="242"/>
      <c r="XH2" s="242" t="s">
        <v>828</v>
      </c>
      <c r="XI2" s="242"/>
      <c r="XJ2" s="242"/>
      <c r="ZP2" s="242" t="s">
        <v>649</v>
      </c>
      <c r="ZQ2" s="242"/>
      <c r="ZR2" s="242"/>
      <c r="AFD2" s="242" t="s">
        <v>89</v>
      </c>
      <c r="AFE2" s="242"/>
      <c r="AFF2" s="242"/>
      <c r="AFG2" s="242"/>
      <c r="AFH2" s="242"/>
      <c r="AFI2" s="242"/>
      <c r="AFJ2" s="242"/>
      <c r="AFK2" s="242"/>
      <c r="AFL2" s="242"/>
      <c r="AFM2" s="242"/>
      <c r="AFN2" s="242"/>
      <c r="AFO2" s="242"/>
      <c r="AFP2" s="242"/>
      <c r="AFQ2" s="242"/>
      <c r="AFR2" s="242"/>
      <c r="AFS2" s="242"/>
      <c r="AFT2" s="242"/>
      <c r="AFU2" s="242"/>
      <c r="AFV2" s="242"/>
      <c r="AFW2" s="242"/>
      <c r="AFX2" s="242"/>
      <c r="AFY2" s="242"/>
      <c r="AFZ2" s="242"/>
      <c r="AGA2" s="242"/>
      <c r="AGB2" s="242"/>
      <c r="AGC2" s="242"/>
      <c r="AGD2" s="242"/>
      <c r="AGE2" s="242"/>
      <c r="AGF2" s="242"/>
      <c r="AGG2" s="242"/>
      <c r="AGH2" s="242"/>
      <c r="AGI2" s="242"/>
      <c r="AGJ2" s="242"/>
      <c r="AGK2" s="242"/>
      <c r="AGL2" s="242"/>
      <c r="AGM2" s="242"/>
      <c r="AGN2" s="242"/>
      <c r="AGO2" s="242"/>
      <c r="AGP2" s="242"/>
      <c r="AGQ2" s="242"/>
      <c r="AGR2" s="242"/>
      <c r="AGS2" s="242"/>
      <c r="AGT2" s="242"/>
      <c r="AGU2" s="242"/>
      <c r="AGV2" s="242"/>
      <c r="AGW2" s="242"/>
      <c r="AGX2" s="242"/>
      <c r="AGY2" s="242"/>
      <c r="AGZ2" s="242"/>
      <c r="AHA2" s="242"/>
      <c r="AHB2" s="242"/>
      <c r="AHC2" s="242"/>
      <c r="AHD2" s="242"/>
      <c r="AHE2" s="242"/>
      <c r="AHF2" s="242"/>
      <c r="AHG2" s="242"/>
      <c r="AHH2" s="242"/>
      <c r="AHI2" s="242"/>
      <c r="AHJ2" s="242"/>
      <c r="AHK2" s="242"/>
      <c r="AHO2" s="246" t="s">
        <v>699</v>
      </c>
      <c r="AHP2" s="247"/>
      <c r="AHQ2" s="247"/>
      <c r="AHR2" s="247"/>
      <c r="AHS2" s="247"/>
      <c r="AHT2" s="247"/>
      <c r="AHU2" s="247"/>
      <c r="AHV2" s="247"/>
      <c r="AHW2" s="247"/>
      <c r="AHX2" s="247"/>
      <c r="AHY2" s="247"/>
      <c r="AHZ2" s="247"/>
      <c r="AIA2" s="247"/>
      <c r="AIB2" s="247"/>
      <c r="AIC2" s="247"/>
      <c r="AID2" s="247"/>
      <c r="AIE2" s="247"/>
      <c r="AIF2" s="247"/>
      <c r="AIG2" s="247"/>
      <c r="AIH2" s="247"/>
      <c r="AII2" s="247"/>
      <c r="AIJ2" s="247"/>
      <c r="AIK2" s="247"/>
      <c r="AIL2" s="247"/>
      <c r="AIM2" s="247"/>
      <c r="AIN2" s="247"/>
      <c r="AIO2" s="247"/>
      <c r="AIP2" s="247"/>
      <c r="AIQ2" s="247"/>
      <c r="AIR2" s="247"/>
      <c r="AIS2" s="247"/>
      <c r="AIT2" s="247"/>
      <c r="AIU2" s="247"/>
      <c r="AIV2" s="247"/>
      <c r="AIW2" s="247"/>
      <c r="AIX2" s="247"/>
      <c r="AIY2" s="247"/>
      <c r="AIZ2" s="247"/>
      <c r="AJA2" s="247"/>
      <c r="AJB2" s="247"/>
      <c r="AJC2" s="247"/>
      <c r="AJD2" s="247"/>
      <c r="AJE2" s="247"/>
      <c r="AJF2" s="247"/>
      <c r="AJG2" s="247"/>
      <c r="AJH2" s="247"/>
      <c r="AJI2" s="247"/>
      <c r="AJJ2" s="247"/>
      <c r="AJK2" s="247"/>
      <c r="AJL2" s="247"/>
      <c r="AJM2" s="247"/>
      <c r="AJN2" s="247"/>
      <c r="AJO2" s="247"/>
      <c r="AJP2" s="247"/>
      <c r="AJQ2" s="247"/>
      <c r="AJR2" s="247"/>
      <c r="AJS2" s="247"/>
      <c r="AJT2" s="247"/>
      <c r="AJU2" s="247"/>
      <c r="AJV2" s="247"/>
      <c r="AJW2" s="247"/>
      <c r="AJX2" s="247"/>
      <c r="AJY2" s="247"/>
      <c r="AJZ2" s="247"/>
      <c r="AKA2" s="247"/>
      <c r="AKB2" s="247"/>
      <c r="AKC2" s="247"/>
      <c r="AKD2" s="247"/>
      <c r="AKE2" s="247"/>
      <c r="AKF2" s="247"/>
      <c r="AKG2" s="247"/>
      <c r="AKH2" s="247"/>
      <c r="AKI2" s="247"/>
      <c r="AKJ2" s="247"/>
      <c r="AKK2" s="247"/>
      <c r="AKL2" s="247"/>
      <c r="AKM2" s="247"/>
      <c r="AKN2" s="247"/>
      <c r="AKO2" s="247"/>
      <c r="AKP2" s="247"/>
      <c r="AKQ2" s="247"/>
      <c r="AKR2" s="247"/>
      <c r="AKS2" s="247"/>
      <c r="AKT2" s="247"/>
      <c r="AKU2" s="242"/>
      <c r="AKV2" s="247"/>
      <c r="AKW2" s="247"/>
      <c r="AKX2" s="247"/>
      <c r="AKY2" s="247"/>
      <c r="AKZ2" s="247"/>
      <c r="ALA2" s="247"/>
      <c r="ALB2" s="247"/>
      <c r="ALC2" s="247"/>
      <c r="ALD2" s="247"/>
      <c r="ALE2" s="247"/>
      <c r="ALF2" s="247"/>
      <c r="ALG2" s="247"/>
      <c r="ALH2" s="247"/>
      <c r="ALI2" s="247"/>
      <c r="ALJ2" s="247"/>
      <c r="ALK2" s="247"/>
      <c r="ALL2" s="247"/>
      <c r="ALM2" s="247"/>
      <c r="ALN2" s="247"/>
      <c r="ALO2" s="247"/>
      <c r="ALP2" s="247"/>
      <c r="ALQ2" s="247"/>
      <c r="ALR2" s="247"/>
      <c r="ALS2" s="247"/>
      <c r="ALT2" s="247"/>
      <c r="ALU2" s="247"/>
      <c r="ALV2" s="247"/>
      <c r="ALW2" s="247"/>
      <c r="ALX2" s="247"/>
      <c r="ALY2" s="247"/>
      <c r="ALZ2" s="247"/>
      <c r="AMA2" s="247"/>
      <c r="AMB2" s="247"/>
      <c r="AMC2" s="247"/>
      <c r="AMD2" s="247"/>
      <c r="AME2" s="247"/>
      <c r="AMF2" s="247"/>
      <c r="AMG2" s="247"/>
      <c r="AMH2" s="247"/>
      <c r="AMI2" s="247"/>
      <c r="AMJ2" s="247"/>
      <c r="AMK2" s="247"/>
      <c r="AML2" s="247"/>
      <c r="AMM2" s="247"/>
      <c r="AMN2" s="247"/>
      <c r="AMO2" s="247"/>
      <c r="AMP2" s="247"/>
      <c r="AMQ2" s="247"/>
      <c r="AMR2" s="247"/>
      <c r="AMS2" s="247"/>
      <c r="AMT2" s="247"/>
      <c r="AMU2" s="247"/>
      <c r="AMV2" s="247"/>
      <c r="AMW2" s="247"/>
      <c r="AMX2" s="247"/>
      <c r="AMY2" s="247"/>
      <c r="AMZ2" s="247"/>
      <c r="ANA2" s="247"/>
      <c r="ANB2" s="247"/>
      <c r="ANC2" s="247"/>
      <c r="AND2" s="247"/>
      <c r="ANE2" s="247"/>
      <c r="ANF2" s="247"/>
      <c r="ANG2" s="247"/>
      <c r="ANH2" s="247"/>
      <c r="ANI2" s="247"/>
      <c r="ANJ2" s="247"/>
      <c r="ANK2" s="247"/>
      <c r="ANL2" s="247"/>
      <c r="ANM2" s="247"/>
      <c r="ANN2" s="247"/>
      <c r="ANO2" s="247"/>
      <c r="ANP2" s="247"/>
      <c r="ANQ2" s="247"/>
      <c r="ANR2" s="247"/>
      <c r="ANS2" s="248"/>
      <c r="APK2" s="242" t="s">
        <v>654</v>
      </c>
      <c r="APL2" s="242"/>
      <c r="APM2" s="242"/>
      <c r="ASK2" s="237" t="s">
        <v>655</v>
      </c>
      <c r="ATV2" s="236" t="s">
        <v>695</v>
      </c>
      <c r="AWT2" s="237" t="s">
        <v>651</v>
      </c>
    </row>
    <row r="3" spans="1:1304" ht="31.2" customHeight="1" thickTop="1" thickBot="1">
      <c r="A3" t="s">
        <v>680</v>
      </c>
      <c r="B3" t="s">
        <v>680</v>
      </c>
      <c r="MH3" s="233" t="s">
        <v>673</v>
      </c>
      <c r="QW3" s="233" t="s">
        <v>674</v>
      </c>
      <c r="TH3" s="233" t="s">
        <v>675</v>
      </c>
      <c r="VZ3" s="233" t="s">
        <v>745</v>
      </c>
      <c r="WU3" s="233" t="s">
        <v>676</v>
      </c>
    </row>
    <row r="4" spans="1:1304" ht="31.2" customHeight="1" thickTop="1" thickBot="1">
      <c r="A4" t="s">
        <v>681</v>
      </c>
      <c r="B4" t="s">
        <v>681</v>
      </c>
      <c r="YU4" s="249" t="s">
        <v>667</v>
      </c>
      <c r="YV4" s="249"/>
      <c r="ZS4" s="249" t="s">
        <v>670</v>
      </c>
      <c r="ZT4" s="249"/>
      <c r="ZV4" s="249" t="s">
        <v>668</v>
      </c>
      <c r="ZW4" s="249"/>
      <c r="AEH4" s="249" t="s">
        <v>781</v>
      </c>
      <c r="AEI4" s="249"/>
      <c r="ALW4" s="250" t="s">
        <v>821</v>
      </c>
      <c r="ALX4" s="250"/>
      <c r="AMO4" s="250" t="s">
        <v>820</v>
      </c>
      <c r="AMP4" s="250"/>
      <c r="APC4" s="250" t="s">
        <v>819</v>
      </c>
      <c r="APD4" s="250"/>
      <c r="APV4" s="250" t="s">
        <v>822</v>
      </c>
      <c r="APW4" s="250"/>
      <c r="AQF4" s="250" t="s">
        <v>823</v>
      </c>
      <c r="AQG4" s="250"/>
    </row>
    <row r="5" spans="1:1304" ht="31.2" customHeight="1" thickTop="1" thickBot="1">
      <c r="A5" t="s">
        <v>612</v>
      </c>
      <c r="B5" t="s">
        <v>759</v>
      </c>
      <c r="CB5" s="243" t="s">
        <v>142</v>
      </c>
      <c r="CC5" s="243"/>
      <c r="CD5" s="243"/>
      <c r="CE5" s="243"/>
      <c r="CF5" s="243"/>
      <c r="CG5" s="243"/>
      <c r="CH5" s="243"/>
      <c r="CI5" s="243"/>
      <c r="CJ5" s="243"/>
      <c r="CK5" s="243"/>
      <c r="CL5" s="243"/>
      <c r="CM5" s="243"/>
      <c r="CQ5" s="244" t="s">
        <v>147</v>
      </c>
      <c r="CR5" s="244"/>
      <c r="CS5" s="244"/>
      <c r="HM5" s="235" t="s">
        <v>826</v>
      </c>
      <c r="HN5" s="234" t="s">
        <v>827</v>
      </c>
      <c r="IU5" s="245" t="s">
        <v>782</v>
      </c>
      <c r="IV5" s="245"/>
      <c r="IW5" s="245"/>
      <c r="IX5" s="245"/>
      <c r="IY5" s="245"/>
      <c r="IZ5" s="245"/>
      <c r="JA5" s="245"/>
      <c r="JB5" s="245"/>
      <c r="JC5" s="245"/>
      <c r="JD5" s="245"/>
      <c r="JE5" s="245"/>
      <c r="JF5" s="245"/>
      <c r="JG5" s="245"/>
      <c r="JH5" s="245"/>
      <c r="JI5" s="245"/>
      <c r="JJ5" s="245"/>
      <c r="JK5" s="245"/>
      <c r="JL5" s="245"/>
      <c r="JM5" s="245"/>
    </row>
    <row r="6" spans="1:1304" ht="31.2" customHeight="1" thickTop="1" thickBot="1">
      <c r="A6" t="s">
        <v>614</v>
      </c>
      <c r="B6" t="s">
        <v>760</v>
      </c>
      <c r="NX6" s="243" t="s">
        <v>831</v>
      </c>
      <c r="NY6" s="243"/>
      <c r="NZ6" s="243"/>
      <c r="OA6" s="243"/>
      <c r="OB6" s="243"/>
      <c r="OC6" s="243"/>
      <c r="OD6" s="243"/>
      <c r="OE6" s="243"/>
      <c r="OF6" s="243"/>
      <c r="OG6" s="243"/>
      <c r="OH6" s="243"/>
      <c r="OI6" s="243"/>
      <c r="OJ6" s="243"/>
      <c r="OK6" s="243"/>
      <c r="OL6" s="243"/>
      <c r="OM6" s="243"/>
      <c r="ON6" s="243"/>
      <c r="OO6" s="243"/>
      <c r="OP6" s="243"/>
      <c r="OQ6" s="243"/>
      <c r="OR6" s="243"/>
      <c r="OS6" s="243"/>
      <c r="OT6" s="243"/>
      <c r="OU6" s="243"/>
      <c r="OV6" s="243"/>
      <c r="OW6" s="243"/>
      <c r="OX6" s="243"/>
      <c r="OY6" s="243"/>
      <c r="OZ6" s="243"/>
      <c r="PA6" s="243"/>
      <c r="PB6" s="243"/>
      <c r="PC6" s="243"/>
      <c r="PD6" s="243"/>
      <c r="PE6" s="243"/>
      <c r="PF6" s="243"/>
      <c r="PG6" s="243"/>
      <c r="PH6" s="243"/>
      <c r="PI6" s="243"/>
      <c r="PJ6" s="243"/>
      <c r="PK6" s="243"/>
      <c r="PN6" s="244" t="s">
        <v>707</v>
      </c>
      <c r="PO6" s="244"/>
      <c r="PP6" s="244"/>
      <c r="PQ6" s="244"/>
      <c r="PR6" s="244"/>
      <c r="PS6" s="244"/>
      <c r="PT6" s="244"/>
      <c r="PU6" s="244"/>
      <c r="PV6" s="244"/>
      <c r="PW6" s="244"/>
      <c r="PX6" s="244"/>
      <c r="PY6" s="244"/>
      <c r="PZ6" s="244"/>
      <c r="QA6" s="244"/>
      <c r="QB6" s="244"/>
      <c r="QC6" s="251" t="s">
        <v>733</v>
      </c>
      <c r="QD6" s="251"/>
      <c r="QE6" s="251"/>
      <c r="QF6" s="251"/>
      <c r="QG6" s="251"/>
      <c r="QH6" s="251"/>
      <c r="QI6" s="251"/>
      <c r="QJ6" s="251"/>
      <c r="QK6" s="251"/>
      <c r="QL6" s="251"/>
      <c r="QM6" s="251"/>
      <c r="QP6" s="252" t="s">
        <v>708</v>
      </c>
      <c r="QQ6" s="252"/>
      <c r="QR6" s="252"/>
      <c r="QS6" s="252"/>
      <c r="QT6" s="252"/>
      <c r="QU6" s="252"/>
      <c r="QV6" s="252"/>
      <c r="QW6" s="252"/>
      <c r="QX6" s="252"/>
      <c r="QY6" s="252"/>
      <c r="QZ6" s="252"/>
      <c r="RA6" s="252"/>
      <c r="RB6" s="252"/>
      <c r="RC6" s="252"/>
      <c r="RD6" s="252"/>
      <c r="RE6" s="252"/>
      <c r="RF6" s="252"/>
      <c r="RG6" s="252"/>
      <c r="RH6" s="252"/>
      <c r="RI6" s="252"/>
      <c r="RJ6" s="252"/>
      <c r="RK6" s="252"/>
      <c r="RL6" s="252"/>
      <c r="RM6" s="253" t="s">
        <v>709</v>
      </c>
      <c r="RN6" s="253"/>
      <c r="RO6" s="253"/>
      <c r="RP6" s="253"/>
      <c r="RQ6" s="253"/>
      <c r="RR6" s="253"/>
      <c r="RS6" s="253"/>
      <c r="RT6" s="253"/>
      <c r="RU6" s="253"/>
      <c r="RV6" s="253"/>
      <c r="RW6" s="253"/>
      <c r="RX6" s="253"/>
      <c r="RY6" s="253"/>
      <c r="RZ6" s="253"/>
      <c r="SA6" s="253"/>
      <c r="SB6" s="254" t="s">
        <v>710</v>
      </c>
      <c r="SC6" s="254"/>
      <c r="SD6" s="254"/>
      <c r="SE6" s="254"/>
      <c r="SF6" s="254"/>
      <c r="SG6" s="245" t="s">
        <v>804</v>
      </c>
      <c r="SH6" s="245"/>
      <c r="SI6" s="245"/>
      <c r="SJ6" s="245"/>
      <c r="SK6" s="245"/>
      <c r="SL6" s="245"/>
      <c r="SM6" s="245"/>
      <c r="SN6" s="245"/>
      <c r="SO6" s="245"/>
      <c r="SP6" s="245"/>
      <c r="SQ6" s="245"/>
      <c r="SR6" s="245"/>
      <c r="SS6" s="245"/>
      <c r="ST6" s="245"/>
      <c r="SU6" s="245"/>
      <c r="SV6" s="245"/>
      <c r="SW6" s="245"/>
      <c r="SX6" s="245"/>
      <c r="SY6" s="245"/>
      <c r="SZ6" s="245"/>
      <c r="TA6" s="245"/>
      <c r="TB6" s="245"/>
      <c r="TC6" s="245"/>
      <c r="TD6" s="245"/>
      <c r="TE6" s="245"/>
      <c r="TF6" s="245"/>
      <c r="TG6" s="245"/>
      <c r="TH6" s="245"/>
      <c r="TI6" s="245"/>
      <c r="TJ6" s="245"/>
      <c r="TK6" s="245"/>
      <c r="TL6" s="245"/>
      <c r="TM6" s="245"/>
      <c r="TN6" s="245"/>
      <c r="TO6" s="245"/>
      <c r="TP6" s="245"/>
      <c r="TQ6" s="245"/>
      <c r="TR6" s="245"/>
      <c r="TS6" s="245"/>
      <c r="TT6" s="245"/>
      <c r="TU6" s="245"/>
      <c r="TV6" s="245"/>
      <c r="TW6" s="245"/>
      <c r="TX6" s="245"/>
      <c r="TY6" s="245"/>
      <c r="TZ6" s="245"/>
      <c r="UA6" s="245"/>
      <c r="UB6" s="245"/>
      <c r="UC6" s="245"/>
      <c r="UD6" s="245"/>
      <c r="UE6" s="245"/>
      <c r="UF6" s="245"/>
      <c r="UG6" s="251" t="s">
        <v>711</v>
      </c>
      <c r="UH6" s="251"/>
      <c r="UI6" s="251"/>
      <c r="UJ6" s="251"/>
      <c r="UK6" s="251"/>
      <c r="UL6" s="251"/>
      <c r="UM6" s="251"/>
      <c r="UN6" s="254" t="s">
        <v>712</v>
      </c>
      <c r="UO6" s="254"/>
      <c r="UP6" s="254"/>
      <c r="UQ6" s="254"/>
      <c r="UR6" s="254"/>
      <c r="US6" s="267" t="s">
        <v>713</v>
      </c>
      <c r="UT6" s="267"/>
      <c r="UU6" s="267"/>
      <c r="UV6" s="267"/>
      <c r="UW6" s="267"/>
      <c r="UX6" s="267"/>
      <c r="UY6" s="267"/>
      <c r="UZ6" s="267"/>
      <c r="VA6" s="267"/>
      <c r="VB6" s="267"/>
      <c r="VC6" s="267"/>
      <c r="VD6" s="267"/>
      <c r="VE6" s="267"/>
      <c r="VF6" s="267"/>
      <c r="VG6" s="262" t="s">
        <v>805</v>
      </c>
      <c r="VH6" s="262"/>
      <c r="VI6" s="262"/>
      <c r="VJ6" s="262"/>
      <c r="VK6" s="262"/>
      <c r="VL6" s="262"/>
      <c r="VM6" s="262"/>
      <c r="VN6" s="262"/>
      <c r="VO6" s="268" t="s">
        <v>830</v>
      </c>
      <c r="VP6" s="268"/>
      <c r="VQ6" s="268"/>
      <c r="VR6" s="268"/>
      <c r="VS6" s="268"/>
      <c r="VT6" s="268"/>
      <c r="VU6" s="268"/>
      <c r="VV6" s="262" t="s">
        <v>805</v>
      </c>
      <c r="VW6" s="262"/>
      <c r="VX6" s="262"/>
      <c r="VY6" s="262"/>
      <c r="VZ6" s="262"/>
      <c r="WA6" s="262"/>
      <c r="WB6" s="262"/>
      <c r="WC6" s="262"/>
      <c r="WD6" s="262"/>
      <c r="WE6" s="262"/>
      <c r="WF6" s="262"/>
      <c r="WG6" s="262"/>
      <c r="WH6" s="262"/>
      <c r="WI6" s="262"/>
      <c r="WJ6" s="262"/>
      <c r="WK6" s="262"/>
      <c r="WN6" s="263" t="s">
        <v>785</v>
      </c>
      <c r="WO6" s="263"/>
      <c r="WP6" s="263"/>
      <c r="WQ6" s="264" t="s">
        <v>714</v>
      </c>
      <c r="WR6" s="264"/>
      <c r="WS6" s="264"/>
      <c r="WT6" s="264"/>
      <c r="WU6" s="264"/>
      <c r="WV6" s="265" t="s">
        <v>717</v>
      </c>
      <c r="WW6" s="265"/>
      <c r="WX6" s="265"/>
      <c r="WY6" s="265"/>
      <c r="WZ6" s="265"/>
      <c r="XA6" s="265"/>
      <c r="XB6" s="265"/>
      <c r="XC6" s="265"/>
      <c r="XD6" s="265"/>
      <c r="XE6" s="265"/>
      <c r="XF6" s="265"/>
      <c r="XG6" s="265"/>
      <c r="XH6" s="265"/>
      <c r="XI6" s="265"/>
      <c r="XJ6" s="265"/>
      <c r="XK6" s="265"/>
      <c r="XL6" s="265"/>
      <c r="XM6" s="265"/>
      <c r="XN6" s="265"/>
      <c r="XO6" s="265"/>
      <c r="XP6" s="265"/>
      <c r="XQ6" s="265"/>
      <c r="XR6" s="265" t="s">
        <v>716</v>
      </c>
      <c r="XS6" s="265"/>
      <c r="XT6" s="265"/>
      <c r="XU6" s="265"/>
      <c r="XV6" s="265"/>
      <c r="XW6" s="265"/>
      <c r="XX6" s="265"/>
      <c r="XY6" s="265"/>
      <c r="XZ6" s="265"/>
      <c r="YA6" s="265"/>
      <c r="YB6" s="265"/>
      <c r="YC6" s="265"/>
      <c r="YD6" s="265"/>
      <c r="YE6" s="265"/>
      <c r="YF6" s="265"/>
      <c r="YG6" s="265"/>
      <c r="YH6" s="265"/>
      <c r="YI6" s="265"/>
      <c r="YJ6" s="265"/>
      <c r="YK6" s="265"/>
      <c r="YL6" s="265"/>
      <c r="YM6" s="265"/>
      <c r="YN6" s="265"/>
      <c r="YO6" s="265"/>
      <c r="YP6" s="265"/>
      <c r="YQ6" s="265"/>
      <c r="YR6" s="265"/>
      <c r="YS6" s="266" t="s">
        <v>731</v>
      </c>
      <c r="YT6" s="266"/>
      <c r="YU6" s="266"/>
      <c r="YV6" s="266"/>
      <c r="YY6" s="256" t="s">
        <v>796</v>
      </c>
      <c r="YZ6" s="257"/>
      <c r="ZA6" s="257"/>
      <c r="ZB6" s="257"/>
      <c r="ZC6" s="257"/>
      <c r="ZD6" s="257"/>
      <c r="ZE6" s="257"/>
      <c r="ZF6" s="257"/>
      <c r="ZG6" s="257"/>
      <c r="ZH6" s="257"/>
      <c r="ZI6" s="257"/>
      <c r="ZJ6" s="257"/>
      <c r="ZK6" s="257"/>
      <c r="ZL6" s="257"/>
      <c r="ZM6" s="257"/>
      <c r="ZN6" s="257"/>
      <c r="ZO6" s="257"/>
      <c r="ZP6" s="257"/>
      <c r="ZQ6" s="257"/>
      <c r="ZR6" s="257"/>
      <c r="ZS6" s="257"/>
      <c r="ZT6" s="257"/>
      <c r="ZU6" s="257"/>
      <c r="ZV6" s="257"/>
      <c r="ZW6" s="257"/>
      <c r="ZX6" s="257"/>
      <c r="ZY6" s="257"/>
      <c r="ZZ6" s="257"/>
      <c r="AAA6" s="257"/>
      <c r="AAB6" s="257"/>
      <c r="AAC6" s="257"/>
      <c r="AAD6" s="257"/>
      <c r="AAE6" s="257"/>
      <c r="AAF6" s="257"/>
      <c r="AAG6" s="257"/>
      <c r="AAH6" s="257"/>
      <c r="AAI6" s="257"/>
      <c r="AAJ6" s="257"/>
      <c r="AAK6" s="257"/>
      <c r="AAL6" s="257"/>
      <c r="AAM6" s="257"/>
      <c r="AAN6" s="257"/>
      <c r="AAO6" s="257"/>
      <c r="AAP6" s="257"/>
      <c r="AAQ6" s="257"/>
      <c r="AAR6" s="258"/>
      <c r="AAS6" s="258"/>
      <c r="AAT6" s="258"/>
      <c r="AAU6" s="258"/>
      <c r="AAV6" s="258"/>
      <c r="AAW6" s="258"/>
      <c r="AAX6" s="258"/>
      <c r="AAY6" s="258"/>
      <c r="AAZ6" s="251" t="s">
        <v>715</v>
      </c>
      <c r="ABA6" s="251"/>
      <c r="ABB6" s="251"/>
      <c r="ABC6" s="251"/>
      <c r="ABD6" s="251"/>
      <c r="ABE6" s="251"/>
      <c r="ABF6" s="259" t="s">
        <v>795</v>
      </c>
      <c r="ABG6" s="259"/>
      <c r="ABH6" s="259"/>
      <c r="ABI6" s="259"/>
      <c r="ABJ6" s="259"/>
      <c r="ABK6" s="259"/>
    </row>
    <row r="7" spans="1:1304" ht="31.2" customHeight="1" thickTop="1" thickBot="1">
      <c r="A7" t="s">
        <v>614</v>
      </c>
      <c r="B7" t="s">
        <v>761</v>
      </c>
      <c r="MV7" s="260" t="s">
        <v>831</v>
      </c>
      <c r="MW7" s="260"/>
      <c r="MX7" s="260"/>
      <c r="MY7" s="260"/>
      <c r="MZ7" s="260"/>
      <c r="NA7" s="260"/>
      <c r="NB7" s="260"/>
      <c r="NC7" s="260"/>
      <c r="ND7" s="260"/>
      <c r="NE7" s="260"/>
      <c r="NF7" s="260"/>
      <c r="NG7" s="260"/>
      <c r="NH7" s="260"/>
      <c r="NI7" s="260"/>
      <c r="NJ7" s="260"/>
      <c r="NK7" s="260"/>
      <c r="NL7" s="260"/>
      <c r="NM7" s="260"/>
      <c r="NN7" s="260"/>
      <c r="NO7" s="260"/>
      <c r="NP7" s="260"/>
      <c r="NQ7" s="260"/>
      <c r="NR7" s="260"/>
      <c r="NS7" s="260"/>
      <c r="NT7" s="260"/>
      <c r="NU7" s="260"/>
      <c r="NV7" s="260"/>
      <c r="NW7" s="260"/>
      <c r="NX7" s="260"/>
      <c r="NY7" s="260"/>
      <c r="NZ7" s="260"/>
      <c r="OA7" s="260"/>
      <c r="OB7" s="260"/>
      <c r="OC7" s="260"/>
      <c r="OD7" s="260"/>
      <c r="OE7" s="244" t="s">
        <v>803</v>
      </c>
      <c r="OF7" s="244"/>
      <c r="OG7" s="244"/>
      <c r="OH7" s="244"/>
      <c r="OI7" s="244"/>
      <c r="OK7" s="260" t="s">
        <v>752</v>
      </c>
      <c r="OL7" s="260"/>
      <c r="OM7" s="260"/>
      <c r="ON7" s="260"/>
      <c r="OO7" s="260"/>
      <c r="OP7" s="260"/>
      <c r="OQ7" s="260"/>
      <c r="OR7" s="260"/>
      <c r="OS7" s="260"/>
      <c r="OT7" s="260"/>
      <c r="OU7" s="260"/>
      <c r="OV7" s="260"/>
      <c r="OW7" s="260"/>
      <c r="OX7" s="260"/>
      <c r="OY7" s="260"/>
      <c r="OZ7" s="260"/>
      <c r="PA7" s="260"/>
      <c r="PB7" s="260"/>
      <c r="PC7" s="260"/>
      <c r="PD7" s="260"/>
      <c r="PE7" s="260"/>
      <c r="PF7" s="260"/>
      <c r="PG7" s="260"/>
      <c r="PH7" s="260"/>
      <c r="PI7" s="260"/>
      <c r="PJ7" s="260"/>
      <c r="PK7" s="260"/>
      <c r="PL7" s="260"/>
      <c r="PM7" s="260"/>
      <c r="PN7" s="260"/>
      <c r="PO7" s="260"/>
      <c r="PP7" s="260"/>
      <c r="PQ7" s="260"/>
      <c r="PR7" s="260"/>
      <c r="PS7" s="260"/>
      <c r="PT7" s="260"/>
      <c r="PU7" s="260"/>
      <c r="PV7" s="260"/>
      <c r="PW7" s="260"/>
      <c r="PX7" s="260"/>
      <c r="PY7" s="260"/>
      <c r="PZ7" s="260"/>
      <c r="QA7" s="260"/>
      <c r="QB7" s="260"/>
      <c r="QC7" s="260"/>
      <c r="QD7" s="260"/>
      <c r="QE7" s="260"/>
      <c r="QF7" s="260"/>
      <c r="QG7" s="260"/>
      <c r="QH7" s="260"/>
      <c r="QI7" s="260"/>
      <c r="QJ7" s="260"/>
      <c r="QK7" s="260"/>
      <c r="QL7" s="260"/>
      <c r="QM7" s="260"/>
      <c r="QN7" s="260"/>
      <c r="QO7" s="260"/>
      <c r="QP7" s="260"/>
      <c r="QQ7" s="260"/>
      <c r="QR7" s="260"/>
      <c r="QS7" s="260"/>
      <c r="QT7" s="260"/>
      <c r="QU7" s="260"/>
      <c r="QV7" s="260"/>
      <c r="QW7" s="260"/>
      <c r="QX7" s="260"/>
      <c r="QY7" s="260"/>
      <c r="QZ7" s="260"/>
      <c r="RA7" s="260"/>
      <c r="RB7" s="260"/>
      <c r="RC7" s="260"/>
      <c r="RD7" s="260"/>
      <c r="RE7" s="260"/>
      <c r="RF7" s="260"/>
      <c r="RG7" s="244" t="s">
        <v>707</v>
      </c>
      <c r="RH7" s="244"/>
      <c r="RI7" s="244"/>
      <c r="RJ7" s="244"/>
      <c r="RK7" s="244"/>
      <c r="RL7" s="244"/>
      <c r="RM7" s="251" t="s">
        <v>722</v>
      </c>
      <c r="RN7" s="251"/>
      <c r="RO7" s="251"/>
      <c r="RP7" s="251"/>
      <c r="RQ7" s="251"/>
      <c r="RR7" s="251"/>
      <c r="RS7" s="251"/>
      <c r="RT7" s="251"/>
      <c r="RU7" s="261" t="s">
        <v>723</v>
      </c>
      <c r="RV7" s="261"/>
      <c r="RW7" s="261"/>
      <c r="RX7" s="261"/>
      <c r="RY7" s="261"/>
      <c r="RZ7" s="261"/>
      <c r="SA7" s="261"/>
      <c r="SB7" s="261"/>
      <c r="SC7" s="261"/>
      <c r="SD7" s="261"/>
      <c r="SE7" s="261"/>
      <c r="SF7" s="261"/>
      <c r="SG7" s="264" t="s">
        <v>606</v>
      </c>
      <c r="SH7" s="264"/>
      <c r="SI7" s="264"/>
      <c r="SJ7" s="264"/>
      <c r="SK7" s="264"/>
      <c r="SL7" s="264"/>
      <c r="SM7" s="264"/>
      <c r="SN7" s="264"/>
      <c r="SO7" s="273" t="s">
        <v>742</v>
      </c>
      <c r="SP7" s="273"/>
      <c r="SQ7" s="273"/>
      <c r="ST7" s="274" t="s">
        <v>784</v>
      </c>
      <c r="SU7" s="274"/>
      <c r="SV7" s="274"/>
      <c r="SW7" s="274"/>
      <c r="SX7" s="252" t="s">
        <v>806</v>
      </c>
      <c r="SY7" s="252"/>
      <c r="SZ7" s="252"/>
      <c r="TA7" s="252"/>
      <c r="TB7" s="255" t="s">
        <v>725</v>
      </c>
      <c r="TC7" s="255"/>
      <c r="TD7" s="255"/>
      <c r="TE7" s="255"/>
      <c r="TF7" s="255"/>
      <c r="TG7" s="255"/>
      <c r="TH7" s="255"/>
      <c r="TI7" s="255"/>
      <c r="TJ7" s="255"/>
      <c r="TK7" s="255"/>
      <c r="TL7" s="255"/>
      <c r="TM7" s="255"/>
      <c r="TN7" s="255"/>
      <c r="TO7" s="255"/>
      <c r="TP7" s="255"/>
      <c r="TQ7" s="251" t="s">
        <v>736</v>
      </c>
      <c r="TR7" s="251"/>
      <c r="TS7" s="251"/>
      <c r="TT7" s="251"/>
      <c r="TU7" s="251"/>
      <c r="TV7" s="251"/>
      <c r="TW7" s="251"/>
      <c r="TX7" s="251"/>
      <c r="TY7" s="263" t="s">
        <v>785</v>
      </c>
      <c r="TZ7" s="263"/>
      <c r="UA7" s="263"/>
      <c r="UB7" s="263"/>
      <c r="UC7" s="263"/>
      <c r="UD7" s="263"/>
      <c r="UE7" s="263"/>
      <c r="UF7" s="263"/>
      <c r="UG7" s="263"/>
      <c r="UH7" s="263"/>
      <c r="UI7" s="263"/>
      <c r="UJ7" s="263"/>
      <c r="UK7" s="263"/>
      <c r="UL7" s="263"/>
      <c r="UM7" s="263"/>
      <c r="UN7" s="263"/>
      <c r="UQ7" s="253" t="s">
        <v>724</v>
      </c>
      <c r="UR7" s="253"/>
      <c r="US7" s="253"/>
      <c r="UT7" s="253"/>
      <c r="UU7" s="253"/>
      <c r="UV7" s="253"/>
      <c r="UW7" s="253"/>
      <c r="UX7" s="253"/>
      <c r="UY7" s="253"/>
      <c r="UZ7" s="253"/>
      <c r="VA7" s="253"/>
      <c r="VB7" s="253"/>
      <c r="VC7" s="253"/>
      <c r="VD7" s="253"/>
      <c r="VE7" s="253"/>
      <c r="VF7" s="253"/>
      <c r="VG7" s="253"/>
      <c r="VH7" s="272" t="s">
        <v>727</v>
      </c>
      <c r="VI7" s="272"/>
      <c r="VJ7" s="272"/>
      <c r="VK7" s="272"/>
      <c r="VL7" s="272"/>
      <c r="VM7" s="272"/>
      <c r="VN7" s="272"/>
      <c r="VO7" s="272"/>
      <c r="VP7" s="267" t="s">
        <v>744</v>
      </c>
      <c r="VQ7" s="267"/>
      <c r="VR7" s="267"/>
      <c r="VS7" s="267"/>
      <c r="VT7" s="267"/>
      <c r="VU7" s="267"/>
      <c r="VV7" s="267"/>
      <c r="VW7" s="267"/>
      <c r="VX7" s="267"/>
      <c r="VY7" s="267"/>
      <c r="VZ7" s="267"/>
      <c r="WA7" s="267"/>
      <c r="WB7" s="267"/>
      <c r="WC7" s="262" t="s">
        <v>728</v>
      </c>
      <c r="WD7" s="262"/>
      <c r="WE7" s="262"/>
      <c r="WF7" s="262"/>
      <c r="WG7" s="262"/>
      <c r="WH7" s="262"/>
      <c r="WI7" s="262"/>
      <c r="WJ7" s="262"/>
      <c r="WK7" s="262"/>
      <c r="WL7" s="262"/>
      <c r="WM7" s="262"/>
      <c r="WN7" s="262"/>
      <c r="WO7" s="262"/>
      <c r="WP7" s="262"/>
      <c r="WQ7" s="262"/>
      <c r="WR7" s="262"/>
      <c r="WS7" s="262"/>
      <c r="WT7" s="262"/>
      <c r="WU7" s="262"/>
      <c r="WV7" s="262"/>
      <c r="WW7" s="262"/>
      <c r="WX7" s="262"/>
      <c r="WY7" s="262"/>
      <c r="WZ7" s="262"/>
      <c r="XA7" s="262"/>
      <c r="XB7" s="262"/>
      <c r="XC7" s="262"/>
      <c r="XD7" s="262"/>
      <c r="XE7" s="264" t="s">
        <v>729</v>
      </c>
      <c r="XF7" s="264"/>
      <c r="XG7" s="264"/>
      <c r="XH7" s="264"/>
      <c r="XI7" s="264"/>
      <c r="XJ7" s="264"/>
      <c r="XK7" s="264"/>
      <c r="XL7" s="264"/>
      <c r="XM7" s="264"/>
      <c r="XN7" s="264"/>
      <c r="XO7" s="264"/>
      <c r="XP7" s="264"/>
      <c r="XQ7" s="268" t="s">
        <v>829</v>
      </c>
      <c r="XR7" s="268"/>
      <c r="XS7" s="268"/>
      <c r="XT7" s="268"/>
      <c r="XU7" s="268"/>
      <c r="XV7" s="268"/>
      <c r="XW7" s="268"/>
      <c r="XX7" s="268"/>
      <c r="YE7" s="252" t="s">
        <v>797</v>
      </c>
      <c r="YF7" s="252"/>
      <c r="YG7" s="252"/>
      <c r="YH7" s="252"/>
      <c r="YI7" s="252"/>
      <c r="YJ7" s="252"/>
      <c r="YK7" s="252"/>
      <c r="YL7" s="252"/>
      <c r="YO7" s="268" t="s">
        <v>809</v>
      </c>
      <c r="YP7" s="268"/>
      <c r="YQ7" s="268"/>
      <c r="YR7" s="268"/>
      <c r="YS7" s="268"/>
      <c r="YT7" s="268"/>
      <c r="YU7" s="268"/>
      <c r="YV7" s="268"/>
      <c r="YW7" s="268"/>
      <c r="YX7" s="268"/>
      <c r="YY7" s="268"/>
      <c r="YZ7" s="268"/>
      <c r="ZA7" s="268"/>
      <c r="ZB7" s="268"/>
      <c r="ZC7" s="268"/>
      <c r="ZD7" s="268"/>
      <c r="ZE7" s="268"/>
      <c r="ZF7" s="268"/>
      <c r="ZG7" s="270" t="s">
        <v>787</v>
      </c>
      <c r="ZH7" s="270"/>
      <c r="ZI7" s="270"/>
      <c r="ZJ7" s="270"/>
      <c r="ZK7" s="270"/>
      <c r="ZL7" s="270"/>
      <c r="ZM7" s="270"/>
      <c r="ZN7" s="270"/>
      <c r="ZO7" s="270"/>
      <c r="ZP7" s="270"/>
      <c r="ZQ7" s="270"/>
      <c r="ZR7" s="270"/>
      <c r="ZS7" s="270"/>
      <c r="ZT7" s="270"/>
      <c r="ZU7" s="270"/>
      <c r="ZV7" s="271" t="s">
        <v>640</v>
      </c>
      <c r="ZW7" s="271"/>
      <c r="ZX7" s="271"/>
      <c r="ZY7" s="271"/>
      <c r="ZZ7" s="271"/>
      <c r="AAA7" s="271"/>
      <c r="AAB7" s="271"/>
      <c r="AAC7" s="271"/>
      <c r="AAD7" s="271"/>
      <c r="AAE7" s="271"/>
      <c r="AAF7" s="271"/>
      <c r="AAG7" s="271"/>
      <c r="AAH7" s="271"/>
      <c r="AAI7" s="271"/>
      <c r="AAJ7" s="271"/>
      <c r="AAK7" s="271"/>
      <c r="AAL7" s="271"/>
      <c r="AAM7" s="271"/>
      <c r="AAN7" s="271"/>
      <c r="AAO7" s="271"/>
      <c r="AAP7" s="271"/>
      <c r="AAQ7" s="271"/>
      <c r="AAR7" s="271"/>
      <c r="AAS7" s="271"/>
      <c r="AAT7" s="271"/>
      <c r="AAU7" s="271"/>
      <c r="AAV7" s="271"/>
      <c r="AAW7" s="271"/>
      <c r="AAX7" s="271"/>
      <c r="AAY7" s="271"/>
      <c r="AAZ7" s="271"/>
      <c r="ABA7" s="271"/>
      <c r="ABB7" s="271"/>
      <c r="ABC7" s="271"/>
      <c r="ABD7" s="271"/>
      <c r="ABE7" s="271"/>
      <c r="ABF7" s="271"/>
      <c r="ABG7" s="271"/>
      <c r="ABH7" s="271"/>
      <c r="ABI7" s="271"/>
      <c r="ABJ7" s="271"/>
      <c r="ABK7" s="271"/>
      <c r="ABL7" s="271"/>
      <c r="ABM7" s="271"/>
      <c r="ABN7" s="271"/>
      <c r="ABO7" s="271"/>
      <c r="ABP7" s="271"/>
      <c r="ABQ7" s="271"/>
      <c r="ABR7" s="271"/>
      <c r="ABS7" s="271"/>
      <c r="ABT7" s="271"/>
      <c r="ABU7" s="263" t="s">
        <v>788</v>
      </c>
      <c r="ABV7" s="263"/>
      <c r="ABW7" s="263"/>
      <c r="ABX7" s="263"/>
      <c r="ABY7" s="263"/>
      <c r="ABZ7" s="263"/>
      <c r="ACA7" s="263"/>
      <c r="ACB7" s="263"/>
      <c r="ACC7" s="263"/>
      <c r="ACD7" s="263"/>
      <c r="ACE7" s="263"/>
      <c r="ACF7" s="263"/>
      <c r="ACG7" s="263"/>
      <c r="ACH7" s="263"/>
      <c r="ACI7" s="263"/>
      <c r="ACJ7" s="263"/>
      <c r="ACK7" s="263"/>
      <c r="ACL7" s="263"/>
      <c r="ACM7" s="265" t="s">
        <v>726</v>
      </c>
      <c r="ACN7" s="265"/>
      <c r="ACO7" s="265"/>
      <c r="ACP7" s="265"/>
      <c r="ACQ7" s="265"/>
      <c r="ACR7" s="265"/>
      <c r="ACS7" s="265"/>
      <c r="ACT7" s="265"/>
      <c r="ACU7" s="265"/>
      <c r="ACV7" s="265"/>
      <c r="ACW7" s="251" t="s">
        <v>791</v>
      </c>
      <c r="ACX7" s="251"/>
      <c r="ACY7" s="251"/>
      <c r="ACZ7" s="251"/>
      <c r="ADA7" s="251"/>
      <c r="ADB7" s="251"/>
      <c r="ADC7" s="251"/>
      <c r="ADD7" s="251"/>
      <c r="ADG7" s="261" t="s">
        <v>747</v>
      </c>
      <c r="ADH7" s="261"/>
      <c r="ADI7" s="261"/>
      <c r="ADJ7" s="261"/>
      <c r="ADK7" s="261"/>
      <c r="ADL7" s="261"/>
      <c r="ADM7" s="261"/>
      <c r="ADN7" s="261"/>
      <c r="AEL7" s="269" t="s">
        <v>832</v>
      </c>
      <c r="AEM7" s="269"/>
      <c r="AEN7" s="269"/>
      <c r="AEO7" s="269"/>
      <c r="AEP7" s="269"/>
      <c r="AEQ7" s="269"/>
      <c r="AER7" s="269"/>
      <c r="AES7" s="269"/>
      <c r="AET7" s="269"/>
      <c r="AEU7" s="269"/>
      <c r="AEV7" s="269"/>
      <c r="AEW7" s="269"/>
      <c r="AEX7" s="269"/>
      <c r="AEY7" s="269"/>
      <c r="AEZ7" s="269"/>
      <c r="AFA7" s="269"/>
      <c r="AFB7" s="269"/>
      <c r="AFC7" s="269"/>
      <c r="AFD7" s="269"/>
      <c r="AFE7" s="269"/>
      <c r="AFF7" s="269"/>
      <c r="AFG7" s="269"/>
      <c r="AFH7" s="269"/>
      <c r="AFI7" s="269"/>
      <c r="AFJ7" s="269"/>
      <c r="AFK7" s="269"/>
      <c r="AFL7" s="269"/>
      <c r="AFM7" s="269"/>
      <c r="AFN7" s="269"/>
      <c r="AFO7" s="269"/>
      <c r="AFP7" s="269"/>
      <c r="AFQ7" s="269"/>
      <c r="AFR7" s="269"/>
      <c r="AFS7" s="269"/>
      <c r="AFT7" s="269"/>
      <c r="AFU7" s="269"/>
      <c r="AFV7" s="269"/>
      <c r="AFW7" s="269"/>
      <c r="AFX7" s="269"/>
      <c r="AFY7" s="269"/>
      <c r="AFZ7" s="269"/>
      <c r="AGA7" s="269"/>
      <c r="AGB7" s="269"/>
      <c r="AGC7" s="269"/>
      <c r="AGD7" s="269"/>
      <c r="AGE7" s="269"/>
      <c r="AGF7" s="269"/>
      <c r="AGG7" s="269"/>
      <c r="AGH7" s="269"/>
      <c r="AGI7" s="269"/>
      <c r="AGJ7" s="269"/>
      <c r="AGK7" s="269"/>
      <c r="AGL7" s="269"/>
      <c r="AGM7" s="269"/>
      <c r="AGN7" s="269"/>
      <c r="AGO7" s="269"/>
      <c r="AGP7" s="269"/>
      <c r="AGQ7" s="269"/>
      <c r="AGR7" s="269"/>
      <c r="AGS7" s="269"/>
      <c r="AGT7" s="269"/>
      <c r="AGU7" s="269"/>
      <c r="AGV7" s="269"/>
      <c r="AGW7" s="269"/>
      <c r="AGX7" s="269"/>
      <c r="AGY7" s="269"/>
      <c r="AGZ7" s="269"/>
      <c r="AHA7" s="269"/>
      <c r="AHB7" s="269"/>
      <c r="AHC7" s="269"/>
      <c r="AHD7" s="269"/>
      <c r="AHE7" s="269"/>
      <c r="AHF7" s="269"/>
      <c r="AHG7" s="269"/>
      <c r="AHH7" s="269"/>
      <c r="AHI7" s="269"/>
      <c r="AHJ7" s="269"/>
      <c r="AHK7" s="269"/>
      <c r="AHL7" s="269"/>
      <c r="AHM7" s="269"/>
      <c r="AHN7" s="269"/>
      <c r="AHO7" s="269"/>
      <c r="AHP7" s="269"/>
      <c r="AHQ7" s="269"/>
      <c r="AHR7" s="269"/>
      <c r="AHS7" s="269"/>
      <c r="AHT7" s="269"/>
      <c r="AHU7" s="269"/>
      <c r="AHV7" s="269"/>
      <c r="AHW7" s="269"/>
      <c r="AHX7" s="269"/>
      <c r="AHY7" s="269"/>
      <c r="AHZ7" s="269"/>
      <c r="AIA7" s="269"/>
      <c r="AIB7" s="269"/>
      <c r="AIC7" s="269"/>
      <c r="AID7" s="269"/>
      <c r="AIE7" s="269"/>
      <c r="AIF7" s="269"/>
      <c r="AIG7" s="269"/>
      <c r="AIH7" s="269"/>
      <c r="AII7" s="269"/>
      <c r="AIJ7" s="269"/>
      <c r="AIK7" s="269"/>
      <c r="AIL7" s="269"/>
      <c r="AIM7" s="269"/>
      <c r="AIN7" s="269"/>
      <c r="AIO7" s="269"/>
      <c r="AIP7" s="269"/>
      <c r="AIQ7" s="269"/>
      <c r="AIR7" s="269"/>
      <c r="AIS7" s="269"/>
      <c r="AIT7" s="269"/>
      <c r="AIU7" s="269"/>
      <c r="AIV7" s="269"/>
      <c r="AIW7" s="269"/>
      <c r="AIX7" s="269"/>
      <c r="AIY7" s="269"/>
      <c r="AIZ7" s="269"/>
      <c r="AJA7" s="269"/>
      <c r="AJB7" s="269"/>
      <c r="AJC7" s="269"/>
      <c r="AJD7" s="269"/>
      <c r="AJE7" s="269"/>
      <c r="AJF7" s="269"/>
      <c r="AJG7" s="269"/>
      <c r="AJH7" s="269"/>
      <c r="AJI7" s="269"/>
      <c r="AJJ7" s="269"/>
      <c r="AJK7" s="269"/>
      <c r="AJL7" s="269"/>
      <c r="AJM7" s="269"/>
      <c r="AJN7" s="269"/>
      <c r="AJO7" s="269"/>
      <c r="AJP7" s="269"/>
      <c r="AJQ7" s="269"/>
      <c r="AJR7" s="269"/>
      <c r="AJS7" s="269"/>
      <c r="AJT7" s="269"/>
      <c r="AJU7" s="269"/>
      <c r="AJV7" s="269"/>
    </row>
    <row r="8" spans="1:1304" ht="31.2" customHeight="1" thickTop="1" thickBot="1">
      <c r="A8" t="s">
        <v>614</v>
      </c>
      <c r="B8" t="s">
        <v>792</v>
      </c>
      <c r="NJ8" s="243" t="s">
        <v>831</v>
      </c>
      <c r="NK8" s="243"/>
      <c r="NL8" s="243"/>
      <c r="NM8" s="243"/>
      <c r="NN8" s="243"/>
      <c r="NO8" s="243"/>
      <c r="NP8" s="243"/>
      <c r="NQ8" s="243"/>
      <c r="NR8" s="243"/>
      <c r="NS8" s="243"/>
      <c r="NT8" s="243"/>
      <c r="NU8" s="243"/>
      <c r="NV8" s="243"/>
      <c r="NW8" s="243"/>
      <c r="NX8" s="243"/>
      <c r="NY8" s="243"/>
      <c r="NZ8" s="243"/>
      <c r="OA8" s="243"/>
      <c r="OB8" s="243"/>
      <c r="OC8" s="243"/>
      <c r="OD8" s="243"/>
      <c r="OE8" s="243"/>
      <c r="OF8" s="243"/>
      <c r="OG8" s="243"/>
      <c r="OH8" s="243"/>
      <c r="OI8" s="243"/>
      <c r="OJ8" s="243"/>
      <c r="OK8" s="243"/>
      <c r="OL8" s="243"/>
      <c r="OM8" s="243"/>
      <c r="ON8" s="243"/>
      <c r="OO8" s="243"/>
      <c r="OP8" s="243"/>
      <c r="OQ8" s="243"/>
      <c r="OR8" s="243"/>
      <c r="OS8" s="244" t="s">
        <v>803</v>
      </c>
      <c r="OT8" s="244"/>
      <c r="OU8" s="244"/>
      <c r="OV8" s="244"/>
      <c r="OW8" s="244"/>
      <c r="OY8" s="260" t="s">
        <v>752</v>
      </c>
      <c r="OZ8" s="260"/>
      <c r="PA8" s="260"/>
      <c r="PB8" s="260"/>
      <c r="PC8" s="260"/>
      <c r="PD8" s="260"/>
      <c r="PE8" s="260"/>
      <c r="PF8" s="260"/>
      <c r="PG8" s="260"/>
      <c r="PH8" s="260"/>
      <c r="PI8" s="260"/>
      <c r="PJ8" s="260"/>
      <c r="PK8" s="260"/>
      <c r="PL8" s="260"/>
      <c r="PM8" s="260"/>
      <c r="PN8" s="260"/>
      <c r="PO8" s="260"/>
      <c r="PP8" s="260"/>
      <c r="PQ8" s="260"/>
      <c r="PR8" s="260"/>
      <c r="PS8" s="260"/>
      <c r="PT8" s="260"/>
      <c r="PU8" s="260"/>
      <c r="PV8" s="260"/>
      <c r="PW8" s="260"/>
      <c r="PX8" s="260"/>
      <c r="PY8" s="260"/>
      <c r="PZ8" s="260"/>
      <c r="QA8" s="260"/>
      <c r="QB8" s="260"/>
      <c r="QC8" s="260"/>
      <c r="QD8" s="260"/>
      <c r="QE8" s="260"/>
      <c r="QF8" s="260"/>
      <c r="QG8" s="260"/>
      <c r="QH8" s="260"/>
      <c r="QI8" s="260"/>
      <c r="QJ8" s="260"/>
      <c r="QK8" s="260"/>
      <c r="QL8" s="260"/>
      <c r="QM8" s="260"/>
      <c r="QN8" s="260"/>
      <c r="QO8" s="260"/>
      <c r="QP8" s="260"/>
      <c r="QQ8" s="260"/>
      <c r="QR8" s="260"/>
      <c r="QS8" s="260"/>
      <c r="QT8" s="260"/>
      <c r="QU8" s="260"/>
      <c r="QV8" s="260"/>
      <c r="QW8" s="260"/>
      <c r="QX8" s="260"/>
      <c r="QY8" s="260"/>
      <c r="QZ8" s="260"/>
      <c r="RA8" s="260"/>
      <c r="RB8" s="260"/>
      <c r="RC8" s="260"/>
      <c r="RD8" s="260"/>
      <c r="RE8" s="260"/>
      <c r="RF8" s="260"/>
      <c r="RG8" s="260"/>
      <c r="RH8" s="260"/>
      <c r="RI8" s="260"/>
      <c r="RJ8" s="260"/>
      <c r="RK8" s="260"/>
      <c r="RL8" s="260"/>
      <c r="RM8" s="260"/>
      <c r="RN8" s="260"/>
      <c r="RO8" s="260"/>
      <c r="RP8" s="260"/>
      <c r="RQ8" s="260"/>
      <c r="RR8" s="260"/>
      <c r="RS8" s="260"/>
      <c r="RT8" s="260"/>
      <c r="RU8" s="260"/>
      <c r="RV8" s="244" t="s">
        <v>707</v>
      </c>
      <c r="RW8" s="244"/>
      <c r="RX8" s="244"/>
      <c r="RY8" s="244"/>
      <c r="RZ8" s="244"/>
      <c r="SA8" s="244"/>
      <c r="SB8" s="253" t="s">
        <v>807</v>
      </c>
      <c r="SC8" s="253"/>
      <c r="SD8" s="253"/>
      <c r="SE8" s="253"/>
      <c r="SF8" s="253"/>
      <c r="SG8" s="253"/>
      <c r="SH8" s="253"/>
      <c r="SI8" s="253"/>
      <c r="SJ8" s="253"/>
      <c r="SK8" s="253"/>
      <c r="SL8" s="253"/>
      <c r="SM8" s="253"/>
      <c r="SN8" s="253"/>
      <c r="SO8" s="253"/>
      <c r="SP8" s="253"/>
      <c r="SQ8" s="253"/>
      <c r="SR8" s="253"/>
      <c r="SS8" s="253"/>
      <c r="ST8" s="253"/>
      <c r="SU8" s="264" t="s">
        <v>606</v>
      </c>
      <c r="SV8" s="264"/>
      <c r="SW8" s="264"/>
      <c r="SX8" s="264"/>
      <c r="SY8" s="264"/>
      <c r="SZ8" s="264"/>
      <c r="TA8" s="264"/>
      <c r="TB8" s="264"/>
      <c r="TC8" s="263" t="s">
        <v>785</v>
      </c>
      <c r="TD8" s="263"/>
      <c r="TE8" s="263"/>
      <c r="TF8" s="263"/>
      <c r="TG8" s="263"/>
      <c r="TH8" s="263"/>
      <c r="TI8" s="263"/>
      <c r="TJ8" s="263"/>
      <c r="TK8" s="263"/>
      <c r="TL8" s="263"/>
      <c r="TO8" s="255" t="s">
        <v>725</v>
      </c>
      <c r="TP8" s="255"/>
      <c r="TQ8" s="255"/>
      <c r="TR8" s="255"/>
      <c r="TS8" s="255"/>
      <c r="TT8" s="255"/>
      <c r="TU8" s="255"/>
      <c r="TV8" s="255"/>
      <c r="TW8" s="255"/>
      <c r="TX8" s="255"/>
      <c r="TY8" s="255"/>
      <c r="TZ8" s="255"/>
      <c r="UD8" s="253" t="s">
        <v>724</v>
      </c>
      <c r="UE8" s="253"/>
      <c r="UF8" s="253"/>
      <c r="UG8" s="253"/>
      <c r="UH8" s="253"/>
      <c r="UI8" s="253"/>
      <c r="UJ8" s="253"/>
      <c r="UK8" s="253"/>
      <c r="UL8" s="253"/>
      <c r="UM8" s="253"/>
      <c r="UN8" s="276" t="s">
        <v>840</v>
      </c>
      <c r="UO8" s="276"/>
      <c r="UP8" s="276"/>
      <c r="UQ8" s="276"/>
      <c r="UR8" s="276"/>
      <c r="US8" s="276"/>
      <c r="UT8" s="276"/>
      <c r="UU8" s="276"/>
      <c r="UV8" s="276"/>
      <c r="UW8" s="276"/>
      <c r="UX8" s="276"/>
      <c r="UY8" s="276"/>
      <c r="UZ8" s="276"/>
      <c r="VA8" s="276"/>
      <c r="VB8" s="276"/>
      <c r="VC8" s="276"/>
      <c r="VD8" s="276"/>
      <c r="VE8" s="276"/>
      <c r="VF8" s="276"/>
      <c r="VG8" s="276"/>
      <c r="VH8" s="276"/>
      <c r="VI8" s="276"/>
      <c r="VJ8" s="276"/>
      <c r="VK8" s="276"/>
      <c r="VL8" s="276"/>
      <c r="VM8" s="276"/>
      <c r="VN8" s="276"/>
      <c r="VO8" s="276"/>
      <c r="VP8" s="276"/>
      <c r="VQ8" s="276"/>
      <c r="VR8" s="276"/>
      <c r="VS8" s="276"/>
      <c r="VT8" s="276"/>
      <c r="VU8" s="276"/>
      <c r="VV8" s="276"/>
      <c r="VW8" s="276"/>
      <c r="VX8" s="276"/>
      <c r="VY8" s="276"/>
      <c r="VZ8" s="276"/>
      <c r="WA8" s="276"/>
      <c r="WB8" s="276"/>
      <c r="WC8" s="276"/>
      <c r="WD8" s="276"/>
      <c r="WE8" s="276"/>
      <c r="WF8" s="276"/>
      <c r="WG8" s="276"/>
      <c r="WH8" s="276"/>
      <c r="WI8" s="276"/>
      <c r="WJ8" s="276"/>
      <c r="WK8" s="276"/>
      <c r="WL8" s="276"/>
      <c r="WM8" s="276"/>
      <c r="WN8" s="276"/>
      <c r="WO8" s="276"/>
      <c r="WP8" s="276"/>
      <c r="WQ8" s="276"/>
      <c r="WR8" s="276"/>
      <c r="WS8" s="276"/>
      <c r="WT8" s="276"/>
      <c r="WU8" s="276"/>
      <c r="WV8" s="276"/>
      <c r="WW8" s="276"/>
      <c r="WX8" s="276"/>
      <c r="WY8" s="245" t="s">
        <v>737</v>
      </c>
      <c r="WZ8" s="245"/>
      <c r="XA8" s="245"/>
      <c r="XB8" s="245"/>
      <c r="XC8" s="245"/>
      <c r="XD8" s="245"/>
      <c r="XE8" s="245"/>
      <c r="XF8" s="245"/>
      <c r="XG8" s="245"/>
      <c r="XH8" s="245"/>
      <c r="XI8" s="245"/>
      <c r="XJ8" s="245"/>
      <c r="XK8" s="245"/>
      <c r="XL8" s="245"/>
      <c r="XM8" s="245"/>
      <c r="XP8" s="268" t="s">
        <v>829</v>
      </c>
      <c r="XQ8" s="268"/>
      <c r="XR8" s="268"/>
      <c r="XS8" s="268"/>
      <c r="XT8" s="268"/>
      <c r="XU8" s="268"/>
      <c r="XV8" s="268"/>
      <c r="XW8" s="268"/>
      <c r="XX8" s="245" t="s">
        <v>737</v>
      </c>
      <c r="XY8" s="245"/>
      <c r="XZ8" s="245"/>
      <c r="YA8" s="245"/>
      <c r="YB8" s="245"/>
      <c r="YC8" s="245"/>
      <c r="YD8" s="245"/>
      <c r="YE8" s="245"/>
      <c r="YF8" s="245"/>
      <c r="YG8" s="245"/>
      <c r="YH8" s="245"/>
      <c r="YI8" s="245"/>
      <c r="YJ8" s="245"/>
      <c r="YK8" s="245"/>
      <c r="YL8" s="245"/>
      <c r="YM8" s="245"/>
      <c r="YN8" s="245"/>
      <c r="YO8" s="245"/>
      <c r="YS8" s="268" t="s">
        <v>809</v>
      </c>
      <c r="YT8" s="268"/>
      <c r="YU8" s="268"/>
      <c r="YV8" s="268"/>
      <c r="YW8" s="268"/>
      <c r="YX8" s="268"/>
      <c r="YY8" s="268"/>
      <c r="YZ8" s="268"/>
      <c r="ZA8" s="268"/>
      <c r="ZB8" s="268"/>
      <c r="ZC8" s="268"/>
      <c r="ZD8" s="268"/>
      <c r="ZE8" s="268"/>
      <c r="ZF8" s="268"/>
      <c r="ZG8" s="251" t="s">
        <v>810</v>
      </c>
      <c r="ZH8" s="251"/>
      <c r="ZI8" s="251"/>
      <c r="ZJ8" s="251"/>
      <c r="ZK8" s="251"/>
      <c r="ZL8" s="251"/>
      <c r="ZM8" s="251"/>
      <c r="ZN8" s="251"/>
      <c r="ADK8" s="275" t="s">
        <v>841</v>
      </c>
      <c r="ADL8" s="275"/>
      <c r="ADM8" s="275"/>
      <c r="ADN8" s="275"/>
      <c r="ADO8" s="275"/>
      <c r="ADP8" s="275"/>
      <c r="ADQ8" s="275"/>
      <c r="ADR8" s="275"/>
      <c r="ADS8" s="275"/>
      <c r="ADT8" s="275"/>
      <c r="ADU8" s="275"/>
      <c r="ADV8" s="275"/>
      <c r="ADW8" s="275"/>
      <c r="ADX8" s="275"/>
      <c r="ADY8" s="275"/>
      <c r="ADZ8" s="275"/>
      <c r="AEA8" s="275"/>
      <c r="AEB8" s="275"/>
      <c r="AEC8" s="275"/>
      <c r="AED8" s="275"/>
      <c r="AEE8" s="275"/>
      <c r="AEF8" s="275"/>
      <c r="AEG8" s="275"/>
      <c r="AEH8" s="275"/>
      <c r="AEI8" s="275"/>
      <c r="AEJ8" s="275"/>
      <c r="AEK8" s="275"/>
      <c r="AEL8" s="275"/>
      <c r="AEM8" s="275"/>
      <c r="AEN8" s="275"/>
      <c r="AEO8" s="275"/>
      <c r="AEP8" s="275"/>
      <c r="AEQ8" s="275"/>
      <c r="AER8" s="275"/>
      <c r="AES8" s="275"/>
      <c r="AET8" s="275"/>
      <c r="AEU8" s="275"/>
      <c r="AEV8" s="275"/>
      <c r="AEW8" s="275"/>
    </row>
    <row r="9" spans="1:1304" ht="31.2" customHeight="1" thickTop="1" thickBot="1">
      <c r="A9" t="s">
        <v>614</v>
      </c>
      <c r="B9" t="s">
        <v>762</v>
      </c>
      <c r="AFD9" s="260" t="s">
        <v>834</v>
      </c>
      <c r="AFE9" s="260"/>
      <c r="AFF9" s="260"/>
      <c r="AFG9" s="260"/>
      <c r="AFH9" s="260"/>
      <c r="AFI9" s="260"/>
      <c r="AFJ9" s="260"/>
      <c r="AFK9" s="260"/>
      <c r="AFL9" s="260"/>
      <c r="AFM9" s="260"/>
      <c r="AFN9" s="260"/>
      <c r="AFO9" s="260"/>
      <c r="AFP9" s="260"/>
      <c r="AFQ9" s="260"/>
      <c r="AFR9" s="260"/>
      <c r="AFS9" s="260"/>
      <c r="AFT9" s="260"/>
      <c r="AFU9" s="260"/>
      <c r="AFV9" s="260"/>
      <c r="AFW9" s="260"/>
      <c r="AFX9" s="260"/>
      <c r="AFY9" s="260"/>
      <c r="AFZ9" s="260"/>
      <c r="AGA9" s="260"/>
      <c r="AGB9" s="260"/>
      <c r="AGC9" s="260"/>
      <c r="AGD9" s="260"/>
      <c r="AGE9" s="260"/>
      <c r="AGF9" s="260"/>
      <c r="AGG9" s="260"/>
      <c r="AGH9" s="260"/>
      <c r="AGI9" s="260"/>
      <c r="AGJ9" s="260"/>
      <c r="AGK9" s="260"/>
      <c r="AGL9" s="260"/>
      <c r="AGM9" s="260"/>
      <c r="AGN9" s="260"/>
      <c r="AGO9" s="260"/>
      <c r="AGP9" s="260"/>
      <c r="AGQ9" s="260"/>
      <c r="AGR9" s="260"/>
      <c r="AGS9" s="260"/>
      <c r="AGT9" s="260"/>
      <c r="AGU9" s="260"/>
      <c r="AGV9" s="260"/>
      <c r="AGW9" s="260"/>
      <c r="AGX9" s="260"/>
      <c r="AGY9" s="260"/>
      <c r="AGZ9" s="260"/>
      <c r="AHA9" s="260"/>
      <c r="AHB9" s="260"/>
      <c r="AHC9" s="260"/>
      <c r="AHD9" s="260"/>
      <c r="AHE9" s="260"/>
      <c r="AHF9" s="260"/>
      <c r="AHG9" s="260"/>
      <c r="AHH9" s="260"/>
      <c r="AHI9" s="260"/>
      <c r="AHJ9" s="260"/>
      <c r="AHK9" s="260"/>
      <c r="AHL9" s="260" t="s">
        <v>752</v>
      </c>
      <c r="AHM9" s="260"/>
      <c r="AHN9" s="260"/>
      <c r="AHO9" s="260"/>
      <c r="AHP9" s="260"/>
      <c r="AHQ9" s="260"/>
      <c r="AHR9" s="260"/>
      <c r="AHS9" s="260"/>
      <c r="AHT9" s="260"/>
      <c r="AHU9" s="260"/>
      <c r="AHV9" s="260"/>
      <c r="AHW9" s="260"/>
      <c r="AHX9" s="260"/>
      <c r="AHY9" s="260"/>
      <c r="AHZ9" s="260"/>
      <c r="AIA9" s="260"/>
      <c r="AIB9" s="260"/>
      <c r="AIC9" s="260"/>
      <c r="AID9" s="260"/>
      <c r="AIE9" s="260"/>
      <c r="AIF9" s="260"/>
      <c r="AIG9" s="260"/>
      <c r="AIH9" s="260"/>
      <c r="AII9" s="260"/>
      <c r="AIJ9" s="260"/>
      <c r="AIK9" s="260"/>
      <c r="AIL9" s="260"/>
      <c r="AIM9" s="260"/>
      <c r="AIN9" s="260"/>
      <c r="AIO9" s="260"/>
      <c r="AIP9" s="260"/>
      <c r="AIQ9" s="260"/>
      <c r="AIR9" s="260"/>
      <c r="AIS9" s="260"/>
      <c r="AIT9" s="260"/>
      <c r="AIU9" s="260"/>
      <c r="AIV9" s="260"/>
      <c r="AIW9" s="260"/>
      <c r="AIX9" s="260"/>
      <c r="AIY9" s="260"/>
      <c r="AIZ9" s="260"/>
      <c r="AJA9" s="260"/>
      <c r="AJB9" s="260"/>
      <c r="AJC9" s="260"/>
      <c r="AJD9" s="260"/>
      <c r="AJE9" s="260"/>
      <c r="AJF9" s="260"/>
      <c r="AJG9" s="260"/>
      <c r="AJH9" s="260"/>
      <c r="AJI9" s="260"/>
      <c r="AJJ9" s="260"/>
      <c r="AJK9" s="260"/>
      <c r="AJL9" s="260"/>
      <c r="AJM9" s="260"/>
      <c r="AJN9" s="260"/>
      <c r="AJO9" s="260"/>
      <c r="AJP9" s="260"/>
      <c r="AJQ9" s="260"/>
      <c r="AJR9" s="260"/>
      <c r="AJS9" s="260"/>
      <c r="AJT9" s="260"/>
      <c r="AJU9" s="244" t="s">
        <v>707</v>
      </c>
      <c r="AJV9" s="244"/>
      <c r="AJW9" s="244"/>
      <c r="AJX9" s="244"/>
      <c r="AJY9" s="244"/>
      <c r="AJZ9" s="244"/>
      <c r="AKA9" s="251" t="s">
        <v>811</v>
      </c>
      <c r="AKB9" s="251"/>
      <c r="AKC9" s="251"/>
      <c r="AKD9" s="251"/>
      <c r="AKE9" s="251"/>
      <c r="AKF9" s="251"/>
      <c r="AKG9" s="251"/>
      <c r="AKH9" s="251"/>
      <c r="AKI9" s="252" t="s">
        <v>773</v>
      </c>
      <c r="AKJ9" s="252"/>
      <c r="AKK9" s="252"/>
      <c r="AKL9" s="252"/>
      <c r="AKM9" s="252"/>
      <c r="AKN9" s="252"/>
      <c r="AKO9" s="252"/>
      <c r="AKP9" s="252"/>
      <c r="AKQ9" s="278" t="s">
        <v>812</v>
      </c>
      <c r="AKR9" s="278"/>
      <c r="AKS9" s="278"/>
      <c r="AKT9" s="278"/>
      <c r="AKU9" s="278"/>
      <c r="AKV9" s="278"/>
      <c r="AKW9" s="278"/>
      <c r="AKX9" s="278"/>
      <c r="AKY9" s="278"/>
      <c r="AKZ9" s="278"/>
      <c r="ALA9" s="278"/>
      <c r="ALB9" s="278"/>
      <c r="ALC9" s="278"/>
      <c r="ALD9" s="251" t="s">
        <v>774</v>
      </c>
      <c r="ALE9" s="251"/>
      <c r="ALF9" s="251"/>
      <c r="ALG9" s="251"/>
      <c r="ALH9" s="251"/>
      <c r="ALI9" s="251"/>
      <c r="ALJ9" s="254" t="s">
        <v>712</v>
      </c>
      <c r="ALK9" s="254"/>
      <c r="ALL9" s="254"/>
      <c r="ALM9" s="254"/>
      <c r="ALP9" s="268" t="s">
        <v>829</v>
      </c>
      <c r="ALQ9" s="268"/>
      <c r="ALR9" s="268"/>
      <c r="ALS9" s="268"/>
      <c r="ALT9" s="268"/>
      <c r="ALU9" s="268"/>
      <c r="ALV9" s="268"/>
      <c r="ALW9" s="268"/>
      <c r="ALX9" s="276" t="s">
        <v>813</v>
      </c>
      <c r="ALY9" s="276"/>
      <c r="ALZ9" s="276"/>
      <c r="AMA9" s="276"/>
      <c r="AMB9" s="276"/>
      <c r="AMC9" s="276"/>
      <c r="AMD9" s="276"/>
      <c r="AME9" s="276"/>
      <c r="AMF9" s="276"/>
      <c r="AMG9" s="276"/>
      <c r="AMH9" s="276"/>
      <c r="AMI9" s="276"/>
      <c r="AMJ9" s="276"/>
      <c r="AMK9" s="276"/>
      <c r="AML9" s="276"/>
      <c r="AMO9" s="268" t="s">
        <v>809</v>
      </c>
      <c r="AMP9" s="268"/>
      <c r="AMQ9" s="268"/>
      <c r="AMR9" s="268"/>
      <c r="AMS9" s="268"/>
      <c r="AMT9" s="268"/>
      <c r="AMU9" s="268"/>
      <c r="AMV9" s="268"/>
      <c r="AMW9" s="268"/>
      <c r="AMX9" s="268"/>
      <c r="AMY9" s="268"/>
      <c r="AMZ9" s="268"/>
      <c r="ANA9" s="268"/>
      <c r="ANB9" s="268"/>
      <c r="ANC9" s="268"/>
      <c r="AND9" s="268"/>
      <c r="ANE9" s="268"/>
      <c r="ANF9" s="268"/>
      <c r="ANG9" s="276" t="s">
        <v>813</v>
      </c>
      <c r="ANH9" s="276"/>
      <c r="ANI9" s="276"/>
      <c r="ANJ9" s="276"/>
      <c r="ANK9" s="276"/>
      <c r="ANL9" s="276"/>
      <c r="ANM9" s="276"/>
      <c r="ANN9" s="276"/>
      <c r="ANO9" s="276"/>
      <c r="ANP9" s="276"/>
      <c r="ANQ9" s="276"/>
      <c r="ANR9" s="276"/>
      <c r="ANS9" s="276"/>
      <c r="ANT9" s="276"/>
      <c r="ANU9" s="276"/>
      <c r="ANV9" s="276"/>
      <c r="ANW9" s="276"/>
      <c r="ANX9" s="276"/>
      <c r="ANY9" s="276"/>
      <c r="ANZ9" s="276"/>
      <c r="AOA9" s="276"/>
      <c r="AOB9" s="276"/>
      <c r="AOC9" s="276"/>
      <c r="AOD9" s="276"/>
      <c r="AOE9" s="276"/>
      <c r="AOF9" s="276"/>
      <c r="AOG9" s="276"/>
      <c r="AOH9" s="276"/>
      <c r="AOI9" s="276"/>
      <c r="AOJ9" s="251" t="s">
        <v>715</v>
      </c>
      <c r="AOK9" s="251"/>
      <c r="AOL9" s="251"/>
      <c r="AOM9" s="251"/>
      <c r="AON9" s="251"/>
      <c r="AOO9" s="251"/>
      <c r="AOP9" s="251"/>
      <c r="AOQ9" s="251"/>
      <c r="AOR9" s="265" t="s">
        <v>814</v>
      </c>
      <c r="AOS9" s="265"/>
      <c r="AOT9" s="265"/>
      <c r="AOU9" s="265"/>
      <c r="AOV9" s="265"/>
      <c r="AOW9" s="265"/>
      <c r="AOX9" s="265"/>
      <c r="AOY9" s="265"/>
      <c r="AOZ9" s="265"/>
      <c r="APA9" s="265"/>
      <c r="APB9" s="265"/>
      <c r="APC9" s="265"/>
      <c r="APD9" s="273" t="s">
        <v>789</v>
      </c>
      <c r="APE9" s="273"/>
      <c r="APF9" s="273"/>
      <c r="APG9" s="273"/>
      <c r="APH9" s="273"/>
      <c r="API9" s="273"/>
      <c r="APJ9" s="273"/>
      <c r="APK9" s="273"/>
      <c r="APL9" s="273"/>
      <c r="APM9" s="273"/>
      <c r="APN9" s="273"/>
      <c r="APO9" s="273"/>
      <c r="APP9" s="273"/>
      <c r="APQ9" s="273"/>
    </row>
    <row r="10" spans="1:1304" ht="31.2" customHeight="1" thickTop="1" thickBot="1">
      <c r="A10" t="s">
        <v>614</v>
      </c>
      <c r="B10" t="s">
        <v>665</v>
      </c>
      <c r="AFD10" s="277" t="s">
        <v>833</v>
      </c>
      <c r="AFE10" s="277"/>
      <c r="AFF10" s="277"/>
      <c r="AFG10" s="277"/>
      <c r="AFH10" s="277"/>
      <c r="AFI10" s="277"/>
      <c r="AFJ10" s="277"/>
      <c r="AFK10" s="277"/>
      <c r="AFL10" s="277"/>
      <c r="AFM10" s="277"/>
      <c r="AFN10" s="277"/>
      <c r="AFO10" s="277"/>
      <c r="AFP10" s="277"/>
      <c r="AFQ10" s="277"/>
      <c r="AFR10" s="277"/>
      <c r="AFS10" s="277"/>
      <c r="AFT10" s="277"/>
      <c r="AFU10" s="277"/>
      <c r="AFV10" s="277"/>
      <c r="AFW10" s="277"/>
      <c r="AFX10" s="277"/>
      <c r="AFY10" s="277"/>
      <c r="AFZ10" s="277"/>
      <c r="AGA10" s="277"/>
      <c r="AGB10" s="277"/>
      <c r="AGC10" s="277"/>
      <c r="AGD10" s="277"/>
      <c r="AGE10" s="277"/>
      <c r="AGF10" s="277"/>
      <c r="AGG10" s="277"/>
      <c r="AGH10" s="277"/>
      <c r="AGI10" s="277"/>
      <c r="AGJ10" s="277"/>
      <c r="AGK10" s="277"/>
      <c r="AGL10" s="277"/>
      <c r="AGM10" s="277"/>
      <c r="AGN10" s="277"/>
      <c r="AGO10" s="277"/>
      <c r="AGP10" s="277"/>
      <c r="AGQ10" s="277"/>
      <c r="AGR10" s="277"/>
      <c r="AGS10" s="277"/>
      <c r="AGT10" s="277"/>
      <c r="AGU10" s="277"/>
      <c r="AGV10" s="277"/>
      <c r="AGW10" s="277"/>
      <c r="AGX10" s="277"/>
      <c r="AGY10" s="277"/>
      <c r="AGZ10" s="277"/>
      <c r="AHA10" s="277"/>
      <c r="AHB10" s="277"/>
      <c r="AHC10" s="277"/>
      <c r="AHD10" s="277"/>
      <c r="AHE10" s="277"/>
      <c r="AHF10" s="277"/>
      <c r="AHG10" s="277"/>
      <c r="AHH10" s="277"/>
      <c r="AHI10" s="277"/>
      <c r="AHJ10" s="277"/>
      <c r="AHK10" s="277"/>
      <c r="AHL10" s="277"/>
      <c r="AHO10" s="244" t="s">
        <v>147</v>
      </c>
      <c r="AHP10" s="244"/>
      <c r="AHQ10" s="244"/>
      <c r="AHR10" s="244"/>
      <c r="AHS10" s="244"/>
      <c r="AHT10" s="244"/>
      <c r="AHU10" s="244"/>
      <c r="AHV10" s="244"/>
      <c r="AHW10" s="244"/>
      <c r="AHX10" s="244"/>
      <c r="AHY10" s="244"/>
      <c r="AHZ10" s="244"/>
      <c r="AIA10" s="244"/>
      <c r="AIB10" s="244"/>
      <c r="AIC10" s="244"/>
      <c r="AID10" s="251" t="s">
        <v>417</v>
      </c>
      <c r="AIE10" s="251"/>
      <c r="AIF10" s="251"/>
      <c r="AIG10" s="251"/>
      <c r="AIH10" s="251"/>
      <c r="AII10" s="251"/>
      <c r="AIJ10" s="251"/>
      <c r="AIK10" s="251"/>
      <c r="AIL10" s="251"/>
      <c r="AIM10" s="251"/>
      <c r="AIN10" s="251"/>
      <c r="AIQ10" s="265" t="s">
        <v>597</v>
      </c>
      <c r="AIR10" s="265"/>
      <c r="AIS10" s="265"/>
      <c r="AIT10" s="265"/>
      <c r="AIU10" s="265"/>
      <c r="AIV10" s="265"/>
      <c r="AIW10" s="265"/>
      <c r="AIX10" s="265"/>
      <c r="AIY10" s="265"/>
      <c r="AIZ10" s="265"/>
      <c r="AJA10" s="265"/>
      <c r="AJB10" s="265"/>
      <c r="AJC10" s="265"/>
      <c r="AJD10" s="265"/>
      <c r="AJE10" s="265"/>
      <c r="AJF10" s="265"/>
      <c r="AJG10" s="265"/>
      <c r="AJH10" s="265"/>
      <c r="AJI10" s="265"/>
      <c r="AJJ10" s="265"/>
      <c r="AJK10" s="265"/>
      <c r="AJL10" s="265"/>
      <c r="AJM10" s="265"/>
      <c r="AJN10" s="265"/>
      <c r="AJO10" s="265"/>
      <c r="AJP10" s="265" t="s">
        <v>596</v>
      </c>
      <c r="AJQ10" s="265"/>
      <c r="AJR10" s="265"/>
      <c r="AJS10" s="265"/>
      <c r="AJT10" s="265"/>
      <c r="AJU10" s="265"/>
      <c r="AJV10" s="265"/>
      <c r="AJW10" s="265"/>
      <c r="AJX10" s="265"/>
      <c r="AJY10" s="265"/>
      <c r="AJZ10" s="265"/>
      <c r="AKA10" s="265"/>
      <c r="AKB10" s="265"/>
      <c r="AKC10" s="265"/>
      <c r="AKD10" s="265"/>
      <c r="AKE10" s="265"/>
      <c r="AKF10" s="265"/>
      <c r="AKG10" s="265"/>
      <c r="AKH10" s="265" t="s">
        <v>825</v>
      </c>
      <c r="AKI10" s="265"/>
      <c r="AKJ10" s="265"/>
      <c r="AKK10" s="265"/>
      <c r="AKL10" s="265"/>
      <c r="AKM10" s="265"/>
      <c r="AKN10" s="265"/>
      <c r="AKO10" s="265"/>
      <c r="AKP10" s="265"/>
      <c r="AKQ10" s="265"/>
      <c r="AKR10" s="265"/>
      <c r="AKS10" s="265"/>
      <c r="AKT10" s="265"/>
      <c r="AKU10" s="265"/>
      <c r="AKV10" s="265"/>
      <c r="AKW10" s="265"/>
      <c r="AKX10" s="265"/>
      <c r="AKY10" s="245" t="s">
        <v>595</v>
      </c>
      <c r="AKZ10" s="245"/>
      <c r="ALA10" s="245"/>
      <c r="ALB10" s="245"/>
      <c r="ALC10" s="245"/>
      <c r="ALD10" s="245"/>
      <c r="ALE10" s="245"/>
      <c r="ALF10" s="245"/>
      <c r="ALG10" s="245"/>
      <c r="ALH10" s="245"/>
      <c r="ALI10" s="245"/>
      <c r="ALJ10" s="245"/>
      <c r="ALK10" s="245"/>
      <c r="ALL10" s="245"/>
      <c r="ALM10" s="245"/>
      <c r="ALN10" s="245"/>
      <c r="ALO10" s="245"/>
      <c r="ALP10" s="245"/>
      <c r="ALQ10" s="245"/>
      <c r="ALR10" s="245"/>
      <c r="ALS10" s="245"/>
      <c r="ALT10" s="245"/>
      <c r="ALU10" s="245"/>
      <c r="ALV10" s="245"/>
      <c r="ALW10" s="245"/>
      <c r="ALX10" s="245"/>
      <c r="ALY10" s="245"/>
      <c r="ALZ10" s="245"/>
      <c r="AMA10" s="245"/>
      <c r="AMB10" s="245"/>
      <c r="AMC10" s="245"/>
      <c r="AMD10" s="245"/>
      <c r="AME10" s="245"/>
      <c r="AMF10" s="245"/>
      <c r="AMG10" s="245"/>
      <c r="AMH10" s="245"/>
      <c r="AMI10" s="245"/>
      <c r="AMJ10" s="245"/>
      <c r="AMK10" s="245"/>
      <c r="AML10" s="245"/>
      <c r="AMM10" s="245"/>
      <c r="AMN10" s="245"/>
      <c r="AMO10" s="245"/>
      <c r="AMP10" s="245"/>
      <c r="AMQ10" s="245"/>
      <c r="AMR10" s="245"/>
      <c r="AMS10" s="281" t="s">
        <v>702</v>
      </c>
      <c r="AMT10" s="281"/>
      <c r="AMU10" s="281"/>
      <c r="AMV10" s="281"/>
      <c r="AMW10" s="281"/>
      <c r="AMX10" s="281"/>
      <c r="AMY10" s="281"/>
      <c r="AMZ10" s="281"/>
      <c r="ANA10" s="281"/>
      <c r="ANB10" s="281"/>
      <c r="ANC10" s="265" t="s">
        <v>703</v>
      </c>
      <c r="AND10" s="265"/>
      <c r="ANE10" s="265"/>
      <c r="ANF10" s="265"/>
      <c r="ANG10" s="265"/>
      <c r="ANH10" s="265"/>
      <c r="ANI10" s="265"/>
      <c r="ANJ10" s="265"/>
      <c r="ANK10" s="265"/>
      <c r="ANL10" s="265"/>
      <c r="ANM10" s="265"/>
      <c r="ANN10" s="265"/>
      <c r="ANO10" s="265" t="s">
        <v>706</v>
      </c>
      <c r="ANP10" s="265"/>
      <c r="ANQ10" s="265"/>
      <c r="ANR10" s="265"/>
      <c r="ANS10" s="265"/>
      <c r="ANT10" s="265"/>
      <c r="ANU10" s="265"/>
      <c r="ANV10" s="265"/>
      <c r="ANW10" s="265"/>
      <c r="ANX10" s="265"/>
      <c r="AOG10" s="268" t="s">
        <v>836</v>
      </c>
      <c r="AOH10" s="268"/>
      <c r="AOI10" s="268"/>
      <c r="AOJ10" s="268"/>
      <c r="AOK10" s="268"/>
      <c r="AOL10" s="268"/>
      <c r="AOM10" s="268"/>
      <c r="AON10" s="268"/>
      <c r="AOO10" s="268"/>
      <c r="AOP10" s="282" t="s">
        <v>815</v>
      </c>
      <c r="AOQ10" s="282"/>
      <c r="AOR10" s="282"/>
      <c r="AOS10" s="282"/>
      <c r="AOT10" s="282"/>
      <c r="AOU10" s="282"/>
      <c r="AOV10" s="282"/>
      <c r="AOW10" s="282"/>
      <c r="AOX10" s="282"/>
      <c r="AOY10" s="282"/>
      <c r="AOZ10" s="282"/>
      <c r="APA10" s="282"/>
      <c r="APB10" s="282"/>
      <c r="APC10" s="282"/>
      <c r="APD10" s="282"/>
      <c r="APE10" s="282"/>
      <c r="APF10" s="282"/>
      <c r="APG10" s="282"/>
      <c r="APH10" s="282"/>
      <c r="API10" s="282"/>
      <c r="APJ10" s="282"/>
      <c r="APK10" s="282"/>
      <c r="APL10" s="282"/>
      <c r="APM10" s="282"/>
      <c r="APN10" s="282"/>
      <c r="APO10" s="282"/>
      <c r="APP10" s="282"/>
      <c r="APQ10" s="282"/>
      <c r="APR10" s="282"/>
      <c r="APS10" s="282"/>
      <c r="APT10" s="282"/>
      <c r="APU10" s="282"/>
      <c r="APV10" s="282"/>
      <c r="APW10" s="282"/>
      <c r="APX10" s="282"/>
      <c r="APY10" s="282"/>
      <c r="APZ10" s="282"/>
      <c r="AQA10" s="282"/>
      <c r="AQB10" s="282"/>
      <c r="AQC10" s="282"/>
      <c r="AQD10" s="282"/>
      <c r="AQE10" s="282"/>
      <c r="AQF10" s="282"/>
      <c r="AQG10" s="282"/>
      <c r="AQH10" s="282"/>
      <c r="AQI10" s="282"/>
      <c r="AQJ10" s="282"/>
      <c r="AQK10" s="282"/>
      <c r="AQL10" s="282"/>
      <c r="AQM10" s="282"/>
      <c r="AQN10" s="282"/>
      <c r="AQO10" s="282"/>
      <c r="AQP10" s="282"/>
      <c r="AQQ10" s="282"/>
      <c r="AQR10" s="282"/>
      <c r="AQS10" s="282"/>
      <c r="AQT10" s="282"/>
      <c r="AQU10" s="282"/>
      <c r="AQV10" s="282"/>
      <c r="AQW10" s="282"/>
      <c r="AQX10" s="282"/>
      <c r="AQY10" s="282"/>
      <c r="AQZ10" s="282"/>
      <c r="ARA10" s="282"/>
      <c r="ARB10" s="282"/>
      <c r="ARC10" s="279" t="s">
        <v>816</v>
      </c>
      <c r="ARD10" s="279"/>
      <c r="ARE10" s="279"/>
      <c r="ARF10" s="279"/>
      <c r="ARG10" s="279"/>
      <c r="ARH10" s="279"/>
      <c r="ARI10" s="279"/>
      <c r="ARJ10" s="279"/>
      <c r="ARK10" s="279"/>
      <c r="ARL10" s="279"/>
      <c r="ARM10" s="279"/>
      <c r="ARN10" s="279"/>
      <c r="ARO10" s="279"/>
      <c r="ARP10" s="279"/>
      <c r="ARQ10" s="279"/>
      <c r="ARR10" s="279"/>
      <c r="ARS10" s="279"/>
      <c r="ART10" s="279"/>
      <c r="ARU10" s="279"/>
      <c r="ARV10" s="279"/>
      <c r="ARW10" s="279"/>
      <c r="ARX10" s="279"/>
      <c r="ARY10" s="279"/>
      <c r="ARZ10" s="279"/>
      <c r="ASA10" s="279"/>
      <c r="ASB10" s="279"/>
      <c r="ASC10" s="279"/>
      <c r="ASD10" s="279"/>
      <c r="ASE10" s="279"/>
      <c r="ASF10" s="279"/>
      <c r="ASG10" s="279"/>
      <c r="ASH10" s="279"/>
      <c r="ASI10" s="279"/>
      <c r="ASJ10" s="279"/>
      <c r="ASK10" s="279"/>
      <c r="ASL10" s="279"/>
      <c r="ASM10" s="279"/>
      <c r="ASN10" s="279"/>
      <c r="ASO10" s="279"/>
      <c r="ASP10" s="279"/>
      <c r="ASQ10" s="279"/>
      <c r="ASR10" s="279"/>
      <c r="ASS10" s="279"/>
      <c r="AST10" s="279"/>
      <c r="ASU10" s="279"/>
      <c r="ASV10" s="279"/>
      <c r="ASW10" s="279"/>
      <c r="ASX10" s="279"/>
      <c r="ASY10" s="279"/>
      <c r="ASZ10" s="279"/>
      <c r="ATA10" s="279"/>
      <c r="ATB10" s="279"/>
      <c r="ATC10" s="279"/>
      <c r="ATD10" s="279"/>
      <c r="ATE10" s="279"/>
      <c r="ATF10" s="279"/>
      <c r="ATG10" s="279"/>
      <c r="ATH10" s="279"/>
      <c r="ATI10" s="279"/>
      <c r="ATJ10" s="279"/>
      <c r="ATK10" s="279"/>
      <c r="ATL10" s="279"/>
      <c r="ATM10" s="279"/>
      <c r="ATN10" s="279"/>
      <c r="ATO10" s="279"/>
      <c r="ATR10" s="280" t="s">
        <v>817</v>
      </c>
      <c r="ATS10" s="280"/>
      <c r="ATT10" s="280"/>
      <c r="ATU10" s="280"/>
      <c r="ATV10" s="280"/>
      <c r="ATW10" s="280"/>
      <c r="ATX10" s="280"/>
      <c r="ATY10" s="280"/>
      <c r="ATZ10" s="280"/>
      <c r="AUA10" s="280"/>
      <c r="AUB10" s="280"/>
      <c r="AUC10" s="280"/>
      <c r="AUD10" s="280"/>
      <c r="AUE10" s="280"/>
      <c r="AUF10" s="280"/>
      <c r="AUG10" s="280"/>
      <c r="AUH10" s="280"/>
      <c r="AUI10" s="280"/>
      <c r="AUJ10" s="280"/>
      <c r="AUK10" s="280"/>
      <c r="AUL10" s="280"/>
      <c r="AUM10" s="280"/>
      <c r="AUN10" s="280"/>
      <c r="AUO10" s="280"/>
      <c r="AUP10" s="280"/>
      <c r="AUQ10" s="280"/>
      <c r="AUR10" s="280"/>
      <c r="AUS10" s="280"/>
      <c r="AUT10" s="280"/>
      <c r="AUU10" s="280"/>
      <c r="AUV10" s="280"/>
      <c r="AUW10" s="280"/>
      <c r="AUX10" s="280"/>
      <c r="AUY10" s="280"/>
      <c r="AUZ10" s="280"/>
      <c r="AVA10" s="280"/>
      <c r="AVB10" s="280"/>
      <c r="AVC10" s="280"/>
      <c r="AVD10" s="280"/>
      <c r="AVE10" s="280"/>
      <c r="AVF10" s="280"/>
      <c r="AVG10" s="280"/>
      <c r="AVH10" s="280"/>
      <c r="AVI10" s="280"/>
      <c r="AVJ10" s="280"/>
      <c r="AVK10" s="280"/>
      <c r="AVL10" s="280"/>
      <c r="AVM10" s="280"/>
      <c r="AVN10" s="280"/>
      <c r="AVO10" s="280"/>
      <c r="AVP10" s="280"/>
      <c r="AVQ10" s="280"/>
      <c r="AVR10" s="280"/>
      <c r="AVS10" s="280"/>
      <c r="AVT10" s="280"/>
      <c r="AVU10" s="280"/>
      <c r="AVV10" s="280"/>
      <c r="AVW10" s="280"/>
      <c r="AVX10" s="280"/>
      <c r="AVY10" s="280"/>
      <c r="AVZ10" s="280"/>
      <c r="AWA10" s="280"/>
      <c r="AWB10" s="280"/>
      <c r="AWC10" s="280"/>
      <c r="AWD10" s="280"/>
    </row>
    <row r="11" spans="1:1304" ht="15" thickTop="1"/>
  </sheetData>
  <mergeCells count="302">
    <mergeCell ref="ARC10:ATO10"/>
    <mergeCell ref="ATR10:AWD10"/>
    <mergeCell ref="AKY10:AMR10"/>
    <mergeCell ref="AMS10:ANB10"/>
    <mergeCell ref="ANC10:ANN10"/>
    <mergeCell ref="ANO10:ANX10"/>
    <mergeCell ref="AOG10:AOO10"/>
    <mergeCell ref="AOP10:ARB10"/>
    <mergeCell ref="AOJ9:AOQ9"/>
    <mergeCell ref="AOR9:APC9"/>
    <mergeCell ref="APD9:APQ9"/>
    <mergeCell ref="AFD10:AHL10"/>
    <mergeCell ref="AHO10:AIC10"/>
    <mergeCell ref="AID10:AIN10"/>
    <mergeCell ref="AIQ10:AJO10"/>
    <mergeCell ref="AJP10:AKG10"/>
    <mergeCell ref="AKH10:AKX10"/>
    <mergeCell ref="ALD9:ALI9"/>
    <mergeCell ref="ALJ9:ALM9"/>
    <mergeCell ref="ALP9:ALW9"/>
    <mergeCell ref="ALX9:AML9"/>
    <mergeCell ref="AMO9:ANF9"/>
    <mergeCell ref="ANG9:AOI9"/>
    <mergeCell ref="AFD9:AHK9"/>
    <mergeCell ref="AHL9:AJT9"/>
    <mergeCell ref="AJU9:AJZ9"/>
    <mergeCell ref="AKA9:AKH9"/>
    <mergeCell ref="AKI9:AKP9"/>
    <mergeCell ref="AKQ9:ALC9"/>
    <mergeCell ref="WY8:XM8"/>
    <mergeCell ref="XP8:XW8"/>
    <mergeCell ref="XX8:YO8"/>
    <mergeCell ref="YS8:ZF8"/>
    <mergeCell ref="ZG8:ZN8"/>
    <mergeCell ref="ADK8:AEW8"/>
    <mergeCell ref="SB8:ST8"/>
    <mergeCell ref="SU8:TB8"/>
    <mergeCell ref="TC8:TL8"/>
    <mergeCell ref="TO8:TZ8"/>
    <mergeCell ref="UD8:UM8"/>
    <mergeCell ref="UN8:WX8"/>
    <mergeCell ref="ABU7:ACL7"/>
    <mergeCell ref="ACM7:ACV7"/>
    <mergeCell ref="ACW7:ADD7"/>
    <mergeCell ref="ADG7:ADN7"/>
    <mergeCell ref="AEL7:AJV7"/>
    <mergeCell ref="NJ8:OR8"/>
    <mergeCell ref="OS8:OW8"/>
    <mergeCell ref="OY8:RU8"/>
    <mergeCell ref="RV8:SA8"/>
    <mergeCell ref="XQ7:XX7"/>
    <mergeCell ref="YE7:YL7"/>
    <mergeCell ref="YO7:ZF7"/>
    <mergeCell ref="ZG7:ZU7"/>
    <mergeCell ref="ZV7:ABT7"/>
    <mergeCell ref="TY7:UN7"/>
    <mergeCell ref="UQ7:VG7"/>
    <mergeCell ref="VH7:VO7"/>
    <mergeCell ref="VP7:WB7"/>
    <mergeCell ref="WC7:XD7"/>
    <mergeCell ref="XE7:XP7"/>
    <mergeCell ref="SG7:SN7"/>
    <mergeCell ref="SO7:SQ7"/>
    <mergeCell ref="ST7:SW7"/>
    <mergeCell ref="SX7:TA7"/>
    <mergeCell ref="TB7:TP7"/>
    <mergeCell ref="TQ7:TX7"/>
    <mergeCell ref="YY6:AAY6"/>
    <mergeCell ref="AAZ6:ABE6"/>
    <mergeCell ref="ABF6:ABK6"/>
    <mergeCell ref="MV7:OD7"/>
    <mergeCell ref="OE7:OI7"/>
    <mergeCell ref="OK7:RF7"/>
    <mergeCell ref="RG7:RL7"/>
    <mergeCell ref="RM7:RT7"/>
    <mergeCell ref="RU7:SF7"/>
    <mergeCell ref="VV6:WK6"/>
    <mergeCell ref="WN6:WP6"/>
    <mergeCell ref="WQ6:WU6"/>
    <mergeCell ref="WV6:XQ6"/>
    <mergeCell ref="XR6:YR6"/>
    <mergeCell ref="YS6:YV6"/>
    <mergeCell ref="SG6:UF6"/>
    <mergeCell ref="UG6:UM6"/>
    <mergeCell ref="UN6:UR6"/>
    <mergeCell ref="US6:VF6"/>
    <mergeCell ref="VG6:VN6"/>
    <mergeCell ref="VO6:VU6"/>
    <mergeCell ref="NX6:PK6"/>
    <mergeCell ref="PN6:QB6"/>
    <mergeCell ref="QC6:QM6"/>
    <mergeCell ref="QP6:RL6"/>
    <mergeCell ref="RM6:SA6"/>
    <mergeCell ref="SB6:SF6"/>
    <mergeCell ref="APC4:APD4"/>
    <mergeCell ref="APV4:APW4"/>
    <mergeCell ref="AQF4:AQG4"/>
    <mergeCell ref="CB5:CM5"/>
    <mergeCell ref="CQ5:CS5"/>
    <mergeCell ref="IU5:JM5"/>
    <mergeCell ref="YU4:YV4"/>
    <mergeCell ref="ZV4:ZW4"/>
    <mergeCell ref="AEH4:AEI4"/>
    <mergeCell ref="ZS4:ZT4"/>
    <mergeCell ref="ALW4:ALX4"/>
    <mergeCell ref="AMO4:AMP4"/>
    <mergeCell ref="XH2:XJ2"/>
    <mergeCell ref="ZP2:ZR2"/>
    <mergeCell ref="AFD2:AHK2"/>
    <mergeCell ref="AHO2:ANS2"/>
    <mergeCell ref="APK2:APM2"/>
    <mergeCell ref="EY2:FC2"/>
    <mergeCell ref="JJ2:JL2"/>
    <mergeCell ref="MJ2:ML2"/>
    <mergeCell ref="MS2:OB2"/>
    <mergeCell ref="OL2:RS2"/>
    <mergeCell ref="AVO1:AVU1"/>
    <mergeCell ref="AVV1:AWB1"/>
    <mergeCell ref="AWC1:AWI1"/>
    <mergeCell ref="AWJ1:AWP1"/>
    <mergeCell ref="AWQ1:AWW1"/>
    <mergeCell ref="AWX1:AXD1"/>
    <mergeCell ref="ATY1:AUE1"/>
    <mergeCell ref="AUF1:AUL1"/>
    <mergeCell ref="AUM1:AUS1"/>
    <mergeCell ref="AUT1:AUZ1"/>
    <mergeCell ref="AVA1:AVG1"/>
    <mergeCell ref="AVH1:AVN1"/>
    <mergeCell ref="ASI1:ASO1"/>
    <mergeCell ref="ASP1:ASV1"/>
    <mergeCell ref="ASW1:ATC1"/>
    <mergeCell ref="ATD1:ATJ1"/>
    <mergeCell ref="ATK1:ATQ1"/>
    <mergeCell ref="ATR1:ATX1"/>
    <mergeCell ref="AQS1:AQY1"/>
    <mergeCell ref="AQZ1:ARF1"/>
    <mergeCell ref="ARG1:ARM1"/>
    <mergeCell ref="ARN1:ART1"/>
    <mergeCell ref="ARU1:ASA1"/>
    <mergeCell ref="ASB1:ASH1"/>
    <mergeCell ref="APC1:API1"/>
    <mergeCell ref="APJ1:APP1"/>
    <mergeCell ref="APQ1:APW1"/>
    <mergeCell ref="APX1:AQD1"/>
    <mergeCell ref="AQE1:AQK1"/>
    <mergeCell ref="AQL1:AQR1"/>
    <mergeCell ref="ANM1:ANS1"/>
    <mergeCell ref="ANT1:ANZ1"/>
    <mergeCell ref="AOA1:AOG1"/>
    <mergeCell ref="AOH1:AON1"/>
    <mergeCell ref="AOO1:AOU1"/>
    <mergeCell ref="AOV1:APB1"/>
    <mergeCell ref="ALW1:AMC1"/>
    <mergeCell ref="AMD1:AMJ1"/>
    <mergeCell ref="AMK1:AMQ1"/>
    <mergeCell ref="AMR1:AMX1"/>
    <mergeCell ref="AMY1:ANE1"/>
    <mergeCell ref="ANF1:ANL1"/>
    <mergeCell ref="AKG1:AKM1"/>
    <mergeCell ref="AKN1:AKT1"/>
    <mergeCell ref="AKU1:ALA1"/>
    <mergeCell ref="ALB1:ALH1"/>
    <mergeCell ref="ALI1:ALO1"/>
    <mergeCell ref="ALP1:ALV1"/>
    <mergeCell ref="AIQ1:AIW1"/>
    <mergeCell ref="AIX1:AJD1"/>
    <mergeCell ref="AJE1:AJK1"/>
    <mergeCell ref="AJL1:AJR1"/>
    <mergeCell ref="AJS1:AJY1"/>
    <mergeCell ref="AJZ1:AKF1"/>
    <mergeCell ref="AHA1:AHG1"/>
    <mergeCell ref="AHH1:AHN1"/>
    <mergeCell ref="AHO1:AHU1"/>
    <mergeCell ref="AHV1:AIB1"/>
    <mergeCell ref="AIC1:AII1"/>
    <mergeCell ref="AIJ1:AIP1"/>
    <mergeCell ref="AFK1:AFQ1"/>
    <mergeCell ref="AFR1:AFX1"/>
    <mergeCell ref="AFY1:AGE1"/>
    <mergeCell ref="AGF1:AGL1"/>
    <mergeCell ref="AGM1:AGS1"/>
    <mergeCell ref="AGT1:AGZ1"/>
    <mergeCell ref="ADU1:AEA1"/>
    <mergeCell ref="AEB1:AEH1"/>
    <mergeCell ref="AEI1:AEO1"/>
    <mergeCell ref="AEP1:AEV1"/>
    <mergeCell ref="AEW1:AFC1"/>
    <mergeCell ref="AFD1:AFJ1"/>
    <mergeCell ref="ACE1:ACK1"/>
    <mergeCell ref="ACL1:ACR1"/>
    <mergeCell ref="ACS1:ACY1"/>
    <mergeCell ref="ACZ1:ADF1"/>
    <mergeCell ref="ADG1:ADM1"/>
    <mergeCell ref="ADN1:ADT1"/>
    <mergeCell ref="AAO1:AAU1"/>
    <mergeCell ref="AAV1:ABB1"/>
    <mergeCell ref="ABC1:ABI1"/>
    <mergeCell ref="ABJ1:ABP1"/>
    <mergeCell ref="ABQ1:ABW1"/>
    <mergeCell ref="ABX1:ACD1"/>
    <mergeCell ref="YY1:ZE1"/>
    <mergeCell ref="ZF1:ZL1"/>
    <mergeCell ref="ZM1:ZS1"/>
    <mergeCell ref="ZT1:ZZ1"/>
    <mergeCell ref="AAA1:AAG1"/>
    <mergeCell ref="AAH1:AAN1"/>
    <mergeCell ref="XI1:XO1"/>
    <mergeCell ref="XP1:XV1"/>
    <mergeCell ref="XW1:YC1"/>
    <mergeCell ref="YD1:YJ1"/>
    <mergeCell ref="YK1:YQ1"/>
    <mergeCell ref="YR1:YX1"/>
    <mergeCell ref="VS1:VY1"/>
    <mergeCell ref="VZ1:WF1"/>
    <mergeCell ref="WG1:WM1"/>
    <mergeCell ref="WN1:WT1"/>
    <mergeCell ref="WU1:XA1"/>
    <mergeCell ref="XB1:XH1"/>
    <mergeCell ref="UC1:UI1"/>
    <mergeCell ref="UJ1:UP1"/>
    <mergeCell ref="UQ1:UW1"/>
    <mergeCell ref="UX1:VD1"/>
    <mergeCell ref="VE1:VK1"/>
    <mergeCell ref="VL1:VR1"/>
    <mergeCell ref="SM1:SS1"/>
    <mergeCell ref="ST1:SZ1"/>
    <mergeCell ref="TA1:TG1"/>
    <mergeCell ref="TH1:TN1"/>
    <mergeCell ref="TO1:TU1"/>
    <mergeCell ref="TV1:UB1"/>
    <mergeCell ref="QW1:RC1"/>
    <mergeCell ref="RD1:RJ1"/>
    <mergeCell ref="RK1:RQ1"/>
    <mergeCell ref="RR1:RX1"/>
    <mergeCell ref="RY1:SE1"/>
    <mergeCell ref="SF1:SL1"/>
    <mergeCell ref="PG1:PM1"/>
    <mergeCell ref="PN1:PT1"/>
    <mergeCell ref="PU1:QA1"/>
    <mergeCell ref="QB1:QH1"/>
    <mergeCell ref="QI1:QO1"/>
    <mergeCell ref="QP1:QV1"/>
    <mergeCell ref="NQ1:NW1"/>
    <mergeCell ref="NX1:OD1"/>
    <mergeCell ref="OE1:OK1"/>
    <mergeCell ref="OL1:OR1"/>
    <mergeCell ref="OS1:OY1"/>
    <mergeCell ref="OZ1:PF1"/>
    <mergeCell ref="MA1:MG1"/>
    <mergeCell ref="MH1:MN1"/>
    <mergeCell ref="MO1:MU1"/>
    <mergeCell ref="MV1:NB1"/>
    <mergeCell ref="NC1:NI1"/>
    <mergeCell ref="NJ1:NP1"/>
    <mergeCell ref="KK1:KQ1"/>
    <mergeCell ref="KR1:KX1"/>
    <mergeCell ref="KY1:LE1"/>
    <mergeCell ref="LF1:LL1"/>
    <mergeCell ref="LM1:LS1"/>
    <mergeCell ref="LT1:LZ1"/>
    <mergeCell ref="IU1:JA1"/>
    <mergeCell ref="JB1:JH1"/>
    <mergeCell ref="JI1:JO1"/>
    <mergeCell ref="JP1:JV1"/>
    <mergeCell ref="JW1:KC1"/>
    <mergeCell ref="KD1:KJ1"/>
    <mergeCell ref="HE1:HK1"/>
    <mergeCell ref="HL1:HR1"/>
    <mergeCell ref="HS1:HY1"/>
    <mergeCell ref="HZ1:IF1"/>
    <mergeCell ref="IG1:IM1"/>
    <mergeCell ref="IN1:IT1"/>
    <mergeCell ref="FO1:FU1"/>
    <mergeCell ref="FV1:GB1"/>
    <mergeCell ref="GC1:GI1"/>
    <mergeCell ref="GJ1:GP1"/>
    <mergeCell ref="GQ1:GW1"/>
    <mergeCell ref="GX1:HD1"/>
    <mergeCell ref="DY1:EE1"/>
    <mergeCell ref="EF1:EL1"/>
    <mergeCell ref="EM1:ES1"/>
    <mergeCell ref="ET1:EZ1"/>
    <mergeCell ref="FA1:FG1"/>
    <mergeCell ref="FH1:FN1"/>
    <mergeCell ref="CI1:CO1"/>
    <mergeCell ref="CP1:CV1"/>
    <mergeCell ref="CW1:DC1"/>
    <mergeCell ref="DD1:DJ1"/>
    <mergeCell ref="DK1:DQ1"/>
    <mergeCell ref="DR1:DX1"/>
    <mergeCell ref="AS1:AY1"/>
    <mergeCell ref="AZ1:BF1"/>
    <mergeCell ref="BG1:BM1"/>
    <mergeCell ref="BN1:BT1"/>
    <mergeCell ref="BU1:CA1"/>
    <mergeCell ref="CB1:CH1"/>
    <mergeCell ref="C1:I1"/>
    <mergeCell ref="J1:P1"/>
    <mergeCell ref="Q1:W1"/>
    <mergeCell ref="X1:AD1"/>
    <mergeCell ref="AE1:AK1"/>
    <mergeCell ref="AL1:AR1"/>
  </mergeCells>
  <pageMargins left="0.7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5436-274D-484F-8BE4-DC673FB95752}">
  <sheetPr>
    <tabColor rgb="FFFF0000"/>
  </sheetPr>
  <dimension ref="A1:AWW11"/>
  <sheetViews>
    <sheetView tabSelected="1" zoomScale="30" zoomScaleNormal="30" workbookViewId="0">
      <pane xSplit="184" ySplit="1" topLeftCell="MO2" activePane="bottomRight" state="frozen"/>
      <selection pane="topRight" activeCell="GC1" sqref="GC1"/>
      <selection pane="bottomLeft" activeCell="A2" sqref="A2"/>
      <selection pane="bottomRight" activeCell="AWQ1" sqref="AWQ1:AWW1"/>
    </sheetView>
  </sheetViews>
  <sheetFormatPr defaultRowHeight="14.4"/>
  <cols>
    <col min="1" max="1" width="26.21875" customWidth="1"/>
    <col min="2" max="2" width="20.5546875" customWidth="1"/>
    <col min="3" max="184" width="0" hidden="1" customWidth="1"/>
    <col min="185" max="220" width="3.88671875" hidden="1" customWidth="1"/>
    <col min="221" max="221" width="7.5546875" hidden="1" customWidth="1"/>
    <col min="222" max="282" width="3.88671875" hidden="1" customWidth="1"/>
    <col min="283" max="283" width="5.33203125" hidden="1" customWidth="1"/>
    <col min="284" max="343" width="3.88671875" hidden="1" customWidth="1"/>
    <col min="344" max="344" width="5" hidden="1" customWidth="1"/>
    <col min="345" max="352" width="3.88671875" hidden="1" customWidth="1"/>
    <col min="353" max="475" width="3.88671875" customWidth="1"/>
    <col min="476" max="476" width="8.109375" customWidth="1"/>
    <col min="477" max="526" width="3.88671875" customWidth="1"/>
    <col min="527" max="527" width="10" customWidth="1"/>
    <col min="528" max="1219" width="3.88671875" customWidth="1"/>
    <col min="1220" max="1220" width="11.21875" customWidth="1"/>
    <col min="1221" max="1233" width="3.88671875" customWidth="1"/>
  </cols>
  <sheetData>
    <row r="1" spans="1:1297" s="199" customFormat="1" ht="103.95" customHeight="1" thickTop="1" thickBot="1">
      <c r="A1" s="60" t="s">
        <v>610</v>
      </c>
      <c r="B1" s="60" t="s">
        <v>611</v>
      </c>
      <c r="C1" s="398">
        <v>43521</v>
      </c>
      <c r="D1" s="283"/>
      <c r="E1" s="283"/>
      <c r="F1" s="283"/>
      <c r="G1" s="283"/>
      <c r="H1" s="283"/>
      <c r="I1" s="283"/>
      <c r="J1" s="283">
        <v>43528</v>
      </c>
      <c r="K1" s="283"/>
      <c r="L1" s="283"/>
      <c r="M1" s="283"/>
      <c r="N1" s="283"/>
      <c r="O1" s="283"/>
      <c r="P1" s="283"/>
      <c r="Q1" s="283">
        <v>43535</v>
      </c>
      <c r="R1" s="283"/>
      <c r="S1" s="283"/>
      <c r="T1" s="283"/>
      <c r="U1" s="283"/>
      <c r="V1" s="283"/>
      <c r="W1" s="283"/>
      <c r="X1" s="283">
        <v>43542</v>
      </c>
      <c r="Y1" s="283"/>
      <c r="Z1" s="283"/>
      <c r="AA1" s="283"/>
      <c r="AB1" s="283"/>
      <c r="AC1" s="283"/>
      <c r="AD1" s="283"/>
      <c r="AE1" s="283">
        <v>43549</v>
      </c>
      <c r="AF1" s="283"/>
      <c r="AG1" s="283"/>
      <c r="AH1" s="283"/>
      <c r="AI1" s="283"/>
      <c r="AJ1" s="283"/>
      <c r="AK1" s="283"/>
      <c r="AL1" s="283">
        <v>43556</v>
      </c>
      <c r="AM1" s="283"/>
      <c r="AN1" s="283"/>
      <c r="AO1" s="283"/>
      <c r="AP1" s="283"/>
      <c r="AQ1" s="283"/>
      <c r="AR1" s="283"/>
      <c r="AS1" s="283">
        <v>43563</v>
      </c>
      <c r="AT1" s="283"/>
      <c r="AU1" s="283"/>
      <c r="AV1" s="283"/>
      <c r="AW1" s="283"/>
      <c r="AX1" s="283"/>
      <c r="AY1" s="283"/>
      <c r="AZ1" s="283">
        <v>43570</v>
      </c>
      <c r="BA1" s="283"/>
      <c r="BB1" s="283"/>
      <c r="BC1" s="283"/>
      <c r="BD1" s="283"/>
      <c r="BE1" s="283"/>
      <c r="BF1" s="283"/>
      <c r="BG1" s="283">
        <v>43577</v>
      </c>
      <c r="BH1" s="283"/>
      <c r="BI1" s="283"/>
      <c r="BJ1" s="283"/>
      <c r="BK1" s="283"/>
      <c r="BL1" s="283"/>
      <c r="BM1" s="283"/>
      <c r="BN1" s="283">
        <v>43584</v>
      </c>
      <c r="BO1" s="283"/>
      <c r="BP1" s="283"/>
      <c r="BQ1" s="283"/>
      <c r="BR1" s="283"/>
      <c r="BS1" s="283"/>
      <c r="BT1" s="283"/>
      <c r="BU1" s="283">
        <v>43591</v>
      </c>
      <c r="BV1" s="283"/>
      <c r="BW1" s="283"/>
      <c r="BX1" s="283"/>
      <c r="BY1" s="283"/>
      <c r="BZ1" s="283"/>
      <c r="CA1" s="283"/>
      <c r="CB1" s="283">
        <v>43598</v>
      </c>
      <c r="CC1" s="283"/>
      <c r="CD1" s="283"/>
      <c r="CE1" s="283"/>
      <c r="CF1" s="283"/>
      <c r="CG1" s="283"/>
      <c r="CH1" s="283"/>
      <c r="CI1" s="283">
        <v>43605</v>
      </c>
      <c r="CJ1" s="283"/>
      <c r="CK1" s="283"/>
      <c r="CL1" s="283"/>
      <c r="CM1" s="283"/>
      <c r="CN1" s="283"/>
      <c r="CO1" s="283"/>
      <c r="CP1" s="283">
        <v>43612</v>
      </c>
      <c r="CQ1" s="283"/>
      <c r="CR1" s="283"/>
      <c r="CS1" s="283"/>
      <c r="CT1" s="283"/>
      <c r="CU1" s="283"/>
      <c r="CV1" s="283"/>
      <c r="CW1" s="283">
        <v>43619</v>
      </c>
      <c r="CX1" s="283"/>
      <c r="CY1" s="283"/>
      <c r="CZ1" s="283"/>
      <c r="DA1" s="283"/>
      <c r="DB1" s="283"/>
      <c r="DC1" s="283"/>
      <c r="DD1" s="283">
        <v>43626</v>
      </c>
      <c r="DE1" s="283"/>
      <c r="DF1" s="283"/>
      <c r="DG1" s="283"/>
      <c r="DH1" s="283"/>
      <c r="DI1" s="283"/>
      <c r="DJ1" s="283"/>
      <c r="DK1" s="283">
        <v>43633</v>
      </c>
      <c r="DL1" s="283"/>
      <c r="DM1" s="283"/>
      <c r="DN1" s="283"/>
      <c r="DO1" s="283"/>
      <c r="DP1" s="283"/>
      <c r="DQ1" s="283"/>
      <c r="DR1" s="283">
        <v>43640</v>
      </c>
      <c r="DS1" s="283"/>
      <c r="DT1" s="283"/>
      <c r="DU1" s="283"/>
      <c r="DV1" s="283"/>
      <c r="DW1" s="283"/>
      <c r="DX1" s="283"/>
      <c r="DY1" s="283">
        <v>43647</v>
      </c>
      <c r="DZ1" s="283"/>
      <c r="EA1" s="283"/>
      <c r="EB1" s="283"/>
      <c r="EC1" s="283"/>
      <c r="ED1" s="283"/>
      <c r="EE1" s="283"/>
      <c r="EF1" s="283">
        <v>43654</v>
      </c>
      <c r="EG1" s="283"/>
      <c r="EH1" s="283"/>
      <c r="EI1" s="283"/>
      <c r="EJ1" s="283"/>
      <c r="EK1" s="283"/>
      <c r="EL1" s="283"/>
      <c r="EM1" s="283">
        <v>43661</v>
      </c>
      <c r="EN1" s="283"/>
      <c r="EO1" s="283"/>
      <c r="EP1" s="283"/>
      <c r="EQ1" s="283"/>
      <c r="ER1" s="283"/>
      <c r="ES1" s="283"/>
      <c r="ET1" s="283">
        <v>43668</v>
      </c>
      <c r="EU1" s="283"/>
      <c r="EV1" s="283"/>
      <c r="EW1" s="283"/>
      <c r="EX1" s="283"/>
      <c r="EY1" s="283"/>
      <c r="EZ1" s="283"/>
      <c r="FA1" s="283">
        <v>43675</v>
      </c>
      <c r="FB1" s="283"/>
      <c r="FC1" s="283"/>
      <c r="FD1" s="283"/>
      <c r="FE1" s="283"/>
      <c r="FF1" s="283"/>
      <c r="FG1" s="283"/>
      <c r="FH1" s="283">
        <v>43682</v>
      </c>
      <c r="FI1" s="283"/>
      <c r="FJ1" s="283"/>
      <c r="FK1" s="283"/>
      <c r="FL1" s="283"/>
      <c r="FM1" s="283"/>
      <c r="FN1" s="283"/>
      <c r="FO1" s="283">
        <v>43689</v>
      </c>
      <c r="FP1" s="283"/>
      <c r="FQ1" s="283"/>
      <c r="FR1" s="283"/>
      <c r="FS1" s="283"/>
      <c r="FT1" s="283"/>
      <c r="FU1" s="283"/>
      <c r="FV1" s="283">
        <v>43696</v>
      </c>
      <c r="FW1" s="283"/>
      <c r="FX1" s="283"/>
      <c r="FY1" s="283"/>
      <c r="FZ1" s="283"/>
      <c r="GA1" s="283"/>
      <c r="GB1" s="283"/>
      <c r="GC1" s="283">
        <v>43703</v>
      </c>
      <c r="GD1" s="283"/>
      <c r="GE1" s="283"/>
      <c r="GF1" s="283"/>
      <c r="GG1" s="283"/>
      <c r="GH1" s="283"/>
      <c r="GI1" s="394"/>
      <c r="GJ1" s="394">
        <v>43710</v>
      </c>
      <c r="GK1" s="394"/>
      <c r="GL1" s="283"/>
      <c r="GM1" s="283"/>
      <c r="GN1" s="283"/>
      <c r="GO1" s="283"/>
      <c r="GP1" s="283"/>
      <c r="GQ1" s="283">
        <v>43717</v>
      </c>
      <c r="GR1" s="283"/>
      <c r="GS1" s="283"/>
      <c r="GT1" s="283"/>
      <c r="GU1" s="283"/>
      <c r="GV1" s="283"/>
      <c r="GW1" s="283"/>
      <c r="GX1" s="283">
        <v>43724</v>
      </c>
      <c r="GY1" s="283"/>
      <c r="GZ1" s="283"/>
      <c r="HA1" s="283"/>
      <c r="HB1" s="283"/>
      <c r="HC1" s="283"/>
      <c r="HD1" s="283"/>
      <c r="HE1" s="283">
        <v>43731</v>
      </c>
      <c r="HF1" s="283"/>
      <c r="HG1" s="283"/>
      <c r="HH1" s="283"/>
      <c r="HI1" s="283"/>
      <c r="HJ1" s="283"/>
      <c r="HK1" s="283"/>
      <c r="HL1" s="283">
        <v>43738</v>
      </c>
      <c r="HM1" s="283"/>
      <c r="HN1" s="283"/>
      <c r="HO1" s="283"/>
      <c r="HP1" s="283"/>
      <c r="HQ1" s="283"/>
      <c r="HR1" s="283"/>
      <c r="HS1" s="283">
        <v>43745</v>
      </c>
      <c r="HT1" s="283"/>
      <c r="HU1" s="283"/>
      <c r="HV1" s="283"/>
      <c r="HW1" s="283"/>
      <c r="HX1" s="283"/>
      <c r="HY1" s="283"/>
      <c r="HZ1" s="283">
        <v>43752</v>
      </c>
      <c r="IA1" s="283"/>
      <c r="IB1" s="283"/>
      <c r="IC1" s="283"/>
      <c r="ID1" s="283"/>
      <c r="IE1" s="283"/>
      <c r="IF1" s="283"/>
      <c r="IG1" s="283">
        <v>43759</v>
      </c>
      <c r="IH1" s="283"/>
      <c r="II1" s="283"/>
      <c r="IJ1" s="283"/>
      <c r="IK1" s="283"/>
      <c r="IL1" s="283"/>
      <c r="IM1" s="283"/>
      <c r="IN1" s="283">
        <v>43766</v>
      </c>
      <c r="IO1" s="283"/>
      <c r="IP1" s="283"/>
      <c r="IQ1" s="283"/>
      <c r="IR1" s="283"/>
      <c r="IS1" s="283"/>
      <c r="IT1" s="283"/>
      <c r="IU1" s="283">
        <v>43773</v>
      </c>
      <c r="IV1" s="283"/>
      <c r="IW1" s="283"/>
      <c r="IX1" s="283"/>
      <c r="IY1" s="283"/>
      <c r="IZ1" s="283"/>
      <c r="JA1" s="283"/>
      <c r="JB1" s="283">
        <v>43780</v>
      </c>
      <c r="JC1" s="283"/>
      <c r="JD1" s="283"/>
      <c r="JE1" s="283"/>
      <c r="JF1" s="283"/>
      <c r="JG1" s="283"/>
      <c r="JH1" s="283"/>
      <c r="JI1" s="283">
        <v>43787</v>
      </c>
      <c r="JJ1" s="283"/>
      <c r="JK1" s="283"/>
      <c r="JL1" s="283"/>
      <c r="JM1" s="283"/>
      <c r="JN1" s="283"/>
      <c r="JO1" s="283"/>
      <c r="JP1" s="283">
        <v>43794</v>
      </c>
      <c r="JQ1" s="283"/>
      <c r="JR1" s="283"/>
      <c r="JS1" s="283"/>
      <c r="JT1" s="283"/>
      <c r="JU1" s="283"/>
      <c r="JV1" s="283"/>
      <c r="JW1" s="283">
        <v>43801</v>
      </c>
      <c r="JX1" s="283"/>
      <c r="JY1" s="283"/>
      <c r="JZ1" s="283"/>
      <c r="KA1" s="283"/>
      <c r="KB1" s="283"/>
      <c r="KC1" s="283"/>
      <c r="KD1" s="283">
        <v>43808</v>
      </c>
      <c r="KE1" s="283"/>
      <c r="KF1" s="283"/>
      <c r="KG1" s="283"/>
      <c r="KH1" s="283"/>
      <c r="KI1" s="283"/>
      <c r="KJ1" s="283"/>
      <c r="KK1" s="283">
        <v>43815</v>
      </c>
      <c r="KL1" s="283"/>
      <c r="KM1" s="283"/>
      <c r="KN1" s="283"/>
      <c r="KO1" s="283"/>
      <c r="KP1" s="283"/>
      <c r="KQ1" s="283"/>
      <c r="KR1" s="283">
        <v>43822</v>
      </c>
      <c r="KS1" s="283"/>
      <c r="KT1" s="283"/>
      <c r="KU1" s="283"/>
      <c r="KV1" s="283"/>
      <c r="KW1" s="283"/>
      <c r="KX1" s="283"/>
      <c r="KY1" s="283">
        <v>43829</v>
      </c>
      <c r="KZ1" s="283"/>
      <c r="LA1" s="283"/>
      <c r="LB1" s="283"/>
      <c r="LC1" s="283"/>
      <c r="LD1" s="283"/>
      <c r="LE1" s="283"/>
      <c r="LF1" s="283">
        <v>43836</v>
      </c>
      <c r="LG1" s="283"/>
      <c r="LH1" s="283"/>
      <c r="LI1" s="283"/>
      <c r="LJ1" s="283"/>
      <c r="LK1" s="283"/>
      <c r="LL1" s="283"/>
      <c r="LM1" s="283">
        <v>43843</v>
      </c>
      <c r="LN1" s="283"/>
      <c r="LO1" s="283"/>
      <c r="LP1" s="283"/>
      <c r="LQ1" s="283"/>
      <c r="LR1" s="283"/>
      <c r="LS1" s="283"/>
      <c r="LT1" s="283">
        <v>43850</v>
      </c>
      <c r="LU1" s="283"/>
      <c r="LV1" s="283"/>
      <c r="LW1" s="283"/>
      <c r="LX1" s="283"/>
      <c r="LY1" s="283"/>
      <c r="LZ1" s="283"/>
      <c r="MA1" s="283">
        <v>43857</v>
      </c>
      <c r="MB1" s="283"/>
      <c r="MC1" s="283"/>
      <c r="MD1" s="283"/>
      <c r="ME1" s="283"/>
      <c r="MF1" s="283"/>
      <c r="MG1" s="283"/>
      <c r="MH1" s="283">
        <v>43864</v>
      </c>
      <c r="MI1" s="283"/>
      <c r="MJ1" s="283"/>
      <c r="MK1" s="283"/>
      <c r="ML1" s="283"/>
      <c r="MM1" s="283"/>
      <c r="MN1" s="283"/>
      <c r="MO1" s="283">
        <v>43871</v>
      </c>
      <c r="MP1" s="283"/>
      <c r="MQ1" s="283"/>
      <c r="MR1" s="283"/>
      <c r="MS1" s="283"/>
      <c r="MT1" s="283"/>
      <c r="MU1" s="283"/>
      <c r="MV1" s="283">
        <v>43878</v>
      </c>
      <c r="MW1" s="283"/>
      <c r="MX1" s="283"/>
      <c r="MY1" s="283"/>
      <c r="MZ1" s="283"/>
      <c r="NA1" s="283"/>
      <c r="NB1" s="283"/>
      <c r="NC1" s="283">
        <v>43885</v>
      </c>
      <c r="ND1" s="283"/>
      <c r="NE1" s="283"/>
      <c r="NF1" s="283"/>
      <c r="NG1" s="283"/>
      <c r="NH1" s="283"/>
      <c r="NI1" s="283"/>
      <c r="NJ1" s="283">
        <v>43892</v>
      </c>
      <c r="NK1" s="283"/>
      <c r="NL1" s="283"/>
      <c r="NM1" s="283"/>
      <c r="NN1" s="283"/>
      <c r="NO1" s="283"/>
      <c r="NP1" s="283"/>
      <c r="NQ1" s="283">
        <v>43899</v>
      </c>
      <c r="NR1" s="283"/>
      <c r="NS1" s="283"/>
      <c r="NT1" s="283"/>
      <c r="NU1" s="283"/>
      <c r="NV1" s="283"/>
      <c r="NW1" s="283"/>
      <c r="NX1" s="283">
        <v>43906</v>
      </c>
      <c r="NY1" s="283"/>
      <c r="NZ1" s="283"/>
      <c r="OA1" s="283"/>
      <c r="OB1" s="283"/>
      <c r="OC1" s="283"/>
      <c r="OD1" s="283"/>
      <c r="OE1" s="283">
        <v>43913</v>
      </c>
      <c r="OF1" s="283"/>
      <c r="OG1" s="283"/>
      <c r="OH1" s="283"/>
      <c r="OI1" s="283"/>
      <c r="OJ1" s="283"/>
      <c r="OK1" s="283"/>
      <c r="OL1" s="283">
        <v>43920</v>
      </c>
      <c r="OM1" s="283"/>
      <c r="ON1" s="283"/>
      <c r="OO1" s="283"/>
      <c r="OP1" s="283"/>
      <c r="OQ1" s="283"/>
      <c r="OR1" s="283"/>
      <c r="OS1" s="283">
        <v>43927</v>
      </c>
      <c r="OT1" s="283"/>
      <c r="OU1" s="283"/>
      <c r="OV1" s="283"/>
      <c r="OW1" s="283"/>
      <c r="OX1" s="283"/>
      <c r="OY1" s="283"/>
      <c r="OZ1" s="283">
        <v>43934</v>
      </c>
      <c r="PA1" s="283"/>
      <c r="PB1" s="283"/>
      <c r="PC1" s="283"/>
      <c r="PD1" s="283"/>
      <c r="PE1" s="283"/>
      <c r="PF1" s="283"/>
      <c r="PG1" s="283">
        <v>43941</v>
      </c>
      <c r="PH1" s="283"/>
      <c r="PI1" s="283"/>
      <c r="PJ1" s="283"/>
      <c r="PK1" s="283"/>
      <c r="PL1" s="283"/>
      <c r="PM1" s="283"/>
      <c r="PN1" s="283">
        <v>43948</v>
      </c>
      <c r="PO1" s="283"/>
      <c r="PP1" s="283"/>
      <c r="PQ1" s="283"/>
      <c r="PR1" s="283"/>
      <c r="PS1" s="283"/>
      <c r="PT1" s="283"/>
      <c r="PU1" s="283">
        <v>43955</v>
      </c>
      <c r="PV1" s="283"/>
      <c r="PW1" s="283"/>
      <c r="PX1" s="283"/>
      <c r="PY1" s="283"/>
      <c r="PZ1" s="283"/>
      <c r="QA1" s="283"/>
      <c r="QB1" s="283">
        <v>43962</v>
      </c>
      <c r="QC1" s="283"/>
      <c r="QD1" s="283"/>
      <c r="QE1" s="283"/>
      <c r="QF1" s="283"/>
      <c r="QG1" s="283"/>
      <c r="QH1" s="283"/>
      <c r="QI1" s="283">
        <v>43969</v>
      </c>
      <c r="QJ1" s="283"/>
      <c r="QK1" s="283"/>
      <c r="QL1" s="283"/>
      <c r="QM1" s="283"/>
      <c r="QN1" s="283"/>
      <c r="QO1" s="283"/>
      <c r="QP1" s="283">
        <v>43976</v>
      </c>
      <c r="QQ1" s="283"/>
      <c r="QR1" s="283"/>
      <c r="QS1" s="283"/>
      <c r="QT1" s="283"/>
      <c r="QU1" s="283"/>
      <c r="QV1" s="283"/>
      <c r="QW1" s="283">
        <v>43983</v>
      </c>
      <c r="QX1" s="283"/>
      <c r="QY1" s="283"/>
      <c r="QZ1" s="283"/>
      <c r="RA1" s="283"/>
      <c r="RB1" s="283"/>
      <c r="RC1" s="283"/>
      <c r="RD1" s="283">
        <v>43990</v>
      </c>
      <c r="RE1" s="283"/>
      <c r="RF1" s="283"/>
      <c r="RG1" s="283"/>
      <c r="RH1" s="283"/>
      <c r="RI1" s="283"/>
      <c r="RJ1" s="283"/>
      <c r="RK1" s="283">
        <v>43997</v>
      </c>
      <c r="RL1" s="283"/>
      <c r="RM1" s="283"/>
      <c r="RN1" s="283"/>
      <c r="RO1" s="283"/>
      <c r="RP1" s="283"/>
      <c r="RQ1" s="283"/>
      <c r="RR1" s="283">
        <v>44004</v>
      </c>
      <c r="RS1" s="283"/>
      <c r="RT1" s="283"/>
      <c r="RU1" s="283"/>
      <c r="RV1" s="283"/>
      <c r="RW1" s="283"/>
      <c r="RX1" s="283"/>
      <c r="RY1" s="283">
        <v>44011</v>
      </c>
      <c r="RZ1" s="283"/>
      <c r="SA1" s="283"/>
      <c r="SB1" s="283"/>
      <c r="SC1" s="283"/>
      <c r="SD1" s="283"/>
      <c r="SE1" s="283"/>
      <c r="SF1" s="283">
        <v>44018</v>
      </c>
      <c r="SG1" s="283"/>
      <c r="SH1" s="283"/>
      <c r="SI1" s="283"/>
      <c r="SJ1" s="283"/>
      <c r="SK1" s="283"/>
      <c r="SL1" s="283"/>
      <c r="SM1" s="283">
        <v>44025</v>
      </c>
      <c r="SN1" s="283"/>
      <c r="SO1" s="283"/>
      <c r="SP1" s="283"/>
      <c r="SQ1" s="283"/>
      <c r="SR1" s="283"/>
      <c r="SS1" s="283"/>
      <c r="ST1" s="283">
        <v>44032</v>
      </c>
      <c r="SU1" s="283"/>
      <c r="SV1" s="283"/>
      <c r="SW1" s="283"/>
      <c r="SX1" s="283"/>
      <c r="SY1" s="283"/>
      <c r="SZ1" s="283"/>
      <c r="TA1" s="283">
        <v>44039</v>
      </c>
      <c r="TB1" s="283"/>
      <c r="TC1" s="283"/>
      <c r="TD1" s="283"/>
      <c r="TE1" s="283"/>
      <c r="TF1" s="283"/>
      <c r="TG1" s="283"/>
      <c r="TH1" s="283">
        <v>44046</v>
      </c>
      <c r="TI1" s="283"/>
      <c r="TJ1" s="283"/>
      <c r="TK1" s="283"/>
      <c r="TL1" s="283"/>
      <c r="TM1" s="283"/>
      <c r="TN1" s="283"/>
      <c r="TO1" s="283">
        <v>44053</v>
      </c>
      <c r="TP1" s="283"/>
      <c r="TQ1" s="283"/>
      <c r="TR1" s="283"/>
      <c r="TS1" s="283"/>
      <c r="TT1" s="283"/>
      <c r="TU1" s="283"/>
      <c r="TV1" s="283">
        <v>44060</v>
      </c>
      <c r="TW1" s="283"/>
      <c r="TX1" s="283"/>
      <c r="TY1" s="283"/>
      <c r="TZ1" s="283"/>
      <c r="UA1" s="283"/>
      <c r="UB1" s="283"/>
      <c r="UC1" s="283">
        <v>44067</v>
      </c>
      <c r="UD1" s="283"/>
      <c r="UE1" s="283"/>
      <c r="UF1" s="283"/>
      <c r="UG1" s="283"/>
      <c r="UH1" s="283"/>
      <c r="UI1" s="283"/>
      <c r="UJ1" s="283">
        <v>44074</v>
      </c>
      <c r="UK1" s="283"/>
      <c r="UL1" s="283"/>
      <c r="UM1" s="283"/>
      <c r="UN1" s="283"/>
      <c r="UO1" s="283"/>
      <c r="UP1" s="283"/>
      <c r="UQ1" s="283">
        <v>44081</v>
      </c>
      <c r="UR1" s="283"/>
      <c r="US1" s="283"/>
      <c r="UT1" s="283"/>
      <c r="UU1" s="283"/>
      <c r="UV1" s="283"/>
      <c r="UW1" s="283"/>
      <c r="UX1" s="283">
        <v>44088</v>
      </c>
      <c r="UY1" s="283"/>
      <c r="UZ1" s="283"/>
      <c r="VA1" s="283"/>
      <c r="VB1" s="283"/>
      <c r="VC1" s="283"/>
      <c r="VD1" s="283"/>
      <c r="VE1" s="283">
        <v>44095</v>
      </c>
      <c r="VF1" s="283"/>
      <c r="VG1" s="283"/>
      <c r="VH1" s="283"/>
      <c r="VI1" s="283"/>
      <c r="VJ1" s="283"/>
      <c r="VK1" s="283"/>
      <c r="VL1" s="283">
        <v>44102</v>
      </c>
      <c r="VM1" s="283"/>
      <c r="VN1" s="283"/>
      <c r="VO1" s="283"/>
      <c r="VP1" s="283"/>
      <c r="VQ1" s="283"/>
      <c r="VR1" s="283"/>
      <c r="VS1" s="283">
        <v>44109</v>
      </c>
      <c r="VT1" s="283"/>
      <c r="VU1" s="283"/>
      <c r="VV1" s="283"/>
      <c r="VW1" s="283"/>
      <c r="VX1" s="283"/>
      <c r="VY1" s="283"/>
      <c r="VZ1" s="283">
        <v>44116</v>
      </c>
      <c r="WA1" s="283"/>
      <c r="WB1" s="283"/>
      <c r="WC1" s="283"/>
      <c r="WD1" s="283"/>
      <c r="WE1" s="283"/>
      <c r="WF1" s="283"/>
      <c r="WG1" s="283">
        <v>44123</v>
      </c>
      <c r="WH1" s="283"/>
      <c r="WI1" s="283"/>
      <c r="WJ1" s="283"/>
      <c r="WK1" s="283"/>
      <c r="WL1" s="283"/>
      <c r="WM1" s="283"/>
      <c r="WN1" s="283">
        <v>44130</v>
      </c>
      <c r="WO1" s="283"/>
      <c r="WP1" s="283"/>
      <c r="WQ1" s="283"/>
      <c r="WR1" s="283"/>
      <c r="WS1" s="283"/>
      <c r="WT1" s="283"/>
      <c r="WU1" s="283">
        <v>44137</v>
      </c>
      <c r="WV1" s="283"/>
      <c r="WW1" s="283"/>
      <c r="WX1" s="283"/>
      <c r="WY1" s="283"/>
      <c r="WZ1" s="283"/>
      <c r="XA1" s="283"/>
      <c r="XB1" s="283">
        <v>44144</v>
      </c>
      <c r="XC1" s="283"/>
      <c r="XD1" s="283"/>
      <c r="XE1" s="283"/>
      <c r="XF1" s="283"/>
      <c r="XG1" s="283"/>
      <c r="XH1" s="283"/>
      <c r="XI1" s="283">
        <v>44151</v>
      </c>
      <c r="XJ1" s="283"/>
      <c r="XK1" s="283"/>
      <c r="XL1" s="283"/>
      <c r="XM1" s="283"/>
      <c r="XN1" s="283"/>
      <c r="XO1" s="283"/>
      <c r="XP1" s="283">
        <v>44158</v>
      </c>
      <c r="XQ1" s="283"/>
      <c r="XR1" s="283"/>
      <c r="XS1" s="283"/>
      <c r="XT1" s="283"/>
      <c r="XU1" s="283"/>
      <c r="XV1" s="283"/>
      <c r="XW1" s="283">
        <v>44165</v>
      </c>
      <c r="XX1" s="283"/>
      <c r="XY1" s="283"/>
      <c r="XZ1" s="283"/>
      <c r="YA1" s="283"/>
      <c r="YB1" s="283"/>
      <c r="YC1" s="283"/>
      <c r="YD1" s="283">
        <v>44172</v>
      </c>
      <c r="YE1" s="283"/>
      <c r="YF1" s="283"/>
      <c r="YG1" s="283"/>
      <c r="YH1" s="283"/>
      <c r="YI1" s="283"/>
      <c r="YJ1" s="283"/>
      <c r="YK1" s="283">
        <v>44179</v>
      </c>
      <c r="YL1" s="283"/>
      <c r="YM1" s="283"/>
      <c r="YN1" s="283"/>
      <c r="YO1" s="283"/>
      <c r="YP1" s="283"/>
      <c r="YQ1" s="283"/>
      <c r="YR1" s="283">
        <v>44186</v>
      </c>
      <c r="YS1" s="283"/>
      <c r="YT1" s="283"/>
      <c r="YU1" s="283"/>
      <c r="YV1" s="283"/>
      <c r="YW1" s="283"/>
      <c r="YX1" s="283"/>
      <c r="YY1" s="283">
        <v>44193</v>
      </c>
      <c r="YZ1" s="283"/>
      <c r="ZA1" s="283"/>
      <c r="ZB1" s="283"/>
      <c r="ZC1" s="283"/>
      <c r="ZD1" s="283"/>
      <c r="ZE1" s="283"/>
      <c r="ZF1" s="283">
        <v>44200</v>
      </c>
      <c r="ZG1" s="283"/>
      <c r="ZH1" s="283"/>
      <c r="ZI1" s="283"/>
      <c r="ZJ1" s="283"/>
      <c r="ZK1" s="283"/>
      <c r="ZL1" s="283"/>
      <c r="ZM1" s="283">
        <v>44207</v>
      </c>
      <c r="ZN1" s="283"/>
      <c r="ZO1" s="283"/>
      <c r="ZP1" s="283"/>
      <c r="ZQ1" s="283"/>
      <c r="ZR1" s="283"/>
      <c r="ZS1" s="283"/>
      <c r="ZT1" s="283">
        <v>44214</v>
      </c>
      <c r="ZU1" s="283"/>
      <c r="ZV1" s="283"/>
      <c r="ZW1" s="283"/>
      <c r="ZX1" s="283"/>
      <c r="ZY1" s="283"/>
      <c r="ZZ1" s="283"/>
      <c r="AAA1" s="283">
        <v>44221</v>
      </c>
      <c r="AAB1" s="283"/>
      <c r="AAC1" s="283"/>
      <c r="AAD1" s="283"/>
      <c r="AAE1" s="283"/>
      <c r="AAF1" s="283"/>
      <c r="AAG1" s="283"/>
      <c r="AAH1" s="283">
        <v>44228</v>
      </c>
      <c r="AAI1" s="283"/>
      <c r="AAJ1" s="283"/>
      <c r="AAK1" s="283"/>
      <c r="AAL1" s="283"/>
      <c r="AAM1" s="283"/>
      <c r="AAN1" s="283"/>
      <c r="AAO1" s="283">
        <v>44235</v>
      </c>
      <c r="AAP1" s="283"/>
      <c r="AAQ1" s="283"/>
      <c r="AAR1" s="283"/>
      <c r="AAS1" s="283"/>
      <c r="AAT1" s="283"/>
      <c r="AAU1" s="283"/>
      <c r="AAV1" s="283">
        <v>44242</v>
      </c>
      <c r="AAW1" s="283"/>
      <c r="AAX1" s="283"/>
      <c r="AAY1" s="283"/>
      <c r="AAZ1" s="283"/>
      <c r="ABA1" s="283"/>
      <c r="ABB1" s="283"/>
      <c r="ABC1" s="283">
        <v>44249</v>
      </c>
      <c r="ABD1" s="283"/>
      <c r="ABE1" s="283"/>
      <c r="ABF1" s="283"/>
      <c r="ABG1" s="283"/>
      <c r="ABH1" s="283"/>
      <c r="ABI1" s="283"/>
      <c r="ABJ1" s="283">
        <v>44256</v>
      </c>
      <c r="ABK1" s="283"/>
      <c r="ABL1" s="283"/>
      <c r="ABM1" s="283"/>
      <c r="ABN1" s="283"/>
      <c r="ABO1" s="283"/>
      <c r="ABP1" s="283"/>
      <c r="ABQ1" s="283">
        <v>44263</v>
      </c>
      <c r="ABR1" s="283"/>
      <c r="ABS1" s="283"/>
      <c r="ABT1" s="283"/>
      <c r="ABU1" s="283"/>
      <c r="ABV1" s="283"/>
      <c r="ABW1" s="283"/>
      <c r="ABX1" s="283">
        <v>44270</v>
      </c>
      <c r="ABY1" s="283"/>
      <c r="ABZ1" s="283"/>
      <c r="ACA1" s="283"/>
      <c r="ACB1" s="283"/>
      <c r="ACC1" s="283"/>
      <c r="ACD1" s="283"/>
      <c r="ACE1" s="283">
        <v>44277</v>
      </c>
      <c r="ACF1" s="283"/>
      <c r="ACG1" s="283"/>
      <c r="ACH1" s="283"/>
      <c r="ACI1" s="283"/>
      <c r="ACJ1" s="283"/>
      <c r="ACK1" s="283"/>
      <c r="ACL1" s="283">
        <v>44284</v>
      </c>
      <c r="ACM1" s="283"/>
      <c r="ACN1" s="283"/>
      <c r="ACO1" s="283"/>
      <c r="ACP1" s="283"/>
      <c r="ACQ1" s="283"/>
      <c r="ACR1" s="283"/>
      <c r="ACS1" s="283">
        <v>44291</v>
      </c>
      <c r="ACT1" s="283"/>
      <c r="ACU1" s="283"/>
      <c r="ACV1" s="283"/>
      <c r="ACW1" s="283"/>
      <c r="ACX1" s="283"/>
      <c r="ACY1" s="283"/>
      <c r="ACZ1" s="283">
        <v>44298</v>
      </c>
      <c r="ADA1" s="283"/>
      <c r="ADB1" s="283"/>
      <c r="ADC1" s="283"/>
      <c r="ADD1" s="283"/>
      <c r="ADE1" s="283"/>
      <c r="ADF1" s="283"/>
      <c r="ADG1" s="283">
        <v>44305</v>
      </c>
      <c r="ADH1" s="283"/>
      <c r="ADI1" s="283"/>
      <c r="ADJ1" s="283"/>
      <c r="ADK1" s="283"/>
      <c r="ADL1" s="283"/>
      <c r="ADM1" s="283"/>
      <c r="ADN1" s="283">
        <v>44312</v>
      </c>
      <c r="ADO1" s="283"/>
      <c r="ADP1" s="283"/>
      <c r="ADQ1" s="283"/>
      <c r="ADR1" s="283"/>
      <c r="ADS1" s="283"/>
      <c r="ADT1" s="283"/>
      <c r="ADU1" s="283">
        <v>44319</v>
      </c>
      <c r="ADV1" s="283"/>
      <c r="ADW1" s="283"/>
      <c r="ADX1" s="283"/>
      <c r="ADY1" s="283"/>
      <c r="ADZ1" s="283"/>
      <c r="AEA1" s="283"/>
      <c r="AEB1" s="283">
        <v>44326</v>
      </c>
      <c r="AEC1" s="283"/>
      <c r="AED1" s="283"/>
      <c r="AEE1" s="283"/>
      <c r="AEF1" s="283"/>
      <c r="AEG1" s="283"/>
      <c r="AEH1" s="283"/>
      <c r="AEI1" s="283">
        <v>44333</v>
      </c>
      <c r="AEJ1" s="283"/>
      <c r="AEK1" s="283"/>
      <c r="AEL1" s="283"/>
      <c r="AEM1" s="283"/>
      <c r="AEN1" s="283"/>
      <c r="AEO1" s="283"/>
      <c r="AEP1" s="283">
        <v>44340</v>
      </c>
      <c r="AEQ1" s="283"/>
      <c r="AER1" s="283"/>
      <c r="AES1" s="283"/>
      <c r="AET1" s="283"/>
      <c r="AEU1" s="283"/>
      <c r="AEV1" s="283"/>
      <c r="AEW1" s="283">
        <v>44347</v>
      </c>
      <c r="AEX1" s="283"/>
      <c r="AEY1" s="283"/>
      <c r="AEZ1" s="283"/>
      <c r="AFA1" s="283"/>
      <c r="AFB1" s="283"/>
      <c r="AFC1" s="283"/>
      <c r="AFD1" s="283">
        <v>44354</v>
      </c>
      <c r="AFE1" s="283"/>
      <c r="AFF1" s="283"/>
      <c r="AFG1" s="283"/>
      <c r="AFH1" s="283"/>
      <c r="AFI1" s="283"/>
      <c r="AFJ1" s="283"/>
      <c r="AFK1" s="283">
        <v>44361</v>
      </c>
      <c r="AFL1" s="283"/>
      <c r="AFM1" s="283"/>
      <c r="AFN1" s="283"/>
      <c r="AFO1" s="283"/>
      <c r="AFP1" s="283"/>
      <c r="AFQ1" s="283"/>
      <c r="AFR1" s="283">
        <v>44368</v>
      </c>
      <c r="AFS1" s="283"/>
      <c r="AFT1" s="283"/>
      <c r="AFU1" s="283"/>
      <c r="AFV1" s="283"/>
      <c r="AFW1" s="283"/>
      <c r="AFX1" s="283"/>
      <c r="AFY1" s="283">
        <v>44375</v>
      </c>
      <c r="AFZ1" s="283"/>
      <c r="AGA1" s="283"/>
      <c r="AGB1" s="283"/>
      <c r="AGC1" s="283"/>
      <c r="AGD1" s="283"/>
      <c r="AGE1" s="283"/>
      <c r="AGF1" s="283">
        <v>44382</v>
      </c>
      <c r="AGG1" s="283"/>
      <c r="AGH1" s="283"/>
      <c r="AGI1" s="283"/>
      <c r="AGJ1" s="283"/>
      <c r="AGK1" s="283"/>
      <c r="AGL1" s="283"/>
      <c r="AGM1" s="283">
        <v>44389</v>
      </c>
      <c r="AGN1" s="283"/>
      <c r="AGO1" s="283"/>
      <c r="AGP1" s="283"/>
      <c r="AGQ1" s="283"/>
      <c r="AGR1" s="283"/>
      <c r="AGS1" s="283"/>
      <c r="AGT1" s="283">
        <v>44396</v>
      </c>
      <c r="AGU1" s="283"/>
      <c r="AGV1" s="283"/>
      <c r="AGW1" s="283"/>
      <c r="AGX1" s="283"/>
      <c r="AGY1" s="283"/>
      <c r="AGZ1" s="283"/>
      <c r="AHA1" s="283">
        <v>44403</v>
      </c>
      <c r="AHB1" s="283"/>
      <c r="AHC1" s="283"/>
      <c r="AHD1" s="283"/>
      <c r="AHE1" s="283"/>
      <c r="AHF1" s="283"/>
      <c r="AHG1" s="283"/>
      <c r="AHH1" s="283">
        <v>44410</v>
      </c>
      <c r="AHI1" s="283"/>
      <c r="AHJ1" s="283"/>
      <c r="AHK1" s="283"/>
      <c r="AHL1" s="283"/>
      <c r="AHM1" s="283"/>
      <c r="AHN1" s="283"/>
      <c r="AHO1" s="283">
        <v>44417</v>
      </c>
      <c r="AHP1" s="283"/>
      <c r="AHQ1" s="283"/>
      <c r="AHR1" s="283"/>
      <c r="AHS1" s="283"/>
      <c r="AHT1" s="283"/>
      <c r="AHU1" s="283"/>
      <c r="AHV1" s="283">
        <v>44424</v>
      </c>
      <c r="AHW1" s="283"/>
      <c r="AHX1" s="283"/>
      <c r="AHY1" s="283"/>
      <c r="AHZ1" s="283"/>
      <c r="AIA1" s="283"/>
      <c r="AIB1" s="283"/>
      <c r="AIC1" s="283">
        <v>44431</v>
      </c>
      <c r="AID1" s="283"/>
      <c r="AIE1" s="283"/>
      <c r="AIF1" s="283"/>
      <c r="AIG1" s="283"/>
      <c r="AIH1" s="283"/>
      <c r="AII1" s="283"/>
      <c r="AIJ1" s="283">
        <v>44438</v>
      </c>
      <c r="AIK1" s="283"/>
      <c r="AIL1" s="283"/>
      <c r="AIM1" s="283"/>
      <c r="AIN1" s="283"/>
      <c r="AIO1" s="283"/>
      <c r="AIP1" s="283"/>
      <c r="AIQ1" s="283">
        <v>44445</v>
      </c>
      <c r="AIR1" s="283"/>
      <c r="AIS1" s="283"/>
      <c r="AIT1" s="283"/>
      <c r="AIU1" s="283"/>
      <c r="AIV1" s="283"/>
      <c r="AIW1" s="283"/>
      <c r="AIX1" s="283">
        <v>44452</v>
      </c>
      <c r="AIY1" s="283"/>
      <c r="AIZ1" s="283"/>
      <c r="AJA1" s="283"/>
      <c r="AJB1" s="283"/>
      <c r="AJC1" s="283"/>
      <c r="AJD1" s="283"/>
      <c r="AJE1" s="283">
        <v>44459</v>
      </c>
      <c r="AJF1" s="283"/>
      <c r="AJG1" s="283"/>
      <c r="AJH1" s="283"/>
      <c r="AJI1" s="283"/>
      <c r="AJJ1" s="283"/>
      <c r="AJK1" s="283"/>
      <c r="AJL1" s="283">
        <v>44466</v>
      </c>
      <c r="AJM1" s="283"/>
      <c r="AJN1" s="283"/>
      <c r="AJO1" s="283"/>
      <c r="AJP1" s="283"/>
      <c r="AJQ1" s="283"/>
      <c r="AJR1" s="283"/>
      <c r="AJS1" s="283">
        <v>44473</v>
      </c>
      <c r="AJT1" s="283"/>
      <c r="AJU1" s="283"/>
      <c r="AJV1" s="283"/>
      <c r="AJW1" s="283"/>
      <c r="AJX1" s="283"/>
      <c r="AJY1" s="283"/>
      <c r="AJZ1" s="283">
        <v>44480</v>
      </c>
      <c r="AKA1" s="283"/>
      <c r="AKB1" s="283"/>
      <c r="AKC1" s="283"/>
      <c r="AKD1" s="283"/>
      <c r="AKE1" s="283"/>
      <c r="AKF1" s="283"/>
      <c r="AKG1" s="283">
        <v>44487</v>
      </c>
      <c r="AKH1" s="283"/>
      <c r="AKI1" s="283"/>
      <c r="AKJ1" s="283"/>
      <c r="AKK1" s="283"/>
      <c r="AKL1" s="283"/>
      <c r="AKM1" s="283"/>
      <c r="AKN1" s="283">
        <v>44494</v>
      </c>
      <c r="AKO1" s="283"/>
      <c r="AKP1" s="283"/>
      <c r="AKQ1" s="283"/>
      <c r="AKR1" s="283"/>
      <c r="AKS1" s="283"/>
      <c r="AKT1" s="283"/>
      <c r="AKU1" s="283">
        <v>44501</v>
      </c>
      <c r="AKV1" s="283"/>
      <c r="AKW1" s="283"/>
      <c r="AKX1" s="283"/>
      <c r="AKY1" s="283"/>
      <c r="AKZ1" s="283"/>
      <c r="ALA1" s="283"/>
      <c r="ALB1" s="283">
        <v>44508</v>
      </c>
      <c r="ALC1" s="283"/>
      <c r="ALD1" s="283"/>
      <c r="ALE1" s="283"/>
      <c r="ALF1" s="283"/>
      <c r="ALG1" s="283"/>
      <c r="ALH1" s="283"/>
      <c r="ALI1" s="283">
        <v>44515</v>
      </c>
      <c r="ALJ1" s="283"/>
      <c r="ALK1" s="283"/>
      <c r="ALL1" s="283"/>
      <c r="ALM1" s="283"/>
      <c r="ALN1" s="283"/>
      <c r="ALO1" s="283"/>
      <c r="ALP1" s="283">
        <v>44522</v>
      </c>
      <c r="ALQ1" s="283"/>
      <c r="ALR1" s="283"/>
      <c r="ALS1" s="283"/>
      <c r="ALT1" s="283"/>
      <c r="ALU1" s="283"/>
      <c r="ALV1" s="283"/>
      <c r="ALW1" s="283">
        <v>44529</v>
      </c>
      <c r="ALX1" s="283"/>
      <c r="ALY1" s="283"/>
      <c r="ALZ1" s="283"/>
      <c r="AMA1" s="283"/>
      <c r="AMB1" s="283"/>
      <c r="AMC1" s="283"/>
      <c r="AMD1" s="283">
        <v>44536</v>
      </c>
      <c r="AME1" s="283"/>
      <c r="AMF1" s="283"/>
      <c r="AMG1" s="283"/>
      <c r="AMH1" s="283"/>
      <c r="AMI1" s="283"/>
      <c r="AMJ1" s="283"/>
      <c r="AMK1" s="283">
        <v>44543</v>
      </c>
      <c r="AML1" s="283"/>
      <c r="AMM1" s="283"/>
      <c r="AMN1" s="283"/>
      <c r="AMO1" s="283"/>
      <c r="AMP1" s="283"/>
      <c r="AMQ1" s="283"/>
      <c r="AMR1" s="283">
        <v>44550</v>
      </c>
      <c r="AMS1" s="283"/>
      <c r="AMT1" s="283"/>
      <c r="AMU1" s="283"/>
      <c r="AMV1" s="283"/>
      <c r="AMW1" s="283"/>
      <c r="AMX1" s="283"/>
      <c r="AMY1" s="283">
        <v>44557</v>
      </c>
      <c r="AMZ1" s="283"/>
      <c r="ANA1" s="283"/>
      <c r="ANB1" s="283"/>
      <c r="ANC1" s="283"/>
      <c r="AND1" s="283"/>
      <c r="ANE1" s="283"/>
      <c r="ANF1" s="283">
        <v>44564</v>
      </c>
      <c r="ANG1" s="283"/>
      <c r="ANH1" s="283"/>
      <c r="ANI1" s="283"/>
      <c r="ANJ1" s="283"/>
      <c r="ANK1" s="283"/>
      <c r="ANL1" s="283"/>
      <c r="ANM1" s="283">
        <v>44571</v>
      </c>
      <c r="ANN1" s="283"/>
      <c r="ANO1" s="283"/>
      <c r="ANP1" s="283"/>
      <c r="ANQ1" s="283"/>
      <c r="ANR1" s="283"/>
      <c r="ANS1" s="283"/>
      <c r="ANT1" s="283">
        <v>44578</v>
      </c>
      <c r="ANU1" s="283"/>
      <c r="ANV1" s="283"/>
      <c r="ANW1" s="283"/>
      <c r="ANX1" s="283"/>
      <c r="ANY1" s="283"/>
      <c r="ANZ1" s="283"/>
      <c r="AOA1" s="283">
        <v>44585</v>
      </c>
      <c r="AOB1" s="283"/>
      <c r="AOC1" s="283"/>
      <c r="AOD1" s="283"/>
      <c r="AOE1" s="283"/>
      <c r="AOF1" s="283"/>
      <c r="AOG1" s="283"/>
      <c r="AOH1" s="283">
        <v>44592</v>
      </c>
      <c r="AOI1" s="283"/>
      <c r="AOJ1" s="283"/>
      <c r="AOK1" s="283"/>
      <c r="AOL1" s="283"/>
      <c r="AOM1" s="283"/>
      <c r="AON1" s="283"/>
      <c r="AOO1" s="283">
        <v>44599</v>
      </c>
      <c r="AOP1" s="283"/>
      <c r="AOQ1" s="283"/>
      <c r="AOR1" s="283"/>
      <c r="AOS1" s="283"/>
      <c r="AOT1" s="283"/>
      <c r="AOU1" s="283"/>
      <c r="AOV1" s="283">
        <v>44606</v>
      </c>
      <c r="AOW1" s="283"/>
      <c r="AOX1" s="283"/>
      <c r="AOY1" s="283"/>
      <c r="AOZ1" s="283"/>
      <c r="APA1" s="283"/>
      <c r="APB1" s="283"/>
      <c r="APC1" s="283">
        <v>44613</v>
      </c>
      <c r="APD1" s="283"/>
      <c r="APE1" s="283"/>
      <c r="APF1" s="283"/>
      <c r="APG1" s="283"/>
      <c r="APH1" s="283"/>
      <c r="API1" s="283"/>
      <c r="APJ1" s="745">
        <v>44620</v>
      </c>
      <c r="APK1" s="745"/>
      <c r="APL1" s="745"/>
      <c r="APM1" s="745"/>
      <c r="APN1" s="745"/>
      <c r="APO1" s="745"/>
      <c r="APP1" s="745"/>
      <c r="APQ1" s="745">
        <v>44627</v>
      </c>
      <c r="APR1" s="745"/>
      <c r="APS1" s="745"/>
      <c r="APT1" s="745"/>
      <c r="APU1" s="745"/>
      <c r="APV1" s="745"/>
      <c r="APW1" s="745"/>
      <c r="APX1" s="745">
        <v>44634</v>
      </c>
      <c r="APY1" s="745"/>
      <c r="APZ1" s="745"/>
      <c r="AQA1" s="745"/>
      <c r="AQB1" s="745"/>
      <c r="AQC1" s="745"/>
      <c r="AQD1" s="745"/>
      <c r="AQE1" s="745">
        <v>44641</v>
      </c>
      <c r="AQF1" s="745"/>
      <c r="AQG1" s="745"/>
      <c r="AQH1" s="745"/>
      <c r="AQI1" s="745"/>
      <c r="AQJ1" s="745"/>
      <c r="AQK1" s="745"/>
      <c r="AQL1" s="745">
        <v>44648</v>
      </c>
      <c r="AQM1" s="745"/>
      <c r="AQN1" s="745"/>
      <c r="AQO1" s="745"/>
      <c r="AQP1" s="745"/>
      <c r="AQQ1" s="745"/>
      <c r="AQR1" s="745"/>
      <c r="AQS1" s="745">
        <v>44655</v>
      </c>
      <c r="AQT1" s="745"/>
      <c r="AQU1" s="745"/>
      <c r="AQV1" s="745"/>
      <c r="AQW1" s="745"/>
      <c r="AQX1" s="745"/>
      <c r="AQY1" s="745"/>
      <c r="AQZ1" s="745">
        <v>44662</v>
      </c>
      <c r="ARA1" s="745"/>
      <c r="ARB1" s="745"/>
      <c r="ARC1" s="745"/>
      <c r="ARD1" s="745"/>
      <c r="ARE1" s="745"/>
      <c r="ARF1" s="745"/>
      <c r="ARG1" s="745">
        <v>44669</v>
      </c>
      <c r="ARH1" s="745"/>
      <c r="ARI1" s="745"/>
      <c r="ARJ1" s="745"/>
      <c r="ARK1" s="745"/>
      <c r="ARL1" s="745"/>
      <c r="ARM1" s="745"/>
      <c r="ARN1" s="745">
        <v>44676</v>
      </c>
      <c r="ARO1" s="745"/>
      <c r="ARP1" s="745"/>
      <c r="ARQ1" s="745"/>
      <c r="ARR1" s="745"/>
      <c r="ARS1" s="745"/>
      <c r="ART1" s="745"/>
      <c r="ARU1" s="745">
        <v>44683</v>
      </c>
      <c r="ARV1" s="745"/>
      <c r="ARW1" s="745"/>
      <c r="ARX1" s="745"/>
      <c r="ARY1" s="745"/>
      <c r="ARZ1" s="745"/>
      <c r="ASA1" s="745"/>
      <c r="ASB1" s="745">
        <v>44690</v>
      </c>
      <c r="ASC1" s="745"/>
      <c r="ASD1" s="745"/>
      <c r="ASE1" s="745"/>
      <c r="ASF1" s="745"/>
      <c r="ASG1" s="745"/>
      <c r="ASH1" s="745"/>
      <c r="ASI1" s="745">
        <v>44697</v>
      </c>
      <c r="ASJ1" s="745"/>
      <c r="ASK1" s="745"/>
      <c r="ASL1" s="745"/>
      <c r="ASM1" s="745"/>
      <c r="ASN1" s="745"/>
      <c r="ASO1" s="745"/>
      <c r="ASP1" s="745">
        <v>44704</v>
      </c>
      <c r="ASQ1" s="745"/>
      <c r="ASR1" s="745"/>
      <c r="ASS1" s="745"/>
      <c r="AST1" s="745"/>
      <c r="ASU1" s="745"/>
      <c r="ASV1" s="745"/>
      <c r="ASW1" s="745">
        <v>44711</v>
      </c>
      <c r="ASX1" s="745"/>
      <c r="ASY1" s="745"/>
      <c r="ASZ1" s="745"/>
      <c r="ATA1" s="745"/>
      <c r="ATB1" s="745"/>
      <c r="ATC1" s="745"/>
      <c r="ATD1" s="745">
        <v>44718</v>
      </c>
      <c r="ATE1" s="745"/>
      <c r="ATF1" s="745"/>
      <c r="ATG1" s="745"/>
      <c r="ATH1" s="745"/>
      <c r="ATI1" s="745"/>
      <c r="ATJ1" s="745"/>
      <c r="ATK1" s="745">
        <v>44725</v>
      </c>
      <c r="ATL1" s="745"/>
      <c r="ATM1" s="745"/>
      <c r="ATN1" s="745"/>
      <c r="ATO1" s="745"/>
      <c r="ATP1" s="745"/>
      <c r="ATQ1" s="745"/>
      <c r="ATR1" s="745">
        <v>44732</v>
      </c>
      <c r="ATS1" s="745"/>
      <c r="ATT1" s="745"/>
      <c r="ATU1" s="745"/>
      <c r="ATV1" s="745"/>
      <c r="ATW1" s="745"/>
      <c r="ATX1" s="745"/>
      <c r="ATY1" s="745">
        <v>44739</v>
      </c>
      <c r="ATZ1" s="745"/>
      <c r="AUA1" s="745"/>
      <c r="AUB1" s="745"/>
      <c r="AUC1" s="745"/>
      <c r="AUD1" s="745"/>
      <c r="AUE1" s="745"/>
      <c r="AUF1" s="745">
        <v>44746</v>
      </c>
      <c r="AUG1" s="745"/>
      <c r="AUH1" s="745"/>
      <c r="AUI1" s="745"/>
      <c r="AUJ1" s="745"/>
      <c r="AUK1" s="745"/>
      <c r="AUL1" s="745"/>
      <c r="AUM1" s="745">
        <v>44753</v>
      </c>
      <c r="AUN1" s="745"/>
      <c r="AUO1" s="745"/>
      <c r="AUP1" s="745"/>
      <c r="AUQ1" s="745"/>
      <c r="AUR1" s="745"/>
      <c r="AUS1" s="745"/>
      <c r="AUT1" s="745">
        <v>44760</v>
      </c>
      <c r="AUU1" s="745"/>
      <c r="AUV1" s="745"/>
      <c r="AUW1" s="745"/>
      <c r="AUX1" s="745"/>
      <c r="AUY1" s="745"/>
      <c r="AUZ1" s="745"/>
      <c r="AVA1" s="745">
        <v>44767</v>
      </c>
      <c r="AVB1" s="745"/>
      <c r="AVC1" s="745"/>
      <c r="AVD1" s="745"/>
      <c r="AVE1" s="745"/>
      <c r="AVF1" s="745"/>
      <c r="AVG1" s="745"/>
      <c r="AVH1" s="745">
        <v>44774</v>
      </c>
      <c r="AVI1" s="745"/>
      <c r="AVJ1" s="745"/>
      <c r="AVK1" s="745"/>
      <c r="AVL1" s="745"/>
      <c r="AVM1" s="745"/>
      <c r="AVN1" s="745"/>
      <c r="AVO1" s="745">
        <v>44781</v>
      </c>
      <c r="AVP1" s="745"/>
      <c r="AVQ1" s="745"/>
      <c r="AVR1" s="745"/>
      <c r="AVS1" s="745"/>
      <c r="AVT1" s="745"/>
      <c r="AVU1" s="745"/>
      <c r="AVV1" s="745">
        <v>44788</v>
      </c>
      <c r="AVW1" s="745"/>
      <c r="AVX1" s="745"/>
      <c r="AVY1" s="745"/>
      <c r="AVZ1" s="745"/>
      <c r="AWA1" s="745"/>
      <c r="AWB1" s="745"/>
      <c r="AWC1" s="745">
        <v>44795</v>
      </c>
      <c r="AWD1" s="745"/>
      <c r="AWE1" s="745"/>
      <c r="AWF1" s="745"/>
      <c r="AWG1" s="745"/>
      <c r="AWH1" s="745"/>
      <c r="AWI1" s="745"/>
      <c r="AWJ1" s="745">
        <v>44802</v>
      </c>
      <c r="AWK1" s="745"/>
      <c r="AWL1" s="745"/>
      <c r="AWM1" s="745"/>
      <c r="AWN1" s="745"/>
      <c r="AWO1" s="745"/>
      <c r="AWP1" s="745"/>
      <c r="AWQ1" s="745">
        <v>44809</v>
      </c>
      <c r="AWR1" s="745"/>
      <c r="AWS1" s="745"/>
      <c r="AWT1" s="745"/>
      <c r="AWU1" s="745"/>
      <c r="AWV1" s="745"/>
      <c r="AWW1" s="745"/>
    </row>
    <row r="2" spans="1:1297" ht="104.1" customHeight="1" thickTop="1" thickBot="1">
      <c r="A2" s="284" t="s">
        <v>679</v>
      </c>
      <c r="B2" s="285" t="s">
        <v>679</v>
      </c>
      <c r="F2" s="237" t="s">
        <v>627</v>
      </c>
      <c r="EY2" s="239" t="s">
        <v>632</v>
      </c>
      <c r="EZ2" s="239"/>
      <c r="FA2" s="239"/>
      <c r="FB2" s="239"/>
      <c r="FC2" s="239"/>
      <c r="JJ2" s="240" t="s">
        <v>633</v>
      </c>
      <c r="JK2" s="240"/>
      <c r="JL2" s="240"/>
      <c r="MJ2" s="241" t="s">
        <v>698</v>
      </c>
      <c r="MK2" s="241"/>
      <c r="ML2" s="241"/>
      <c r="MS2" s="292" t="s">
        <v>86</v>
      </c>
      <c r="MT2" s="292"/>
      <c r="MU2" s="292"/>
      <c r="MV2" s="292"/>
      <c r="MW2" s="292"/>
      <c r="MX2" s="292"/>
      <c r="MY2" s="292"/>
      <c r="MZ2" s="292"/>
      <c r="NA2" s="292"/>
      <c r="NB2" s="292"/>
      <c r="NC2" s="292"/>
      <c r="ND2" s="292"/>
      <c r="NE2" s="292"/>
      <c r="NF2" s="292"/>
      <c r="NG2" s="292"/>
      <c r="NH2" s="292"/>
      <c r="NI2" s="292"/>
      <c r="NJ2" s="292"/>
      <c r="NK2" s="292"/>
      <c r="NL2" s="292"/>
      <c r="NM2" s="292"/>
      <c r="NN2" s="292"/>
      <c r="NO2" s="292"/>
      <c r="NP2" s="292"/>
      <c r="NQ2" s="292"/>
      <c r="NR2" s="292"/>
      <c r="NS2" s="292"/>
      <c r="NT2" s="292"/>
      <c r="NU2" s="292"/>
      <c r="NV2" s="292"/>
      <c r="NW2" s="292"/>
      <c r="NX2" s="292"/>
      <c r="NY2" s="292"/>
      <c r="NZ2" s="292"/>
      <c r="OA2" s="292"/>
      <c r="OB2" s="292"/>
      <c r="OL2" s="292" t="s">
        <v>696</v>
      </c>
      <c r="OM2" s="292"/>
      <c r="ON2" s="292"/>
      <c r="OO2" s="292"/>
      <c r="OP2" s="292"/>
      <c r="OQ2" s="292"/>
      <c r="OR2" s="292"/>
      <c r="OS2" s="292"/>
      <c r="OT2" s="292"/>
      <c r="OU2" s="292"/>
      <c r="OV2" s="292"/>
      <c r="OW2" s="292"/>
      <c r="OX2" s="292"/>
      <c r="OY2" s="292"/>
      <c r="OZ2" s="292"/>
      <c r="PA2" s="292"/>
      <c r="PB2" s="292"/>
      <c r="PC2" s="292"/>
      <c r="PD2" s="292"/>
      <c r="PE2" s="292"/>
      <c r="PF2" s="292"/>
      <c r="PG2" s="292"/>
      <c r="PH2" s="292"/>
      <c r="PI2" s="292"/>
      <c r="PJ2" s="292"/>
      <c r="PK2" s="292"/>
      <c r="PL2" s="292"/>
      <c r="PM2" s="292"/>
      <c r="PN2" s="292"/>
      <c r="PO2" s="292"/>
      <c r="PP2" s="292"/>
      <c r="PQ2" s="292"/>
      <c r="PR2" s="292"/>
      <c r="PS2" s="292"/>
      <c r="PT2" s="292"/>
      <c r="PU2" s="292"/>
      <c r="PV2" s="292"/>
      <c r="PW2" s="292"/>
      <c r="PX2" s="292"/>
      <c r="PY2" s="292"/>
      <c r="PZ2" s="292"/>
      <c r="QA2" s="292"/>
      <c r="QB2" s="292"/>
      <c r="QC2" s="292"/>
      <c r="QD2" s="292"/>
      <c r="QE2" s="292"/>
      <c r="QF2" s="292"/>
      <c r="QG2" s="292"/>
      <c r="QH2" s="292"/>
      <c r="QI2" s="292"/>
      <c r="QJ2" s="292"/>
      <c r="QK2" s="292"/>
      <c r="QL2" s="292"/>
      <c r="QM2" s="292"/>
      <c r="QN2" s="292"/>
      <c r="QO2" s="292"/>
      <c r="QP2" s="292"/>
      <c r="QQ2" s="292"/>
      <c r="QR2" s="292"/>
      <c r="QS2" s="292"/>
      <c r="QT2" s="292"/>
      <c r="QU2" s="292"/>
      <c r="QV2" s="292"/>
      <c r="QW2" s="292"/>
      <c r="QX2" s="292"/>
      <c r="QY2" s="292"/>
      <c r="QZ2" s="292"/>
      <c r="RA2" s="292"/>
      <c r="RB2" s="292"/>
      <c r="RC2" s="292"/>
      <c r="RD2" s="292"/>
      <c r="RE2" s="292"/>
      <c r="RF2" s="292"/>
      <c r="RG2" s="292"/>
      <c r="RH2" s="292"/>
      <c r="RI2" s="292"/>
      <c r="RJ2" s="292"/>
      <c r="RK2" s="292"/>
      <c r="RL2" s="292"/>
      <c r="RM2" s="292"/>
      <c r="RN2" s="292"/>
      <c r="RO2" s="292"/>
      <c r="RP2" s="292"/>
      <c r="RQ2" s="292"/>
      <c r="RR2" s="292"/>
      <c r="RS2" s="292"/>
      <c r="XH2" s="293" t="s">
        <v>828</v>
      </c>
      <c r="XI2" s="293"/>
      <c r="XJ2" s="293"/>
      <c r="ZP2" s="293" t="s">
        <v>649</v>
      </c>
      <c r="ZQ2" s="293"/>
      <c r="ZR2" s="293"/>
      <c r="AFD2" s="294" t="s">
        <v>89</v>
      </c>
      <c r="AFE2" s="294"/>
      <c r="AFF2" s="294"/>
      <c r="AFG2" s="294"/>
      <c r="AFH2" s="294"/>
      <c r="AFI2" s="294"/>
      <c r="AFJ2" s="294"/>
      <c r="AFK2" s="294"/>
      <c r="AFL2" s="294"/>
      <c r="AFM2" s="294"/>
      <c r="AFN2" s="294"/>
      <c r="AFO2" s="294"/>
      <c r="AFP2" s="294"/>
      <c r="AFQ2" s="294"/>
      <c r="AFR2" s="294"/>
      <c r="AFS2" s="294"/>
      <c r="AFT2" s="294"/>
      <c r="AFU2" s="294"/>
      <c r="AFV2" s="294"/>
      <c r="AFW2" s="294"/>
      <c r="AFX2" s="294"/>
      <c r="AFY2" s="294"/>
      <c r="AFZ2" s="294"/>
      <c r="AGA2" s="294"/>
      <c r="AGB2" s="294"/>
      <c r="AGC2" s="294"/>
      <c r="AGD2" s="294"/>
      <c r="AGE2" s="294"/>
      <c r="AGF2" s="294"/>
      <c r="AGG2" s="294"/>
      <c r="AGH2" s="294"/>
      <c r="AGI2" s="294"/>
      <c r="AGJ2" s="294"/>
      <c r="AGK2" s="294"/>
      <c r="AGL2" s="294"/>
      <c r="AGM2" s="294"/>
      <c r="AGN2" s="294"/>
      <c r="AGO2" s="294"/>
      <c r="AGP2" s="294"/>
      <c r="AGQ2" s="294"/>
      <c r="AGR2" s="294"/>
      <c r="AGS2" s="294"/>
      <c r="AGT2" s="294"/>
      <c r="AGU2" s="294"/>
      <c r="AGV2" s="294"/>
      <c r="AGW2" s="294"/>
      <c r="AGX2" s="294"/>
      <c r="AGY2" s="294"/>
      <c r="AGZ2" s="294"/>
      <c r="AHA2" s="294"/>
      <c r="AHB2" s="294"/>
      <c r="AHC2" s="294"/>
      <c r="AHD2" s="294"/>
      <c r="AHE2" s="294"/>
      <c r="AHF2" s="294"/>
      <c r="AHG2" s="294"/>
      <c r="AHH2" s="294"/>
      <c r="AHI2" s="294"/>
      <c r="AHJ2" s="294"/>
      <c r="AHK2" s="294"/>
      <c r="AHO2" s="295" t="s">
        <v>699</v>
      </c>
      <c r="AHP2" s="296"/>
      <c r="AHQ2" s="296"/>
      <c r="AHR2" s="296"/>
      <c r="AHS2" s="296"/>
      <c r="AHT2" s="296"/>
      <c r="AHU2" s="296"/>
      <c r="AHV2" s="296"/>
      <c r="AHW2" s="296"/>
      <c r="AHX2" s="296"/>
      <c r="AHY2" s="296"/>
      <c r="AHZ2" s="296"/>
      <c r="AIA2" s="296"/>
      <c r="AIB2" s="296"/>
      <c r="AIC2" s="296"/>
      <c r="AID2" s="296"/>
      <c r="AIE2" s="296"/>
      <c r="AIF2" s="296"/>
      <c r="AIG2" s="296"/>
      <c r="AIH2" s="296"/>
      <c r="AII2" s="296"/>
      <c r="AIJ2" s="296"/>
      <c r="AIK2" s="296"/>
      <c r="AIL2" s="296"/>
      <c r="AIM2" s="296"/>
      <c r="AIN2" s="296"/>
      <c r="AIO2" s="296"/>
      <c r="AIP2" s="296"/>
      <c r="AIQ2" s="296"/>
      <c r="AIR2" s="296"/>
      <c r="AIS2" s="296"/>
      <c r="AIT2" s="296"/>
      <c r="AIU2" s="296"/>
      <c r="AIV2" s="296"/>
      <c r="AIW2" s="296"/>
      <c r="AIX2" s="296"/>
      <c r="AIY2" s="296"/>
      <c r="AIZ2" s="296"/>
      <c r="AJA2" s="296"/>
      <c r="AJB2" s="296"/>
      <c r="AJC2" s="296"/>
      <c r="AJD2" s="296"/>
      <c r="AJE2" s="296"/>
      <c r="AJF2" s="296"/>
      <c r="AJG2" s="296"/>
      <c r="AJH2" s="296"/>
      <c r="AJI2" s="296"/>
      <c r="AJJ2" s="296"/>
      <c r="AJK2" s="296"/>
      <c r="AJL2" s="296"/>
      <c r="AJM2" s="296"/>
      <c r="AJN2" s="296"/>
      <c r="AJO2" s="296"/>
      <c r="AJP2" s="296"/>
      <c r="AJQ2" s="296"/>
      <c r="AJR2" s="296"/>
      <c r="AJS2" s="296"/>
      <c r="AJT2" s="296"/>
      <c r="AJU2" s="296"/>
      <c r="AJV2" s="296"/>
      <c r="AJW2" s="296"/>
      <c r="AJX2" s="296"/>
      <c r="AJY2" s="296"/>
      <c r="AJZ2" s="296"/>
      <c r="AKA2" s="296"/>
      <c r="AKB2" s="296"/>
      <c r="AKC2" s="296"/>
      <c r="AKD2" s="296"/>
      <c r="AKE2" s="296"/>
      <c r="AKF2" s="296"/>
      <c r="AKG2" s="296"/>
      <c r="AKH2" s="296"/>
      <c r="AKI2" s="296"/>
      <c r="AKJ2" s="296"/>
      <c r="AKK2" s="296"/>
      <c r="AKL2" s="296"/>
      <c r="AKM2" s="296"/>
      <c r="AKN2" s="296"/>
      <c r="AKO2" s="296"/>
      <c r="AKP2" s="296"/>
      <c r="AKQ2" s="296"/>
      <c r="AKR2" s="296"/>
      <c r="AKS2" s="296"/>
      <c r="AKT2" s="296"/>
      <c r="AKU2" s="296"/>
      <c r="AKV2" s="296"/>
      <c r="AKW2" s="296"/>
      <c r="AKX2" s="296"/>
      <c r="AKY2" s="296"/>
      <c r="AKZ2" s="296"/>
      <c r="ALA2" s="296"/>
      <c r="ALB2" s="296"/>
      <c r="ALC2" s="296"/>
      <c r="ALD2" s="296"/>
      <c r="ALE2" s="296"/>
      <c r="ALF2" s="296"/>
      <c r="ALG2" s="296"/>
      <c r="ALH2" s="296"/>
      <c r="ALI2" s="296"/>
      <c r="ALJ2" s="296"/>
      <c r="ALK2" s="296"/>
      <c r="ALL2" s="296"/>
      <c r="ALM2" s="296"/>
      <c r="ALN2" s="296"/>
      <c r="ALO2" s="296"/>
      <c r="ALP2" s="296"/>
      <c r="ALQ2" s="296"/>
      <c r="ALR2" s="296"/>
      <c r="ALS2" s="296"/>
      <c r="ALT2" s="296"/>
      <c r="ALU2" s="296"/>
      <c r="ALV2" s="296"/>
      <c r="ALW2" s="296"/>
      <c r="ALX2" s="296"/>
      <c r="ALY2" s="296"/>
      <c r="ALZ2" s="296"/>
      <c r="AMA2" s="296"/>
      <c r="AMB2" s="296"/>
      <c r="AMC2" s="296"/>
      <c r="AMD2" s="296"/>
      <c r="AME2" s="296"/>
      <c r="AMF2" s="296"/>
      <c r="AMG2" s="296"/>
      <c r="AMH2" s="296"/>
      <c r="AMI2" s="296"/>
      <c r="AMJ2" s="296"/>
      <c r="AMK2" s="296"/>
      <c r="AML2" s="296"/>
      <c r="AMM2" s="296"/>
      <c r="AMN2" s="296"/>
      <c r="AMO2" s="296"/>
      <c r="AMP2" s="296"/>
      <c r="AMQ2" s="296"/>
      <c r="AMR2" s="296"/>
      <c r="AMS2" s="296"/>
      <c r="AMT2" s="296"/>
      <c r="AMU2" s="296"/>
      <c r="AMV2" s="296"/>
      <c r="AMW2" s="296"/>
      <c r="AMX2" s="296"/>
      <c r="AMY2" s="296"/>
      <c r="AMZ2" s="296"/>
      <c r="ANA2" s="296"/>
      <c r="ANB2" s="296"/>
      <c r="ANC2" s="296"/>
      <c r="AND2" s="296"/>
      <c r="ANE2" s="296"/>
      <c r="ANF2" s="296"/>
      <c r="ANG2" s="296"/>
      <c r="ANH2" s="296"/>
      <c r="ANI2" s="296"/>
      <c r="ANJ2" s="296"/>
      <c r="ANK2" s="296"/>
      <c r="ANL2" s="296"/>
      <c r="ANM2" s="296"/>
      <c r="ANN2" s="296"/>
      <c r="ANO2" s="296"/>
      <c r="ANP2" s="296"/>
      <c r="ANQ2" s="296"/>
      <c r="ANR2" s="296"/>
      <c r="ANS2" s="297"/>
      <c r="APK2" s="738" t="s">
        <v>654</v>
      </c>
      <c r="APL2" s="738"/>
      <c r="APM2" s="738"/>
      <c r="ASK2" s="739" t="s">
        <v>655</v>
      </c>
      <c r="ASL2" s="740"/>
      <c r="ASM2" s="741"/>
      <c r="ATV2" s="742" t="s">
        <v>695</v>
      </c>
      <c r="ATW2" s="743"/>
      <c r="ATX2" s="743"/>
      <c r="ATY2" s="744"/>
      <c r="AWT2" s="739" t="s">
        <v>651</v>
      </c>
      <c r="AWU2" s="740"/>
      <c r="AWV2" s="741"/>
    </row>
    <row r="3" spans="1:1297" ht="104.1" customHeight="1" thickTop="1" thickBot="1">
      <c r="A3" s="284" t="s">
        <v>680</v>
      </c>
      <c r="B3" s="285"/>
      <c r="IN3" s="220"/>
      <c r="IO3" s="220"/>
      <c r="IP3" s="220"/>
      <c r="IQ3" s="220"/>
      <c r="ME3" s="399" t="s">
        <v>673</v>
      </c>
      <c r="MF3" s="399"/>
      <c r="MG3" s="399"/>
      <c r="QW3" s="420" t="s">
        <v>674</v>
      </c>
      <c r="QX3" s="421"/>
      <c r="QY3" s="421"/>
      <c r="QZ3" s="422"/>
      <c r="TE3" s="400" t="s">
        <v>675</v>
      </c>
      <c r="TF3" s="401"/>
      <c r="TG3" s="402"/>
      <c r="VW3" s="219"/>
      <c r="VX3" s="400" t="s">
        <v>745</v>
      </c>
      <c r="VY3" s="401"/>
      <c r="VZ3" s="402"/>
      <c r="WA3" s="219"/>
      <c r="WB3" s="219"/>
      <c r="WC3" s="219"/>
      <c r="WD3" s="219"/>
      <c r="WE3" s="219"/>
      <c r="WF3" s="219"/>
      <c r="WG3" s="219"/>
      <c r="WH3" s="219"/>
      <c r="WI3" s="219"/>
      <c r="WJ3" s="219"/>
      <c r="WK3" s="219"/>
      <c r="WL3" s="219"/>
      <c r="WM3" s="219"/>
      <c r="WN3" s="219"/>
      <c r="WO3" s="219"/>
      <c r="WP3" s="219"/>
      <c r="WQ3" s="219"/>
      <c r="WR3" s="219"/>
      <c r="WS3" s="400" t="s">
        <v>676</v>
      </c>
      <c r="WT3" s="401"/>
      <c r="WU3" s="402"/>
      <c r="WV3" s="219"/>
      <c r="WW3" s="219"/>
      <c r="WX3" s="219"/>
      <c r="WY3" s="219"/>
      <c r="WZ3" s="219"/>
      <c r="AAH3" s="218"/>
      <c r="AAI3" s="218"/>
      <c r="AAJ3" s="218"/>
      <c r="AAK3" s="218"/>
      <c r="AAL3" s="218"/>
      <c r="AAM3" s="218"/>
      <c r="AAN3" s="218"/>
      <c r="AAO3" s="218"/>
      <c r="AAP3" s="218"/>
      <c r="AAQ3" s="218"/>
      <c r="AAR3" s="218"/>
      <c r="AAS3" s="218"/>
      <c r="AAT3" s="218"/>
      <c r="AAU3" s="218"/>
      <c r="AAV3" s="218"/>
      <c r="AAW3" s="218"/>
      <c r="AAX3" s="218"/>
      <c r="AAY3" s="218"/>
      <c r="AAZ3" s="218"/>
      <c r="ABA3" s="218"/>
      <c r="ABB3" s="218"/>
      <c r="ABC3" s="218"/>
      <c r="ABD3" s="218"/>
      <c r="ABE3" s="218"/>
      <c r="ABF3" s="218"/>
      <c r="ABG3" s="218"/>
      <c r="ABH3" s="218"/>
      <c r="ABI3" s="218"/>
      <c r="ABJ3" s="218"/>
      <c r="ABK3" s="218"/>
      <c r="ABL3" s="218"/>
      <c r="ABM3" s="218"/>
      <c r="ABN3" s="218"/>
      <c r="ABO3" s="218"/>
      <c r="ABP3" s="218"/>
      <c r="ABQ3" s="218"/>
      <c r="ABR3" s="218"/>
      <c r="ABS3" s="218"/>
      <c r="ABT3" s="218"/>
      <c r="ABU3" s="218"/>
      <c r="ABV3" s="218"/>
      <c r="ABW3" s="218"/>
      <c r="ABX3" s="218"/>
      <c r="ABY3" s="218"/>
      <c r="ABZ3" s="218"/>
      <c r="ACA3" s="218"/>
      <c r="ACB3" s="218"/>
      <c r="ACC3" s="218"/>
      <c r="ACD3" s="218"/>
      <c r="ACE3" s="218"/>
      <c r="ACF3" s="218"/>
      <c r="ACG3" s="218"/>
      <c r="ACH3" s="218"/>
      <c r="ACI3" s="218"/>
      <c r="ACJ3" s="218"/>
      <c r="ACK3" s="218"/>
      <c r="ACL3" s="218"/>
      <c r="ACM3" s="218"/>
      <c r="ACN3" s="218"/>
      <c r="ACO3" s="218"/>
      <c r="ACP3" s="218"/>
      <c r="ACQ3" s="218"/>
      <c r="ACR3" s="218"/>
      <c r="ACS3" s="218"/>
      <c r="ACT3" s="218"/>
      <c r="ACU3" s="218"/>
      <c r="ACV3" s="218"/>
      <c r="ACW3" s="218"/>
      <c r="ACX3" s="218"/>
      <c r="ACY3" s="218"/>
      <c r="ACZ3" s="218"/>
      <c r="ADA3" s="218"/>
      <c r="ADB3" s="218"/>
      <c r="ADC3" s="218"/>
      <c r="ADD3" s="218"/>
      <c r="ADE3" s="218"/>
      <c r="ADF3" s="218"/>
      <c r="ADG3" s="218"/>
      <c r="ADH3" s="218"/>
      <c r="ADI3" s="218"/>
      <c r="ADJ3" s="218"/>
      <c r="ADK3" s="218"/>
      <c r="ADL3" s="218"/>
      <c r="ADM3" s="218"/>
      <c r="ADN3" s="218"/>
      <c r="ADO3" s="218"/>
      <c r="ADP3" s="218"/>
      <c r="ADQ3" s="218"/>
      <c r="ADR3" s="218"/>
      <c r="ADS3" s="218"/>
      <c r="ADT3" s="218"/>
      <c r="ADU3" s="218"/>
      <c r="ADV3" s="218"/>
      <c r="ADW3" s="218"/>
      <c r="ADX3" s="218"/>
      <c r="ADY3" s="218"/>
      <c r="ADZ3" s="218"/>
      <c r="AEA3" s="218"/>
      <c r="AEB3" s="218"/>
      <c r="AEC3" s="218"/>
      <c r="AED3" s="218"/>
      <c r="AEE3" s="218"/>
      <c r="AEF3" s="218"/>
      <c r="AEG3" s="218"/>
      <c r="AEH3" s="218"/>
      <c r="AEI3" s="218"/>
      <c r="AEJ3" s="218"/>
      <c r="AEK3" s="218"/>
      <c r="AEL3" s="218"/>
      <c r="AEM3" s="218"/>
      <c r="AEN3" s="218"/>
      <c r="AEO3" s="218"/>
      <c r="AEP3" s="218"/>
      <c r="AEQ3" s="218"/>
      <c r="AER3" s="218"/>
      <c r="AES3" s="218"/>
      <c r="AET3" s="218"/>
      <c r="AEU3" s="218"/>
      <c r="AEV3" s="218"/>
      <c r="AEW3" s="218"/>
      <c r="AEX3" s="218"/>
      <c r="AEY3" s="218"/>
      <c r="AEZ3" s="218"/>
      <c r="AFA3" s="218"/>
      <c r="AFB3" s="218"/>
      <c r="AFC3" s="218"/>
      <c r="AFD3" s="218"/>
      <c r="AFE3" s="218"/>
      <c r="AFF3" s="218"/>
      <c r="AFG3" s="218"/>
      <c r="AFH3" s="218"/>
      <c r="AFI3" s="218"/>
      <c r="AFJ3" s="218"/>
      <c r="AFK3" s="218"/>
      <c r="AFL3" s="218"/>
      <c r="AFM3" s="218"/>
      <c r="AFN3" s="218"/>
      <c r="AFO3" s="218"/>
      <c r="AFP3" s="218"/>
      <c r="AFQ3" s="218"/>
      <c r="AFR3" s="218"/>
      <c r="AFS3" s="218"/>
      <c r="AFT3" s="218"/>
      <c r="AFU3" s="218"/>
      <c r="AFV3" s="218"/>
      <c r="AFW3" s="218"/>
      <c r="AFX3" s="218"/>
      <c r="AFY3" s="218"/>
      <c r="AFZ3" s="218"/>
      <c r="AGA3" s="218"/>
      <c r="AGB3" s="218"/>
      <c r="AGC3" s="218"/>
      <c r="AGD3" s="218"/>
      <c r="AGE3" s="218"/>
      <c r="AGF3" s="218"/>
      <c r="AGG3" s="218"/>
      <c r="AGH3" s="218"/>
      <c r="AGI3" s="218"/>
      <c r="AGJ3" s="218"/>
      <c r="AGK3" s="218"/>
      <c r="AGL3" s="218"/>
      <c r="AGM3" s="218"/>
      <c r="AGN3" s="218"/>
      <c r="AGO3" s="218"/>
      <c r="AGP3" s="218"/>
      <c r="AGQ3" s="218"/>
      <c r="AGR3" s="218"/>
      <c r="AGS3" s="218"/>
      <c r="AGT3" s="218"/>
      <c r="AGU3" s="218"/>
      <c r="AGV3" s="218"/>
      <c r="AGW3" s="218"/>
      <c r="AGX3" s="218"/>
      <c r="AGY3" s="218"/>
      <c r="AGZ3" s="218"/>
      <c r="AHA3" s="218"/>
      <c r="AHB3" s="218"/>
      <c r="AHC3" s="218"/>
      <c r="AHD3" s="218"/>
      <c r="AHE3" s="218"/>
      <c r="AHF3" s="218"/>
      <c r="AHG3" s="218"/>
      <c r="AHH3" s="218"/>
      <c r="AHI3" s="218"/>
      <c r="AHJ3" s="218"/>
      <c r="AHK3" s="218"/>
      <c r="AHL3" s="218"/>
      <c r="AHM3" s="218"/>
      <c r="AHN3" s="218"/>
      <c r="AHO3" s="218"/>
      <c r="AHP3" s="218"/>
      <c r="AHQ3" s="218"/>
      <c r="AHR3" s="218"/>
      <c r="AHS3" s="218"/>
      <c r="AHT3" s="218"/>
      <c r="AHU3" s="218"/>
      <c r="AHV3" s="218"/>
      <c r="AHW3" s="218"/>
      <c r="AHX3" s="218"/>
      <c r="AHY3" s="218"/>
      <c r="AHZ3" s="198"/>
      <c r="AIA3" s="198"/>
      <c r="AIB3" s="198"/>
      <c r="AIC3" s="198"/>
      <c r="AID3" s="198"/>
      <c r="AIE3" s="198"/>
      <c r="AIF3" s="198"/>
      <c r="AIG3" s="198"/>
      <c r="AIH3" s="198"/>
      <c r="AII3" s="198"/>
      <c r="AIJ3" s="198"/>
      <c r="AIK3" s="198"/>
      <c r="AIL3" s="198"/>
      <c r="AIM3" s="198"/>
      <c r="AIN3" s="198"/>
      <c r="AIO3" s="198"/>
      <c r="AIP3" s="198"/>
      <c r="AIQ3" s="198"/>
      <c r="AIR3" s="198"/>
      <c r="AIS3" s="198"/>
      <c r="AIT3" s="198"/>
      <c r="AIU3" s="198"/>
      <c r="AIV3" s="198"/>
      <c r="AIW3" s="198"/>
      <c r="AIX3" s="198"/>
      <c r="AIY3" s="198"/>
      <c r="AIZ3" s="198"/>
      <c r="AJA3" s="198"/>
      <c r="AJB3" s="198"/>
      <c r="AJC3" s="198"/>
      <c r="AJD3" s="198"/>
      <c r="AJE3" s="198"/>
      <c r="AJF3" s="198"/>
      <c r="AJG3" s="198"/>
      <c r="AJH3" s="198"/>
      <c r="AJI3" s="198"/>
      <c r="AJJ3" s="198"/>
      <c r="AJK3" s="198"/>
      <c r="AJL3" s="198"/>
      <c r="AJM3" s="198"/>
      <c r="AJN3" s="198"/>
      <c r="AJO3" s="198"/>
      <c r="AJP3" s="198"/>
      <c r="AJQ3" s="198"/>
      <c r="AJR3" s="198"/>
      <c r="AJS3" s="198"/>
      <c r="AJT3" s="198"/>
      <c r="AJU3" s="198"/>
      <c r="AJV3" s="198"/>
      <c r="AJW3" s="198"/>
      <c r="AJX3" s="198"/>
      <c r="AJY3" s="198"/>
      <c r="AJZ3" s="198"/>
      <c r="AKA3" s="198"/>
      <c r="AKB3" s="198"/>
      <c r="AKC3" s="198"/>
      <c r="AKD3" s="198"/>
      <c r="AKE3" s="198"/>
      <c r="AKF3" s="198"/>
      <c r="AKG3" s="198"/>
      <c r="AKH3" s="198"/>
      <c r="AKI3" s="198"/>
      <c r="AKJ3" s="198"/>
      <c r="AKK3" s="198"/>
      <c r="AKL3" s="198"/>
      <c r="AKM3" s="198"/>
      <c r="AKN3" s="198"/>
      <c r="AKO3" s="198"/>
      <c r="AKP3" s="198"/>
      <c r="AKQ3" s="198"/>
      <c r="AKR3" s="218"/>
      <c r="AKS3" s="218"/>
      <c r="AKT3" s="218"/>
      <c r="AKU3" s="218"/>
      <c r="AKV3" s="218"/>
      <c r="AKW3" s="218"/>
      <c r="AKX3" s="218"/>
      <c r="AKY3" s="218"/>
      <c r="AKZ3" s="218"/>
      <c r="ALA3" s="218"/>
      <c r="ALB3" s="218"/>
      <c r="ALC3" s="218"/>
      <c r="ALD3" s="218"/>
      <c r="ALE3" s="218"/>
      <c r="ALF3" s="218"/>
      <c r="ALG3" s="218"/>
      <c r="ALH3" s="218"/>
      <c r="ALI3" s="218"/>
      <c r="ALJ3" s="218"/>
      <c r="ALK3" s="218"/>
      <c r="ALL3" s="218"/>
      <c r="ALM3" s="218"/>
      <c r="ALN3" s="218"/>
      <c r="ALO3" s="218"/>
      <c r="ALP3" s="218"/>
      <c r="ALQ3" s="218"/>
      <c r="ALR3" s="218"/>
      <c r="ALS3" s="218"/>
      <c r="ALT3" s="218"/>
      <c r="ALU3" s="198"/>
      <c r="ALV3" s="198"/>
      <c r="ALW3" s="198"/>
      <c r="ALX3" s="198"/>
      <c r="ALY3" s="198"/>
    </row>
    <row r="4" spans="1:1297" ht="104.1" customHeight="1" thickBot="1">
      <c r="A4" s="284" t="s">
        <v>681</v>
      </c>
      <c r="B4" s="285"/>
      <c r="YH4" s="329" t="s">
        <v>667</v>
      </c>
      <c r="YI4" s="330"/>
      <c r="YJ4" s="331"/>
      <c r="ZP4" s="329" t="s">
        <v>668</v>
      </c>
      <c r="ZQ4" s="331"/>
      <c r="ZS4" s="329" t="s">
        <v>670</v>
      </c>
      <c r="ZT4" s="330"/>
      <c r="ZU4" s="331"/>
      <c r="AEH4" s="332" t="s">
        <v>781</v>
      </c>
      <c r="AEI4" s="333"/>
      <c r="AEJ4" s="334"/>
      <c r="ALW4" s="335" t="s">
        <v>821</v>
      </c>
      <c r="ALX4" s="336"/>
      <c r="ALY4" s="337"/>
      <c r="AMO4" s="335" t="s">
        <v>820</v>
      </c>
      <c r="AMP4" s="336"/>
      <c r="AMQ4" s="337"/>
      <c r="APC4" s="335" t="s">
        <v>819</v>
      </c>
      <c r="APD4" s="336"/>
      <c r="APE4" s="337"/>
      <c r="APV4" s="335" t="s">
        <v>822</v>
      </c>
      <c r="APW4" s="336"/>
      <c r="APX4" s="337"/>
      <c r="AQF4" s="289" t="s">
        <v>823</v>
      </c>
      <c r="AQG4" s="290"/>
      <c r="AQH4" s="290"/>
      <c r="AQI4" s="291"/>
    </row>
    <row r="5" spans="1:1297" ht="104.1" customHeight="1" thickTop="1" thickBot="1">
      <c r="A5" s="60" t="s">
        <v>612</v>
      </c>
      <c r="B5" s="60" t="s">
        <v>759</v>
      </c>
      <c r="CB5" s="244" t="s">
        <v>142</v>
      </c>
      <c r="CC5" s="244"/>
      <c r="CD5" s="244"/>
      <c r="CE5" s="244"/>
      <c r="CF5" s="244"/>
      <c r="CG5" s="244"/>
      <c r="CH5" s="244"/>
      <c r="CI5" s="244"/>
      <c r="CJ5" s="244"/>
      <c r="CK5" s="244"/>
      <c r="CL5" s="244"/>
      <c r="CM5" s="244"/>
      <c r="CQ5" s="254" t="s">
        <v>147</v>
      </c>
      <c r="CR5" s="254"/>
      <c r="CS5" s="254"/>
      <c r="HL5" s="217"/>
      <c r="HM5" s="224" t="s">
        <v>826</v>
      </c>
      <c r="HN5" s="417" t="s">
        <v>827</v>
      </c>
      <c r="HO5" s="418"/>
      <c r="HP5" s="419"/>
      <c r="IU5" s="395" t="s">
        <v>782</v>
      </c>
      <c r="IV5" s="396"/>
      <c r="IW5" s="396"/>
      <c r="IX5" s="396"/>
      <c r="IY5" s="396"/>
      <c r="IZ5" s="396"/>
      <c r="JA5" s="396"/>
      <c r="JB5" s="396"/>
      <c r="JC5" s="396"/>
      <c r="JD5" s="396"/>
      <c r="JE5" s="396"/>
      <c r="JF5" s="396"/>
      <c r="JG5" s="396"/>
      <c r="JH5" s="396"/>
      <c r="JI5" s="396"/>
      <c r="JJ5" s="396"/>
      <c r="JK5" s="396"/>
      <c r="JL5" s="396"/>
      <c r="JM5" s="397"/>
      <c r="YA5" s="309" t="s">
        <v>797</v>
      </c>
      <c r="YB5" s="310"/>
      <c r="YC5" s="310"/>
      <c r="YD5" s="310"/>
      <c r="YE5" s="310"/>
      <c r="YF5" s="310"/>
      <c r="YG5" s="310"/>
      <c r="YH5" s="393"/>
    </row>
    <row r="6" spans="1:1297" s="223" customFormat="1" ht="116.4" customHeight="1" thickTop="1" thickBot="1">
      <c r="A6" s="206" t="s">
        <v>614</v>
      </c>
      <c r="B6" s="206" t="s">
        <v>760</v>
      </c>
      <c r="NX6" s="383" t="s">
        <v>831</v>
      </c>
      <c r="NY6" s="384"/>
      <c r="NZ6" s="384"/>
      <c r="OA6" s="384"/>
      <c r="OB6" s="384"/>
      <c r="OC6" s="384"/>
      <c r="OD6" s="384"/>
      <c r="OE6" s="384"/>
      <c r="OF6" s="384"/>
      <c r="OG6" s="384"/>
      <c r="OH6" s="384"/>
      <c r="OI6" s="384"/>
      <c r="OJ6" s="384"/>
      <c r="OK6" s="384"/>
      <c r="OL6" s="384"/>
      <c r="OM6" s="384"/>
      <c r="ON6" s="384"/>
      <c r="OO6" s="384"/>
      <c r="OP6" s="384"/>
      <c r="OQ6" s="384"/>
      <c r="OR6" s="384"/>
      <c r="OS6" s="384"/>
      <c r="OT6" s="384"/>
      <c r="OU6" s="384"/>
      <c r="OV6" s="384"/>
      <c r="OW6" s="384"/>
      <c r="OX6" s="384"/>
      <c r="OY6" s="384"/>
      <c r="OZ6" s="384"/>
      <c r="PA6" s="384"/>
      <c r="PB6" s="384"/>
      <c r="PC6" s="384"/>
      <c r="PD6" s="384"/>
      <c r="PE6" s="384"/>
      <c r="PF6" s="384"/>
      <c r="PG6" s="384"/>
      <c r="PH6" s="384"/>
      <c r="PI6" s="384"/>
      <c r="PJ6" s="384"/>
      <c r="PK6" s="385"/>
      <c r="PN6" s="362" t="s">
        <v>707</v>
      </c>
      <c r="PO6" s="363"/>
      <c r="PP6" s="363"/>
      <c r="PQ6" s="363"/>
      <c r="PR6" s="363"/>
      <c r="PS6" s="363"/>
      <c r="PT6" s="363"/>
      <c r="PU6" s="363"/>
      <c r="PV6" s="363"/>
      <c r="PW6" s="363"/>
      <c r="PX6" s="363"/>
      <c r="PY6" s="363"/>
      <c r="PZ6" s="363"/>
      <c r="QA6" s="363"/>
      <c r="QB6" s="363"/>
      <c r="QC6" s="322" t="s">
        <v>733</v>
      </c>
      <c r="QD6" s="323"/>
      <c r="QE6" s="323"/>
      <c r="QF6" s="323"/>
      <c r="QG6" s="323"/>
      <c r="QH6" s="323"/>
      <c r="QI6" s="323"/>
      <c r="QJ6" s="323"/>
      <c r="QK6" s="323"/>
      <c r="QL6" s="323"/>
      <c r="QM6" s="324"/>
      <c r="QP6" s="386" t="s">
        <v>708</v>
      </c>
      <c r="QQ6" s="387"/>
      <c r="QR6" s="387"/>
      <c r="QS6" s="387"/>
      <c r="QT6" s="387"/>
      <c r="QU6" s="387"/>
      <c r="QV6" s="387"/>
      <c r="QW6" s="387"/>
      <c r="QX6" s="387"/>
      <c r="QY6" s="387"/>
      <c r="QZ6" s="387"/>
      <c r="RA6" s="387"/>
      <c r="RB6" s="387"/>
      <c r="RC6" s="387"/>
      <c r="RD6" s="387"/>
      <c r="RE6" s="387"/>
      <c r="RF6" s="387"/>
      <c r="RG6" s="387"/>
      <c r="RH6" s="387"/>
      <c r="RI6" s="387"/>
      <c r="RJ6" s="387"/>
      <c r="RK6" s="387"/>
      <c r="RL6" s="388"/>
      <c r="RM6" s="366" t="s">
        <v>709</v>
      </c>
      <c r="RN6" s="367"/>
      <c r="RO6" s="367"/>
      <c r="RP6" s="367"/>
      <c r="RQ6" s="367"/>
      <c r="RR6" s="367"/>
      <c r="RS6" s="367"/>
      <c r="RT6" s="367"/>
      <c r="RU6" s="367"/>
      <c r="RV6" s="367"/>
      <c r="RW6" s="367"/>
      <c r="RX6" s="367"/>
      <c r="RY6" s="367"/>
      <c r="RZ6" s="367"/>
      <c r="SA6" s="368"/>
      <c r="SB6" s="369" t="s">
        <v>710</v>
      </c>
      <c r="SC6" s="370"/>
      <c r="SD6" s="370"/>
      <c r="SE6" s="370"/>
      <c r="SF6" s="389"/>
      <c r="SG6" s="390" t="s">
        <v>804</v>
      </c>
      <c r="SH6" s="391"/>
      <c r="SI6" s="391"/>
      <c r="SJ6" s="391"/>
      <c r="SK6" s="391"/>
      <c r="SL6" s="391"/>
      <c r="SM6" s="391"/>
      <c r="SN6" s="391"/>
      <c r="SO6" s="391"/>
      <c r="SP6" s="391"/>
      <c r="SQ6" s="391"/>
      <c r="SR6" s="391"/>
      <c r="SS6" s="391"/>
      <c r="ST6" s="391"/>
      <c r="SU6" s="391"/>
      <c r="SV6" s="391"/>
      <c r="SW6" s="391"/>
      <c r="SX6" s="391"/>
      <c r="SY6" s="391"/>
      <c r="SZ6" s="391"/>
      <c r="TA6" s="391"/>
      <c r="TB6" s="391"/>
      <c r="TC6" s="391"/>
      <c r="TD6" s="391"/>
      <c r="TE6" s="391"/>
      <c r="TF6" s="391"/>
      <c r="TG6" s="391"/>
      <c r="TH6" s="391"/>
      <c r="TI6" s="391"/>
      <c r="TJ6" s="391"/>
      <c r="TK6" s="391"/>
      <c r="TL6" s="391"/>
      <c r="TM6" s="391"/>
      <c r="TN6" s="391"/>
      <c r="TO6" s="391"/>
      <c r="TP6" s="391"/>
      <c r="TQ6" s="391"/>
      <c r="TR6" s="391"/>
      <c r="TS6" s="391"/>
      <c r="TT6" s="391"/>
      <c r="TU6" s="391"/>
      <c r="TV6" s="391"/>
      <c r="TW6" s="391"/>
      <c r="TX6" s="391"/>
      <c r="TY6" s="391"/>
      <c r="TZ6" s="391"/>
      <c r="UA6" s="391"/>
      <c r="UB6" s="391"/>
      <c r="UC6" s="391"/>
      <c r="UD6" s="391"/>
      <c r="UE6" s="391"/>
      <c r="UF6" s="392"/>
      <c r="UG6" s="322" t="s">
        <v>711</v>
      </c>
      <c r="UH6" s="323"/>
      <c r="UI6" s="323"/>
      <c r="UJ6" s="323"/>
      <c r="UK6" s="323"/>
      <c r="UL6" s="323"/>
      <c r="UM6" s="324"/>
      <c r="UN6" s="369" t="s">
        <v>712</v>
      </c>
      <c r="UO6" s="370"/>
      <c r="UP6" s="370"/>
      <c r="UQ6" s="370"/>
      <c r="UR6" s="389"/>
      <c r="US6" s="445" t="s">
        <v>713</v>
      </c>
      <c r="UT6" s="446"/>
      <c r="UU6" s="446"/>
      <c r="UV6" s="446"/>
      <c r="UW6" s="446"/>
      <c r="UX6" s="446"/>
      <c r="UY6" s="446"/>
      <c r="UZ6" s="446"/>
      <c r="VA6" s="446"/>
      <c r="VB6" s="446"/>
      <c r="VC6" s="446"/>
      <c r="VD6" s="446"/>
      <c r="VE6" s="446"/>
      <c r="VF6" s="447"/>
      <c r="VG6" s="445" t="s">
        <v>805</v>
      </c>
      <c r="VH6" s="446"/>
      <c r="VI6" s="446"/>
      <c r="VJ6" s="446"/>
      <c r="VK6" s="446"/>
      <c r="VL6" s="446"/>
      <c r="VM6" s="446"/>
      <c r="VN6" s="446"/>
      <c r="VO6" s="448" t="s">
        <v>830</v>
      </c>
      <c r="VP6" s="449"/>
      <c r="VQ6" s="449"/>
      <c r="VR6" s="449"/>
      <c r="VS6" s="449"/>
      <c r="VT6" s="449"/>
      <c r="VU6" s="450"/>
      <c r="VV6" s="445" t="s">
        <v>805</v>
      </c>
      <c r="VW6" s="446"/>
      <c r="VX6" s="446"/>
      <c r="VY6" s="446"/>
      <c r="VZ6" s="446"/>
      <c r="WA6" s="446"/>
      <c r="WB6" s="446"/>
      <c r="WC6" s="446"/>
      <c r="WD6" s="446"/>
      <c r="WE6" s="446"/>
      <c r="WF6" s="446"/>
      <c r="WG6" s="446"/>
      <c r="WH6" s="446"/>
      <c r="WI6" s="446"/>
      <c r="WJ6" s="446"/>
      <c r="WK6" s="446"/>
      <c r="WN6" s="451" t="s">
        <v>785</v>
      </c>
      <c r="WO6" s="451"/>
      <c r="WP6" s="451"/>
      <c r="WQ6" s="437" t="s">
        <v>714</v>
      </c>
      <c r="WR6" s="437"/>
      <c r="WS6" s="437"/>
      <c r="WT6" s="437"/>
      <c r="WU6" s="437"/>
      <c r="WV6" s="319" t="s">
        <v>717</v>
      </c>
      <c r="WW6" s="320"/>
      <c r="WX6" s="320"/>
      <c r="WY6" s="320"/>
      <c r="WZ6" s="320"/>
      <c r="XA6" s="320"/>
      <c r="XB6" s="320"/>
      <c r="XC6" s="320"/>
      <c r="XD6" s="320"/>
      <c r="XE6" s="320"/>
      <c r="XF6" s="320"/>
      <c r="XG6" s="320"/>
      <c r="XH6" s="320"/>
      <c r="XI6" s="320"/>
      <c r="XJ6" s="320"/>
      <c r="XK6" s="320"/>
      <c r="XL6" s="320"/>
      <c r="XM6" s="320"/>
      <c r="XN6" s="320"/>
      <c r="XO6" s="320"/>
      <c r="XP6" s="320"/>
      <c r="XQ6" s="320"/>
      <c r="XR6" s="319" t="s">
        <v>716</v>
      </c>
      <c r="XS6" s="320"/>
      <c r="XT6" s="320"/>
      <c r="XU6" s="320"/>
      <c r="XV6" s="320"/>
      <c r="XW6" s="452"/>
      <c r="XX6" s="452"/>
      <c r="XY6" s="452"/>
      <c r="XZ6" s="452"/>
      <c r="YA6" s="452"/>
      <c r="YB6" s="452"/>
      <c r="YC6" s="452"/>
      <c r="YD6" s="452"/>
      <c r="YE6" s="320"/>
      <c r="YF6" s="320"/>
      <c r="YG6" s="320"/>
      <c r="YH6" s="320"/>
      <c r="YI6" s="320"/>
      <c r="YJ6" s="320"/>
      <c r="YK6" s="320"/>
      <c r="YL6" s="320"/>
      <c r="YM6" s="320"/>
      <c r="YN6" s="320"/>
      <c r="YO6" s="452"/>
      <c r="YP6" s="452"/>
      <c r="YQ6" s="452"/>
      <c r="YR6" s="452"/>
      <c r="YS6" s="453" t="s">
        <v>731</v>
      </c>
      <c r="YT6" s="454"/>
      <c r="YU6" s="454"/>
      <c r="YV6" s="455"/>
      <c r="YY6" s="441" t="s">
        <v>796</v>
      </c>
      <c r="YZ6" s="442"/>
      <c r="ZA6" s="442"/>
      <c r="ZB6" s="442"/>
      <c r="ZC6" s="442"/>
      <c r="ZD6" s="442"/>
      <c r="ZE6" s="442"/>
      <c r="ZF6" s="442"/>
      <c r="ZG6" s="443"/>
      <c r="ZH6" s="443"/>
      <c r="ZI6" s="443"/>
      <c r="ZJ6" s="443"/>
      <c r="ZK6" s="443"/>
      <c r="ZL6" s="443"/>
      <c r="ZM6" s="443"/>
      <c r="ZN6" s="443"/>
      <c r="ZO6" s="443"/>
      <c r="ZP6" s="443"/>
      <c r="ZQ6" s="443"/>
      <c r="ZR6" s="443"/>
      <c r="ZS6" s="443"/>
      <c r="ZT6" s="443"/>
      <c r="ZU6" s="443"/>
      <c r="ZV6" s="443"/>
      <c r="ZW6" s="443"/>
      <c r="ZX6" s="443"/>
      <c r="ZY6" s="443"/>
      <c r="ZZ6" s="443"/>
      <c r="AAA6" s="443"/>
      <c r="AAB6" s="443"/>
      <c r="AAC6" s="443"/>
      <c r="AAD6" s="443"/>
      <c r="AAE6" s="443"/>
      <c r="AAF6" s="443"/>
      <c r="AAG6" s="443"/>
      <c r="AAH6" s="443"/>
      <c r="AAI6" s="443"/>
      <c r="AAJ6" s="443"/>
      <c r="AAK6" s="443"/>
      <c r="AAL6" s="443"/>
      <c r="AAM6" s="443"/>
      <c r="AAN6" s="443"/>
      <c r="AAO6" s="443"/>
      <c r="AAP6" s="443"/>
      <c r="AAQ6" s="444"/>
      <c r="AAR6" s="438" t="s">
        <v>836</v>
      </c>
      <c r="AAS6" s="439"/>
      <c r="AAT6" s="439"/>
      <c r="AAU6" s="439"/>
      <c r="AAV6" s="439"/>
      <c r="AAW6" s="439"/>
      <c r="AAX6" s="439"/>
      <c r="AAY6" s="440"/>
      <c r="AAZ6" s="432" t="s">
        <v>715</v>
      </c>
      <c r="ABA6" s="433"/>
      <c r="ABB6" s="433"/>
      <c r="ABC6" s="433"/>
      <c r="ABD6" s="433"/>
      <c r="ABE6" s="433"/>
      <c r="ABF6" s="434" t="s">
        <v>795</v>
      </c>
      <c r="ABG6" s="435"/>
      <c r="ABH6" s="435"/>
      <c r="ABI6" s="435"/>
      <c r="ABJ6" s="435"/>
      <c r="ABK6" s="436"/>
    </row>
    <row r="7" spans="1:1297" ht="104.1" customHeight="1" thickTop="1" thickBot="1">
      <c r="A7" s="206" t="s">
        <v>614</v>
      </c>
      <c r="B7" s="206" t="s">
        <v>761</v>
      </c>
      <c r="MV7" s="383" t="s">
        <v>831</v>
      </c>
      <c r="MW7" s="384"/>
      <c r="MX7" s="384"/>
      <c r="MY7" s="384"/>
      <c r="MZ7" s="384"/>
      <c r="NA7" s="384"/>
      <c r="NB7" s="384"/>
      <c r="NC7" s="384"/>
      <c r="ND7" s="384"/>
      <c r="NE7" s="384"/>
      <c r="NF7" s="384"/>
      <c r="NG7" s="384"/>
      <c r="NH7" s="384"/>
      <c r="NI7" s="384"/>
      <c r="NJ7" s="384"/>
      <c r="NK7" s="384"/>
      <c r="NL7" s="384"/>
      <c r="NM7" s="384"/>
      <c r="NN7" s="384"/>
      <c r="NO7" s="384"/>
      <c r="NP7" s="384"/>
      <c r="NQ7" s="384"/>
      <c r="NR7" s="384"/>
      <c r="NS7" s="384"/>
      <c r="NT7" s="384"/>
      <c r="NU7" s="384"/>
      <c r="NV7" s="384"/>
      <c r="NW7" s="384"/>
      <c r="NX7" s="384"/>
      <c r="NY7" s="384"/>
      <c r="NZ7" s="384"/>
      <c r="OA7" s="384"/>
      <c r="OB7" s="384"/>
      <c r="OC7" s="384"/>
      <c r="OD7" s="384"/>
      <c r="OE7" s="423" t="s">
        <v>803</v>
      </c>
      <c r="OF7" s="423"/>
      <c r="OG7" s="423"/>
      <c r="OH7" s="423"/>
      <c r="OI7" s="423"/>
      <c r="OK7" s="424" t="s">
        <v>752</v>
      </c>
      <c r="OL7" s="425"/>
      <c r="OM7" s="425"/>
      <c r="ON7" s="425"/>
      <c r="OO7" s="425"/>
      <c r="OP7" s="425"/>
      <c r="OQ7" s="425"/>
      <c r="OR7" s="425"/>
      <c r="OS7" s="425"/>
      <c r="OT7" s="425"/>
      <c r="OU7" s="425"/>
      <c r="OV7" s="425"/>
      <c r="OW7" s="425"/>
      <c r="OX7" s="425"/>
      <c r="OY7" s="425"/>
      <c r="OZ7" s="425"/>
      <c r="PA7" s="425"/>
      <c r="PB7" s="425"/>
      <c r="PC7" s="425"/>
      <c r="PD7" s="425"/>
      <c r="PE7" s="425"/>
      <c r="PF7" s="425"/>
      <c r="PG7" s="425"/>
      <c r="PH7" s="425"/>
      <c r="PI7" s="425"/>
      <c r="PJ7" s="425"/>
      <c r="PK7" s="425"/>
      <c r="PL7" s="425"/>
      <c r="PM7" s="425"/>
      <c r="PN7" s="425"/>
      <c r="PO7" s="425"/>
      <c r="PP7" s="425"/>
      <c r="PQ7" s="425"/>
      <c r="PR7" s="425"/>
      <c r="PS7" s="425"/>
      <c r="PT7" s="425"/>
      <c r="PU7" s="425"/>
      <c r="PV7" s="425"/>
      <c r="PW7" s="425"/>
      <c r="PX7" s="425"/>
      <c r="PY7" s="425"/>
      <c r="PZ7" s="425"/>
      <c r="QA7" s="425"/>
      <c r="QB7" s="425"/>
      <c r="QC7" s="425"/>
      <c r="QD7" s="425"/>
      <c r="QE7" s="425"/>
      <c r="QF7" s="425"/>
      <c r="QG7" s="425"/>
      <c r="QH7" s="425"/>
      <c r="QI7" s="425"/>
      <c r="QJ7" s="425"/>
      <c r="QK7" s="425"/>
      <c r="QL7" s="425"/>
      <c r="QM7" s="425"/>
      <c r="QN7" s="425"/>
      <c r="QO7" s="425"/>
      <c r="QP7" s="425"/>
      <c r="QQ7" s="425"/>
      <c r="QR7" s="425"/>
      <c r="QS7" s="425"/>
      <c r="QT7" s="425"/>
      <c r="QU7" s="425"/>
      <c r="QV7" s="425"/>
      <c r="QW7" s="425"/>
      <c r="QX7" s="425"/>
      <c r="QY7" s="425"/>
      <c r="QZ7" s="425"/>
      <c r="RA7" s="425"/>
      <c r="RB7" s="425"/>
      <c r="RC7" s="425"/>
      <c r="RD7" s="425"/>
      <c r="RE7" s="425"/>
      <c r="RF7" s="426"/>
      <c r="RG7" s="427" t="s">
        <v>707</v>
      </c>
      <c r="RH7" s="428"/>
      <c r="RI7" s="428"/>
      <c r="RJ7" s="428"/>
      <c r="RK7" s="428"/>
      <c r="RL7" s="429"/>
      <c r="RM7" s="430" t="s">
        <v>722</v>
      </c>
      <c r="RN7" s="430"/>
      <c r="RO7" s="430"/>
      <c r="RP7" s="430"/>
      <c r="RQ7" s="430"/>
      <c r="RR7" s="430"/>
      <c r="RS7" s="430"/>
      <c r="RT7" s="430"/>
      <c r="RU7" s="366" t="s">
        <v>723</v>
      </c>
      <c r="RV7" s="367"/>
      <c r="RW7" s="367"/>
      <c r="RX7" s="367"/>
      <c r="RY7" s="367"/>
      <c r="RZ7" s="367"/>
      <c r="SA7" s="367"/>
      <c r="SB7" s="367"/>
      <c r="SC7" s="367"/>
      <c r="SD7" s="367"/>
      <c r="SE7" s="367"/>
      <c r="SF7" s="368"/>
      <c r="SG7" s="403" t="s">
        <v>606</v>
      </c>
      <c r="SH7" s="300"/>
      <c r="SI7" s="300"/>
      <c r="SJ7" s="300"/>
      <c r="SK7" s="300"/>
      <c r="SL7" s="300"/>
      <c r="SM7" s="300"/>
      <c r="SN7" s="431"/>
      <c r="SO7" s="403" t="s">
        <v>742</v>
      </c>
      <c r="SP7" s="300"/>
      <c r="SQ7" s="300"/>
      <c r="ST7" s="328" t="s">
        <v>784</v>
      </c>
      <c r="SU7" s="328"/>
      <c r="SV7" s="328"/>
      <c r="SW7" s="328"/>
      <c r="SX7" s="371" t="s">
        <v>806</v>
      </c>
      <c r="SY7" s="372"/>
      <c r="SZ7" s="372"/>
      <c r="TA7" s="372"/>
      <c r="TB7" s="373" t="s">
        <v>725</v>
      </c>
      <c r="TC7" s="374"/>
      <c r="TD7" s="374"/>
      <c r="TE7" s="374"/>
      <c r="TF7" s="374"/>
      <c r="TG7" s="374"/>
      <c r="TH7" s="374"/>
      <c r="TI7" s="374"/>
      <c r="TJ7" s="374"/>
      <c r="TK7" s="374"/>
      <c r="TL7" s="374"/>
      <c r="TM7" s="375"/>
      <c r="TN7" s="375"/>
      <c r="TO7" s="374"/>
      <c r="TP7" s="374"/>
      <c r="TQ7" s="376" t="s">
        <v>736</v>
      </c>
      <c r="TR7" s="304"/>
      <c r="TS7" s="304"/>
      <c r="TT7" s="304"/>
      <c r="TU7" s="304"/>
      <c r="TV7" s="304"/>
      <c r="TW7" s="304"/>
      <c r="TX7" s="305"/>
      <c r="TY7" s="377" t="s">
        <v>785</v>
      </c>
      <c r="TZ7" s="378"/>
      <c r="UA7" s="378"/>
      <c r="UB7" s="378"/>
      <c r="UC7" s="378"/>
      <c r="UD7" s="378"/>
      <c r="UE7" s="378"/>
      <c r="UF7" s="378"/>
      <c r="UG7" s="378"/>
      <c r="UH7" s="378"/>
      <c r="UI7" s="378"/>
      <c r="UJ7" s="378"/>
      <c r="UK7" s="378"/>
      <c r="UL7" s="378"/>
      <c r="UM7" s="378"/>
      <c r="UN7" s="379"/>
      <c r="UQ7" s="325" t="s">
        <v>724</v>
      </c>
      <c r="UR7" s="326"/>
      <c r="US7" s="326"/>
      <c r="UT7" s="326"/>
      <c r="UU7" s="326"/>
      <c r="UV7" s="326"/>
      <c r="UW7" s="326"/>
      <c r="UX7" s="326"/>
      <c r="UY7" s="326"/>
      <c r="UZ7" s="326"/>
      <c r="VA7" s="326"/>
      <c r="VB7" s="326"/>
      <c r="VC7" s="326"/>
      <c r="VD7" s="326"/>
      <c r="VE7" s="326"/>
      <c r="VF7" s="326"/>
      <c r="VG7" s="327"/>
      <c r="VH7" s="380" t="s">
        <v>727</v>
      </c>
      <c r="VI7" s="381"/>
      <c r="VJ7" s="381"/>
      <c r="VK7" s="381"/>
      <c r="VL7" s="381"/>
      <c r="VM7" s="381"/>
      <c r="VN7" s="381"/>
      <c r="VO7" s="381"/>
      <c r="VP7" s="380" t="s">
        <v>744</v>
      </c>
      <c r="VQ7" s="381"/>
      <c r="VR7" s="381"/>
      <c r="VS7" s="381"/>
      <c r="VT7" s="381"/>
      <c r="VU7" s="381"/>
      <c r="VV7" s="381"/>
      <c r="VW7" s="381"/>
      <c r="VX7" s="381"/>
      <c r="VY7" s="381"/>
      <c r="VZ7" s="381"/>
      <c r="WA7" s="381"/>
      <c r="WB7" s="381"/>
      <c r="WC7" s="380" t="s">
        <v>728</v>
      </c>
      <c r="WD7" s="381"/>
      <c r="WE7" s="381"/>
      <c r="WF7" s="381"/>
      <c r="WG7" s="381"/>
      <c r="WH7" s="381"/>
      <c r="WI7" s="381"/>
      <c r="WJ7" s="381"/>
      <c r="WK7" s="381"/>
      <c r="WL7" s="381"/>
      <c r="WM7" s="381"/>
      <c r="WN7" s="381"/>
      <c r="WO7" s="381"/>
      <c r="WP7" s="381"/>
      <c r="WQ7" s="381"/>
      <c r="WR7" s="381"/>
      <c r="WS7" s="381"/>
      <c r="WT7" s="381"/>
      <c r="WU7" s="381"/>
      <c r="WV7" s="381"/>
      <c r="WW7" s="381"/>
      <c r="WX7" s="381"/>
      <c r="WY7" s="381"/>
      <c r="WZ7" s="381"/>
      <c r="XA7" s="381"/>
      <c r="XB7" s="381"/>
      <c r="XC7" s="381"/>
      <c r="XD7" s="382"/>
      <c r="XE7" s="298" t="s">
        <v>729</v>
      </c>
      <c r="XF7" s="299"/>
      <c r="XG7" s="299"/>
      <c r="XH7" s="299"/>
      <c r="XI7" s="299"/>
      <c r="XJ7" s="299"/>
      <c r="XK7" s="299"/>
      <c r="XL7" s="299"/>
      <c r="XM7" s="299"/>
      <c r="XN7" s="300"/>
      <c r="XO7" s="300"/>
      <c r="XP7" s="300"/>
      <c r="XQ7" s="301" t="s">
        <v>829</v>
      </c>
      <c r="XR7" s="302"/>
      <c r="XS7" s="302"/>
      <c r="XT7" s="302"/>
      <c r="XU7" s="302"/>
      <c r="XV7" s="302"/>
      <c r="XW7" s="302"/>
      <c r="XX7" s="303"/>
      <c r="XZ7" s="403" t="s">
        <v>645</v>
      </c>
      <c r="YA7" s="300"/>
      <c r="YB7" s="300"/>
      <c r="YC7" s="300"/>
      <c r="YE7" s="309" t="s">
        <v>797</v>
      </c>
      <c r="YF7" s="310"/>
      <c r="YG7" s="310"/>
      <c r="YH7" s="310"/>
      <c r="YI7" s="310"/>
      <c r="YJ7" s="310"/>
      <c r="YK7" s="310"/>
      <c r="YL7" s="311"/>
      <c r="YO7" s="301" t="s">
        <v>809</v>
      </c>
      <c r="YP7" s="302"/>
      <c r="YQ7" s="302"/>
      <c r="YR7" s="302"/>
      <c r="YS7" s="302"/>
      <c r="YT7" s="302"/>
      <c r="YU7" s="302"/>
      <c r="YV7" s="302"/>
      <c r="YW7" s="302"/>
      <c r="YX7" s="302"/>
      <c r="YY7" s="302"/>
      <c r="YZ7" s="302"/>
      <c r="ZA7" s="302"/>
      <c r="ZB7" s="302"/>
      <c r="ZC7" s="302"/>
      <c r="ZD7" s="302"/>
      <c r="ZE7" s="302"/>
      <c r="ZF7" s="303"/>
      <c r="ZG7" s="312" t="s">
        <v>787</v>
      </c>
      <c r="ZH7" s="313"/>
      <c r="ZI7" s="313"/>
      <c r="ZJ7" s="313"/>
      <c r="ZK7" s="313"/>
      <c r="ZL7" s="313"/>
      <c r="ZM7" s="313"/>
      <c r="ZN7" s="313"/>
      <c r="ZO7" s="313"/>
      <c r="ZP7" s="313"/>
      <c r="ZQ7" s="313"/>
      <c r="ZR7" s="313"/>
      <c r="ZS7" s="313"/>
      <c r="ZT7" s="313"/>
      <c r="ZU7" s="314"/>
      <c r="ZV7" s="315" t="s">
        <v>640</v>
      </c>
      <c r="ZW7" s="316"/>
      <c r="ZX7" s="316"/>
      <c r="ZY7" s="316"/>
      <c r="ZZ7" s="316"/>
      <c r="AAA7" s="316"/>
      <c r="AAB7" s="316"/>
      <c r="AAC7" s="316"/>
      <c r="AAD7" s="316"/>
      <c r="AAE7" s="316"/>
      <c r="AAF7" s="316"/>
      <c r="AAG7" s="316"/>
      <c r="AAH7" s="316"/>
      <c r="AAI7" s="316"/>
      <c r="AAJ7" s="316"/>
      <c r="AAK7" s="316"/>
      <c r="AAL7" s="316"/>
      <c r="AAM7" s="307"/>
      <c r="AAN7" s="307"/>
      <c r="AAO7" s="307"/>
      <c r="AAP7" s="307"/>
      <c r="AAQ7" s="307"/>
      <c r="AAR7" s="307"/>
      <c r="AAS7" s="307"/>
      <c r="AAT7" s="307"/>
      <c r="AAU7" s="307"/>
      <c r="AAV7" s="307"/>
      <c r="AAW7" s="307"/>
      <c r="AAX7" s="307"/>
      <c r="AAY7" s="307"/>
      <c r="AAZ7" s="307"/>
      <c r="ABA7" s="307"/>
      <c r="ABB7" s="307"/>
      <c r="ABC7" s="307"/>
      <c r="ABD7" s="307"/>
      <c r="ABE7" s="307"/>
      <c r="ABF7" s="307"/>
      <c r="ABG7" s="307"/>
      <c r="ABH7" s="307"/>
      <c r="ABI7" s="307"/>
      <c r="ABJ7" s="307"/>
      <c r="ABK7" s="307"/>
      <c r="ABL7" s="307"/>
      <c r="ABM7" s="307"/>
      <c r="ABN7" s="307"/>
      <c r="ABO7" s="307"/>
      <c r="ABP7" s="307"/>
      <c r="ABQ7" s="307"/>
      <c r="ABR7" s="307"/>
      <c r="ABS7" s="307"/>
      <c r="ABT7" s="308"/>
      <c r="ABU7" s="317" t="s">
        <v>788</v>
      </c>
      <c r="ABV7" s="317"/>
      <c r="ABW7" s="317"/>
      <c r="ABX7" s="317"/>
      <c r="ABY7" s="317"/>
      <c r="ABZ7" s="317"/>
      <c r="ACA7" s="317"/>
      <c r="ACB7" s="317"/>
      <c r="ACC7" s="317"/>
      <c r="ACD7" s="317"/>
      <c r="ACE7" s="317"/>
      <c r="ACF7" s="317"/>
      <c r="ACG7" s="317"/>
      <c r="ACH7" s="317"/>
      <c r="ACI7" s="317"/>
      <c r="ACJ7" s="317"/>
      <c r="ACK7" s="317"/>
      <c r="ACL7" s="318"/>
      <c r="ACM7" s="319" t="s">
        <v>726</v>
      </c>
      <c r="ACN7" s="320"/>
      <c r="ACO7" s="320"/>
      <c r="ACP7" s="320"/>
      <c r="ACQ7" s="320"/>
      <c r="ACR7" s="320"/>
      <c r="ACS7" s="320"/>
      <c r="ACT7" s="320"/>
      <c r="ACU7" s="320"/>
      <c r="ACV7" s="321"/>
      <c r="ACW7" s="322" t="s">
        <v>791</v>
      </c>
      <c r="ACX7" s="323"/>
      <c r="ACY7" s="323"/>
      <c r="ACZ7" s="323"/>
      <c r="ADA7" s="323"/>
      <c r="ADB7" s="323"/>
      <c r="ADC7" s="323"/>
      <c r="ADD7" s="324"/>
      <c r="ADG7" s="325" t="s">
        <v>747</v>
      </c>
      <c r="ADH7" s="326"/>
      <c r="ADI7" s="326"/>
      <c r="ADJ7" s="326"/>
      <c r="ADK7" s="326"/>
      <c r="ADL7" s="326"/>
      <c r="ADM7" s="326"/>
      <c r="ADN7" s="327"/>
      <c r="AEL7" s="355" t="s">
        <v>832</v>
      </c>
      <c r="AEM7" s="355"/>
      <c r="AEN7" s="355"/>
      <c r="AEO7" s="355"/>
      <c r="AEP7" s="355"/>
      <c r="AEQ7" s="355"/>
      <c r="AER7" s="356"/>
      <c r="AES7" s="356"/>
      <c r="AET7" s="356"/>
      <c r="AEU7" s="356"/>
      <c r="AEV7" s="356"/>
      <c r="AEW7" s="356"/>
      <c r="AEX7" s="356"/>
      <c r="AEY7" s="356"/>
      <c r="AEZ7" s="356"/>
      <c r="AFA7" s="356"/>
      <c r="AFB7" s="356"/>
      <c r="AFC7" s="356"/>
      <c r="AFD7" s="356"/>
      <c r="AFE7" s="356"/>
      <c r="AFF7" s="356"/>
      <c r="AFG7" s="356"/>
      <c r="AFH7" s="356"/>
      <c r="AFI7" s="356"/>
      <c r="AFJ7" s="356"/>
      <c r="AFK7" s="356"/>
      <c r="AFL7" s="356"/>
      <c r="AFM7" s="356"/>
      <c r="AFN7" s="356"/>
      <c r="AFO7" s="356"/>
      <c r="AFP7" s="356"/>
      <c r="AFQ7" s="356"/>
      <c r="AFR7" s="356"/>
      <c r="AFS7" s="356"/>
      <c r="AFT7" s="356"/>
      <c r="AFU7" s="356"/>
      <c r="AFV7" s="356"/>
      <c r="AFW7" s="356"/>
      <c r="AFX7" s="356"/>
      <c r="AFY7" s="356"/>
      <c r="AFZ7" s="356"/>
      <c r="AGA7" s="356"/>
      <c r="AGB7" s="356"/>
      <c r="AGC7" s="356"/>
      <c r="AGD7" s="356"/>
      <c r="AGE7" s="356"/>
      <c r="AGF7" s="356"/>
      <c r="AGG7" s="356"/>
      <c r="AGH7" s="356"/>
      <c r="AGI7" s="356"/>
      <c r="AGJ7" s="356"/>
      <c r="AGK7" s="356"/>
      <c r="AGL7" s="356"/>
      <c r="AGM7" s="356"/>
      <c r="AGN7" s="356"/>
      <c r="AGO7" s="356"/>
      <c r="AGP7" s="356"/>
      <c r="AGQ7" s="356"/>
      <c r="AGR7" s="356"/>
      <c r="AGS7" s="356"/>
      <c r="AGT7" s="356"/>
      <c r="AGU7" s="356"/>
      <c r="AGV7" s="356"/>
      <c r="AGW7" s="356"/>
      <c r="AGX7" s="356"/>
      <c r="AGY7" s="356"/>
      <c r="AGZ7" s="356"/>
      <c r="AHA7" s="356"/>
      <c r="AHB7" s="356"/>
      <c r="AHC7" s="356"/>
      <c r="AHD7" s="356"/>
      <c r="AHE7" s="356"/>
      <c r="AHF7" s="356"/>
      <c r="AHG7" s="356"/>
      <c r="AHH7" s="356"/>
      <c r="AHI7" s="356"/>
      <c r="AHJ7" s="356"/>
      <c r="AHK7" s="356"/>
      <c r="AHL7" s="356"/>
      <c r="AHM7" s="356"/>
      <c r="AHN7" s="356"/>
      <c r="AHO7" s="356"/>
      <c r="AHP7" s="356"/>
      <c r="AHQ7" s="356"/>
      <c r="AHR7" s="356"/>
      <c r="AHS7" s="356"/>
      <c r="AHT7" s="356"/>
      <c r="AHU7" s="356"/>
      <c r="AHV7" s="356"/>
      <c r="AHW7" s="356"/>
      <c r="AHX7" s="356"/>
      <c r="AHY7" s="356"/>
      <c r="AHZ7" s="356"/>
      <c r="AIA7" s="356"/>
      <c r="AIB7" s="356"/>
      <c r="AIC7" s="356"/>
      <c r="AID7" s="356"/>
      <c r="AIE7" s="356"/>
      <c r="AIF7" s="356"/>
      <c r="AIG7" s="356"/>
      <c r="AIH7" s="356"/>
      <c r="AII7" s="356"/>
      <c r="AIJ7" s="356"/>
      <c r="AIK7" s="356"/>
      <c r="AIL7" s="356"/>
      <c r="AIM7" s="356"/>
      <c r="AIN7" s="356"/>
      <c r="AIO7" s="356"/>
      <c r="AIP7" s="356"/>
      <c r="AIQ7" s="356"/>
      <c r="AIR7" s="356"/>
      <c r="AIS7" s="356"/>
      <c r="AIT7" s="356"/>
      <c r="AIU7" s="356"/>
      <c r="AIV7" s="356"/>
      <c r="AIW7" s="356"/>
      <c r="AIX7" s="356"/>
      <c r="AIY7" s="356"/>
      <c r="AIZ7" s="356"/>
      <c r="AJA7" s="356"/>
      <c r="AJB7" s="356"/>
      <c r="AJC7" s="356"/>
      <c r="AJD7" s="356"/>
      <c r="AJE7" s="356"/>
      <c r="AJF7" s="356"/>
      <c r="AJG7" s="356"/>
      <c r="AJH7" s="356"/>
      <c r="AJI7" s="356"/>
      <c r="AJJ7" s="356"/>
      <c r="AJK7" s="356"/>
      <c r="AJL7" s="356"/>
      <c r="AJM7" s="356"/>
      <c r="AJN7" s="356"/>
      <c r="AJO7" s="356"/>
      <c r="AJP7" s="356"/>
      <c r="AJQ7" s="356"/>
      <c r="AJR7" s="356"/>
      <c r="AJS7" s="356"/>
      <c r="AJT7" s="356"/>
      <c r="AJU7" s="356"/>
      <c r="AJV7" s="356"/>
    </row>
    <row r="8" spans="1:1297" ht="104.1" customHeight="1" thickTop="1" thickBot="1">
      <c r="A8" s="206" t="s">
        <v>614</v>
      </c>
      <c r="B8" s="206" t="s">
        <v>792</v>
      </c>
      <c r="NJ8" s="383" t="s">
        <v>831</v>
      </c>
      <c r="NK8" s="384"/>
      <c r="NL8" s="384"/>
      <c r="NM8" s="384"/>
      <c r="NN8" s="384"/>
      <c r="NO8" s="384"/>
      <c r="NP8" s="384"/>
      <c r="NQ8" s="384"/>
      <c r="NR8" s="384"/>
      <c r="NS8" s="384"/>
      <c r="NT8" s="384"/>
      <c r="NU8" s="384"/>
      <c r="NV8" s="384"/>
      <c r="NW8" s="384"/>
      <c r="NX8" s="384"/>
      <c r="NY8" s="384"/>
      <c r="NZ8" s="384"/>
      <c r="OA8" s="384"/>
      <c r="OB8" s="384"/>
      <c r="OC8" s="384"/>
      <c r="OD8" s="384"/>
      <c r="OE8" s="384"/>
      <c r="OF8" s="384"/>
      <c r="OG8" s="384"/>
      <c r="OH8" s="384"/>
      <c r="OI8" s="384"/>
      <c r="OJ8" s="384"/>
      <c r="OK8" s="384"/>
      <c r="OL8" s="384"/>
      <c r="OM8" s="384"/>
      <c r="ON8" s="384"/>
      <c r="OO8" s="384"/>
      <c r="OP8" s="384"/>
      <c r="OQ8" s="384"/>
      <c r="OR8" s="384"/>
      <c r="OS8" s="423" t="s">
        <v>803</v>
      </c>
      <c r="OT8" s="423"/>
      <c r="OU8" s="423"/>
      <c r="OV8" s="423"/>
      <c r="OW8" s="423"/>
      <c r="OY8" s="424" t="s">
        <v>752</v>
      </c>
      <c r="OZ8" s="425"/>
      <c r="PA8" s="425"/>
      <c r="PB8" s="425"/>
      <c r="PC8" s="425"/>
      <c r="PD8" s="425"/>
      <c r="PE8" s="425"/>
      <c r="PF8" s="425"/>
      <c r="PG8" s="425"/>
      <c r="PH8" s="425"/>
      <c r="PI8" s="425"/>
      <c r="PJ8" s="425"/>
      <c r="PK8" s="425"/>
      <c r="PL8" s="425"/>
      <c r="PM8" s="425"/>
      <c r="PN8" s="425"/>
      <c r="PO8" s="425"/>
      <c r="PP8" s="425"/>
      <c r="PQ8" s="425"/>
      <c r="PR8" s="425"/>
      <c r="PS8" s="425"/>
      <c r="PT8" s="425"/>
      <c r="PU8" s="425"/>
      <c r="PV8" s="425"/>
      <c r="PW8" s="425"/>
      <c r="PX8" s="425"/>
      <c r="PY8" s="425"/>
      <c r="PZ8" s="425"/>
      <c r="QA8" s="425"/>
      <c r="QB8" s="425"/>
      <c r="QC8" s="425"/>
      <c r="QD8" s="425"/>
      <c r="QE8" s="425"/>
      <c r="QF8" s="425"/>
      <c r="QG8" s="425"/>
      <c r="QH8" s="425"/>
      <c r="QI8" s="425"/>
      <c r="QJ8" s="425"/>
      <c r="QK8" s="425"/>
      <c r="QL8" s="425"/>
      <c r="QM8" s="425"/>
      <c r="QN8" s="425"/>
      <c r="QO8" s="425"/>
      <c r="QP8" s="425"/>
      <c r="QQ8" s="425"/>
      <c r="QR8" s="425"/>
      <c r="QS8" s="425"/>
      <c r="QT8" s="425"/>
      <c r="QU8" s="425"/>
      <c r="QV8" s="425"/>
      <c r="QW8" s="425"/>
      <c r="QX8" s="425"/>
      <c r="QY8" s="425"/>
      <c r="QZ8" s="425"/>
      <c r="RA8" s="425"/>
      <c r="RB8" s="425"/>
      <c r="RC8" s="425"/>
      <c r="RD8" s="425"/>
      <c r="RE8" s="425"/>
      <c r="RF8" s="425"/>
      <c r="RG8" s="425"/>
      <c r="RH8" s="425"/>
      <c r="RI8" s="425"/>
      <c r="RJ8" s="425"/>
      <c r="RK8" s="425"/>
      <c r="RL8" s="425"/>
      <c r="RM8" s="425"/>
      <c r="RN8" s="425"/>
      <c r="RO8" s="425"/>
      <c r="RP8" s="425"/>
      <c r="RQ8" s="425"/>
      <c r="RR8" s="425"/>
      <c r="RS8" s="425"/>
      <c r="RT8" s="425"/>
      <c r="RU8" s="426"/>
      <c r="RV8" s="427" t="s">
        <v>707</v>
      </c>
      <c r="RW8" s="428"/>
      <c r="RX8" s="428"/>
      <c r="RY8" s="428"/>
      <c r="RZ8" s="428"/>
      <c r="SA8" s="429"/>
      <c r="SB8" s="366" t="s">
        <v>807</v>
      </c>
      <c r="SC8" s="367"/>
      <c r="SD8" s="367"/>
      <c r="SE8" s="367"/>
      <c r="SF8" s="367"/>
      <c r="SG8" s="367"/>
      <c r="SH8" s="367"/>
      <c r="SI8" s="367"/>
      <c r="SJ8" s="367"/>
      <c r="SK8" s="367"/>
      <c r="SL8" s="367"/>
      <c r="SM8" s="367"/>
      <c r="SN8" s="367"/>
      <c r="SO8" s="367"/>
      <c r="SP8" s="367"/>
      <c r="SQ8" s="367"/>
      <c r="SR8" s="367"/>
      <c r="SS8" s="367"/>
      <c r="ST8" s="368"/>
      <c r="SU8" s="403" t="s">
        <v>606</v>
      </c>
      <c r="SV8" s="300"/>
      <c r="SW8" s="300"/>
      <c r="SX8" s="300"/>
      <c r="SY8" s="300"/>
      <c r="SZ8" s="300"/>
      <c r="TA8" s="300"/>
      <c r="TB8" s="300"/>
      <c r="TC8" s="404" t="s">
        <v>785</v>
      </c>
      <c r="TD8" s="405"/>
      <c r="TE8" s="405"/>
      <c r="TF8" s="405"/>
      <c r="TG8" s="405"/>
      <c r="TH8" s="405"/>
      <c r="TI8" s="405"/>
      <c r="TJ8" s="405"/>
      <c r="TK8" s="405"/>
      <c r="TL8" s="406"/>
      <c r="TO8" s="407" t="s">
        <v>725</v>
      </c>
      <c r="TP8" s="408"/>
      <c r="TQ8" s="408"/>
      <c r="TR8" s="408"/>
      <c r="TS8" s="408"/>
      <c r="TT8" s="409"/>
      <c r="TU8" s="409"/>
      <c r="TV8" s="409"/>
      <c r="TW8" s="409"/>
      <c r="TX8" s="409"/>
      <c r="TY8" s="409"/>
      <c r="TZ8" s="410"/>
      <c r="UD8" s="411" t="s">
        <v>724</v>
      </c>
      <c r="UE8" s="412"/>
      <c r="UF8" s="412"/>
      <c r="UG8" s="412"/>
      <c r="UH8" s="412"/>
      <c r="UI8" s="412"/>
      <c r="UJ8" s="412"/>
      <c r="UK8" s="412"/>
      <c r="UL8" s="412"/>
      <c r="UM8" s="412"/>
      <c r="UN8" s="413" t="s">
        <v>763</v>
      </c>
      <c r="UO8" s="414"/>
      <c r="UP8" s="414"/>
      <c r="UQ8" s="414"/>
      <c r="UR8" s="414"/>
      <c r="US8" s="414"/>
      <c r="UT8" s="414"/>
      <c r="UU8" s="414"/>
      <c r="UV8" s="414"/>
      <c r="UW8" s="414"/>
      <c r="UX8" s="414"/>
      <c r="UY8" s="414"/>
      <c r="UZ8" s="414"/>
      <c r="VA8" s="414"/>
      <c r="VB8" s="414"/>
      <c r="VC8" s="414"/>
      <c r="VD8" s="414"/>
      <c r="VE8" s="414"/>
      <c r="VF8" s="414"/>
      <c r="VG8" s="414"/>
      <c r="VH8" s="414"/>
      <c r="VI8" s="414"/>
      <c r="VJ8" s="414"/>
      <c r="VK8" s="414"/>
      <c r="VL8" s="414"/>
      <c r="VM8" s="414"/>
      <c r="VN8" s="414"/>
      <c r="VO8" s="414"/>
      <c r="VP8" s="414"/>
      <c r="VQ8" s="414"/>
      <c r="VR8" s="414"/>
      <c r="VS8" s="414"/>
      <c r="VT8" s="414"/>
      <c r="VU8" s="414"/>
      <c r="VV8" s="414"/>
      <c r="VW8" s="414"/>
      <c r="VX8" s="414"/>
      <c r="VY8" s="414"/>
      <c r="VZ8" s="414"/>
      <c r="WA8" s="414"/>
      <c r="WB8" s="414"/>
      <c r="WC8" s="414"/>
      <c r="WD8" s="414"/>
      <c r="WE8" s="414"/>
      <c r="WF8" s="414"/>
      <c r="WG8" s="414"/>
      <c r="WH8" s="414"/>
      <c r="WI8" s="414"/>
      <c r="WJ8" s="414"/>
      <c r="WK8" s="414"/>
      <c r="WL8" s="414"/>
      <c r="WM8" s="414"/>
      <c r="WN8" s="414"/>
      <c r="WO8" s="414"/>
      <c r="WP8" s="414"/>
      <c r="WQ8" s="414"/>
      <c r="WR8" s="414"/>
      <c r="WS8" s="414"/>
      <c r="WT8" s="414"/>
      <c r="WU8" s="414"/>
      <c r="WV8" s="414"/>
      <c r="WW8" s="414"/>
      <c r="WX8" s="414"/>
      <c r="WY8" s="395" t="s">
        <v>737</v>
      </c>
      <c r="WZ8" s="396"/>
      <c r="XA8" s="396"/>
      <c r="XB8" s="396"/>
      <c r="XC8" s="396"/>
      <c r="XD8" s="396"/>
      <c r="XE8" s="396"/>
      <c r="XF8" s="396"/>
      <c r="XG8" s="396"/>
      <c r="XH8" s="396"/>
      <c r="XI8" s="396"/>
      <c r="XJ8" s="396"/>
      <c r="XK8" s="396"/>
      <c r="XL8" s="396"/>
      <c r="XM8" s="397"/>
      <c r="XP8" s="286" t="s">
        <v>829</v>
      </c>
      <c r="XQ8" s="287"/>
      <c r="XR8" s="287"/>
      <c r="XS8" s="287"/>
      <c r="XT8" s="287"/>
      <c r="XU8" s="287"/>
      <c r="XV8" s="287"/>
      <c r="XW8" s="288"/>
      <c r="XX8" s="415" t="s">
        <v>737</v>
      </c>
      <c r="XY8" s="416"/>
      <c r="XZ8" s="416"/>
      <c r="YA8" s="416"/>
      <c r="YB8" s="416"/>
      <c r="YC8" s="416"/>
      <c r="YD8" s="416"/>
      <c r="YE8" s="416"/>
      <c r="YF8" s="416"/>
      <c r="YG8" s="416"/>
      <c r="YH8" s="416"/>
      <c r="YI8" s="416"/>
      <c r="YJ8" s="416"/>
      <c r="YK8" s="416"/>
      <c r="YL8" s="416"/>
      <c r="YM8" s="416"/>
      <c r="YN8" s="416"/>
      <c r="YO8" s="416"/>
      <c r="YP8" s="301" t="s">
        <v>809</v>
      </c>
      <c r="YQ8" s="302"/>
      <c r="YR8" s="302"/>
      <c r="YS8" s="302"/>
      <c r="YT8" s="302"/>
      <c r="YU8" s="302"/>
      <c r="YV8" s="302"/>
      <c r="YW8" s="302"/>
      <c r="YX8" s="302"/>
      <c r="YY8" s="302"/>
      <c r="YZ8" s="302"/>
      <c r="ZA8" s="302"/>
      <c r="ZB8" s="302"/>
      <c r="ZC8" s="302"/>
      <c r="ZD8" s="302"/>
      <c r="ZE8" s="302"/>
      <c r="ZF8" s="303"/>
      <c r="ZG8" s="304" t="s">
        <v>810</v>
      </c>
      <c r="ZH8" s="304"/>
      <c r="ZI8" s="304"/>
      <c r="ZJ8" s="304"/>
      <c r="ZK8" s="304"/>
      <c r="ZL8" s="304"/>
      <c r="ZM8" s="304"/>
      <c r="ZN8" s="305"/>
      <c r="ADG8" s="306" t="s">
        <v>798</v>
      </c>
      <c r="ADH8" s="307"/>
      <c r="ADI8" s="307"/>
      <c r="ADJ8" s="307"/>
      <c r="ADK8" s="307"/>
      <c r="ADL8" s="307"/>
      <c r="ADM8" s="307"/>
      <c r="ADN8" s="307"/>
      <c r="ADO8" s="307"/>
      <c r="ADP8" s="307"/>
      <c r="ADQ8" s="307"/>
      <c r="ADR8" s="307"/>
      <c r="ADS8" s="307"/>
      <c r="ADT8" s="307"/>
      <c r="ADU8" s="307"/>
      <c r="ADV8" s="307"/>
      <c r="ADW8" s="307"/>
      <c r="ADX8" s="307"/>
      <c r="ADY8" s="307"/>
      <c r="ADZ8" s="307"/>
      <c r="AEA8" s="307"/>
      <c r="AEB8" s="307"/>
      <c r="AEC8" s="307"/>
      <c r="AED8" s="307"/>
      <c r="AEE8" s="307"/>
      <c r="AEF8" s="307"/>
      <c r="AEG8" s="307"/>
      <c r="AEH8" s="307"/>
      <c r="AEI8" s="307"/>
      <c r="AEJ8" s="307"/>
      <c r="AEK8" s="307"/>
      <c r="AEL8" s="307"/>
      <c r="AEM8" s="307"/>
      <c r="AEN8" s="307"/>
      <c r="AEO8" s="307"/>
      <c r="AEP8" s="307"/>
      <c r="AEQ8" s="308"/>
    </row>
    <row r="9" spans="1:1297" ht="104.1" customHeight="1" thickTop="1" thickBot="1">
      <c r="A9" s="207" t="s">
        <v>614</v>
      </c>
      <c r="B9" s="207" t="s">
        <v>762</v>
      </c>
      <c r="AFD9" s="357" t="s">
        <v>834</v>
      </c>
      <c r="AFE9" s="358"/>
      <c r="AFF9" s="358"/>
      <c r="AFG9" s="358"/>
      <c r="AFH9" s="358"/>
      <c r="AFI9" s="358"/>
      <c r="AFJ9" s="358"/>
      <c r="AFK9" s="358"/>
      <c r="AFL9" s="358"/>
      <c r="AFM9" s="358"/>
      <c r="AFN9" s="358"/>
      <c r="AFO9" s="358"/>
      <c r="AFP9" s="358"/>
      <c r="AFQ9" s="358"/>
      <c r="AFR9" s="358"/>
      <c r="AFS9" s="358"/>
      <c r="AFT9" s="358"/>
      <c r="AFU9" s="358"/>
      <c r="AFV9" s="358"/>
      <c r="AFW9" s="358"/>
      <c r="AFX9" s="358"/>
      <c r="AFY9" s="358"/>
      <c r="AFZ9" s="358"/>
      <c r="AGA9" s="358"/>
      <c r="AGB9" s="358"/>
      <c r="AGC9" s="358"/>
      <c r="AGD9" s="358"/>
      <c r="AGE9" s="358"/>
      <c r="AGF9" s="358"/>
      <c r="AGG9" s="358"/>
      <c r="AGH9" s="358"/>
      <c r="AGI9" s="358"/>
      <c r="AGJ9" s="358"/>
      <c r="AGK9" s="358"/>
      <c r="AGL9" s="358"/>
      <c r="AGM9" s="358"/>
      <c r="AGN9" s="358"/>
      <c r="AGO9" s="358"/>
      <c r="AGP9" s="358"/>
      <c r="AGQ9" s="358"/>
      <c r="AGR9" s="358"/>
      <c r="AGS9" s="358"/>
      <c r="AGT9" s="358"/>
      <c r="AGU9" s="358"/>
      <c r="AGV9" s="358"/>
      <c r="AGW9" s="358"/>
      <c r="AGX9" s="358"/>
      <c r="AGY9" s="358"/>
      <c r="AGZ9" s="358"/>
      <c r="AHA9" s="358"/>
      <c r="AHB9" s="358"/>
      <c r="AHC9" s="358"/>
      <c r="AHD9" s="358"/>
      <c r="AHE9" s="358"/>
      <c r="AHF9" s="358"/>
      <c r="AHG9" s="358"/>
      <c r="AHH9" s="358"/>
      <c r="AHI9" s="358"/>
      <c r="AHJ9" s="358"/>
      <c r="AHK9" s="358"/>
      <c r="AHL9" s="359" t="s">
        <v>752</v>
      </c>
      <c r="AHM9" s="360"/>
      <c r="AHN9" s="360"/>
      <c r="AHO9" s="360"/>
      <c r="AHP9" s="360"/>
      <c r="AHQ9" s="360"/>
      <c r="AHR9" s="360"/>
      <c r="AHS9" s="360"/>
      <c r="AHT9" s="360"/>
      <c r="AHU9" s="360"/>
      <c r="AHV9" s="360"/>
      <c r="AHW9" s="360"/>
      <c r="AHX9" s="360"/>
      <c r="AHY9" s="360"/>
      <c r="AHZ9" s="360"/>
      <c r="AIA9" s="360"/>
      <c r="AIB9" s="360"/>
      <c r="AIC9" s="360"/>
      <c r="AID9" s="360"/>
      <c r="AIE9" s="360"/>
      <c r="AIF9" s="360"/>
      <c r="AIG9" s="360"/>
      <c r="AIH9" s="360"/>
      <c r="AII9" s="360"/>
      <c r="AIJ9" s="360"/>
      <c r="AIK9" s="360"/>
      <c r="AIL9" s="360"/>
      <c r="AIM9" s="360"/>
      <c r="AIN9" s="360"/>
      <c r="AIO9" s="360"/>
      <c r="AIP9" s="360"/>
      <c r="AIQ9" s="360"/>
      <c r="AIR9" s="360"/>
      <c r="AIS9" s="360"/>
      <c r="AIT9" s="360"/>
      <c r="AIU9" s="360"/>
      <c r="AIV9" s="360"/>
      <c r="AIW9" s="360"/>
      <c r="AIX9" s="360"/>
      <c r="AIY9" s="360"/>
      <c r="AIZ9" s="360"/>
      <c r="AJA9" s="360"/>
      <c r="AJB9" s="360"/>
      <c r="AJC9" s="360"/>
      <c r="AJD9" s="360"/>
      <c r="AJE9" s="360"/>
      <c r="AJF9" s="360"/>
      <c r="AJG9" s="360"/>
      <c r="AJH9" s="360"/>
      <c r="AJI9" s="360"/>
      <c r="AJJ9" s="360"/>
      <c r="AJK9" s="360"/>
      <c r="AJL9" s="360"/>
      <c r="AJM9" s="360"/>
      <c r="AJN9" s="360"/>
      <c r="AJO9" s="360"/>
      <c r="AJP9" s="360"/>
      <c r="AJQ9" s="360"/>
      <c r="AJR9" s="360"/>
      <c r="AJS9" s="360"/>
      <c r="AJT9" s="361"/>
      <c r="AJU9" s="362" t="s">
        <v>707</v>
      </c>
      <c r="AJV9" s="363"/>
      <c r="AJW9" s="363"/>
      <c r="AJX9" s="363"/>
      <c r="AJY9" s="363"/>
      <c r="AJZ9" s="363"/>
      <c r="AKA9" s="322" t="s">
        <v>811</v>
      </c>
      <c r="AKB9" s="323"/>
      <c r="AKC9" s="323"/>
      <c r="AKD9" s="323"/>
      <c r="AKE9" s="323"/>
      <c r="AKF9" s="323"/>
      <c r="AKG9" s="323"/>
      <c r="AKH9" s="324"/>
      <c r="AKI9" s="364" t="s">
        <v>773</v>
      </c>
      <c r="AKJ9" s="310"/>
      <c r="AKK9" s="310"/>
      <c r="AKL9" s="310"/>
      <c r="AKM9" s="310"/>
      <c r="AKN9" s="310"/>
      <c r="AKO9" s="310"/>
      <c r="AKP9" s="365"/>
      <c r="AKQ9" s="366" t="s">
        <v>812</v>
      </c>
      <c r="AKR9" s="367"/>
      <c r="AKS9" s="367"/>
      <c r="AKT9" s="367"/>
      <c r="AKU9" s="367"/>
      <c r="AKV9" s="367"/>
      <c r="AKW9" s="367"/>
      <c r="AKX9" s="367"/>
      <c r="AKY9" s="367"/>
      <c r="AKZ9" s="367"/>
      <c r="ALA9" s="367"/>
      <c r="ALB9" s="367"/>
      <c r="ALC9" s="368"/>
      <c r="ALD9" s="322" t="s">
        <v>774</v>
      </c>
      <c r="ALE9" s="323"/>
      <c r="ALF9" s="323"/>
      <c r="ALG9" s="323"/>
      <c r="ALH9" s="323"/>
      <c r="ALI9" s="323"/>
      <c r="ALJ9" s="369" t="s">
        <v>712</v>
      </c>
      <c r="ALK9" s="370"/>
      <c r="ALL9" s="370"/>
      <c r="ALM9" s="370"/>
      <c r="ALP9" s="301" t="s">
        <v>829</v>
      </c>
      <c r="ALQ9" s="302"/>
      <c r="ALR9" s="302"/>
      <c r="ALS9" s="302"/>
      <c r="ALT9" s="302"/>
      <c r="ALU9" s="302"/>
      <c r="ALV9" s="302"/>
      <c r="ALW9" s="303"/>
      <c r="ALX9" s="352" t="s">
        <v>813</v>
      </c>
      <c r="ALY9" s="353"/>
      <c r="ALZ9" s="353"/>
      <c r="AMA9" s="353"/>
      <c r="AMB9" s="353"/>
      <c r="AMC9" s="353"/>
      <c r="AMD9" s="353"/>
      <c r="AME9" s="353"/>
      <c r="AMF9" s="353"/>
      <c r="AMG9" s="353"/>
      <c r="AMH9" s="353"/>
      <c r="AMI9" s="353"/>
      <c r="AMJ9" s="353"/>
      <c r="AMK9" s="353"/>
      <c r="AML9" s="353"/>
      <c r="AMM9" s="353"/>
      <c r="AMN9" s="354"/>
      <c r="AMO9" s="338" t="s">
        <v>809</v>
      </c>
      <c r="AMP9" s="339"/>
      <c r="AMQ9" s="339"/>
      <c r="AMR9" s="339"/>
      <c r="AMS9" s="339"/>
      <c r="AMT9" s="339"/>
      <c r="AMU9" s="339"/>
      <c r="AMV9" s="339"/>
      <c r="AMW9" s="339"/>
      <c r="AMX9" s="339"/>
      <c r="AMY9" s="339"/>
      <c r="AMZ9" s="339"/>
      <c r="ANA9" s="339"/>
      <c r="ANB9" s="339"/>
      <c r="ANC9" s="339"/>
      <c r="AND9" s="339"/>
      <c r="ANE9" s="339"/>
      <c r="ANF9" s="339"/>
      <c r="ANG9" s="340" t="s">
        <v>813</v>
      </c>
      <c r="ANH9" s="341"/>
      <c r="ANI9" s="341"/>
      <c r="ANJ9" s="341"/>
      <c r="ANK9" s="341"/>
      <c r="ANL9" s="341"/>
      <c r="ANM9" s="341"/>
      <c r="ANN9" s="341"/>
      <c r="ANO9" s="341"/>
      <c r="ANP9" s="341"/>
      <c r="ANQ9" s="341"/>
      <c r="ANR9" s="341"/>
      <c r="ANS9" s="341"/>
      <c r="ANT9" s="341"/>
      <c r="ANU9" s="341"/>
      <c r="ANV9" s="341"/>
      <c r="ANW9" s="341"/>
      <c r="ANX9" s="341"/>
      <c r="ANY9" s="341"/>
      <c r="ANZ9" s="341"/>
      <c r="AOA9" s="341"/>
      <c r="AOB9" s="341"/>
      <c r="AOC9" s="341"/>
      <c r="AOD9" s="341"/>
      <c r="AOE9" s="341"/>
      <c r="AOF9" s="341"/>
      <c r="AOG9" s="341"/>
      <c r="AOH9" s="341"/>
      <c r="AOI9" s="342"/>
      <c r="AOJ9" s="343" t="s">
        <v>715</v>
      </c>
      <c r="AOK9" s="344"/>
      <c r="AOL9" s="344"/>
      <c r="AOM9" s="344"/>
      <c r="AON9" s="344"/>
      <c r="AOO9" s="344"/>
      <c r="AOP9" s="344"/>
      <c r="AOQ9" s="345"/>
      <c r="AOR9" s="346" t="s">
        <v>814</v>
      </c>
      <c r="AOS9" s="347"/>
      <c r="AOT9" s="347"/>
      <c r="AOU9" s="347"/>
      <c r="AOV9" s="347"/>
      <c r="AOW9" s="347"/>
      <c r="AOX9" s="347"/>
      <c r="AOY9" s="347"/>
      <c r="AOZ9" s="347"/>
      <c r="APA9" s="347"/>
      <c r="APB9" s="347"/>
      <c r="APC9" s="348"/>
      <c r="APD9" s="349" t="s">
        <v>789</v>
      </c>
      <c r="APE9" s="350"/>
      <c r="APF9" s="350"/>
      <c r="APG9" s="350"/>
      <c r="APH9" s="350"/>
      <c r="API9" s="350"/>
      <c r="APJ9" s="350"/>
      <c r="APK9" s="350"/>
      <c r="APL9" s="350"/>
      <c r="APM9" s="350"/>
      <c r="APN9" s="350"/>
      <c r="APO9" s="350"/>
      <c r="APP9" s="350"/>
      <c r="APQ9" s="351"/>
    </row>
    <row r="10" spans="1:1297" ht="104.1" customHeight="1" thickTop="1" thickBot="1">
      <c r="A10" s="207" t="s">
        <v>614</v>
      </c>
      <c r="B10" s="207" t="s">
        <v>665</v>
      </c>
      <c r="AFD10" s="357" t="s">
        <v>833</v>
      </c>
      <c r="AFE10" s="358"/>
      <c r="AFF10" s="358"/>
      <c r="AFG10" s="358"/>
      <c r="AFH10" s="358"/>
      <c r="AFI10" s="358"/>
      <c r="AFJ10" s="358"/>
      <c r="AFK10" s="358"/>
      <c r="AFL10" s="358"/>
      <c r="AFM10" s="358"/>
      <c r="AFN10" s="358"/>
      <c r="AFO10" s="358"/>
      <c r="AFP10" s="358"/>
      <c r="AFQ10" s="358"/>
      <c r="AFR10" s="358"/>
      <c r="AFS10" s="358"/>
      <c r="AFT10" s="358"/>
      <c r="AFU10" s="358"/>
      <c r="AFV10" s="358"/>
      <c r="AFW10" s="358"/>
      <c r="AFX10" s="358"/>
      <c r="AFY10" s="358"/>
      <c r="AFZ10" s="358"/>
      <c r="AGA10" s="358"/>
      <c r="AGB10" s="358"/>
      <c r="AGC10" s="358"/>
      <c r="AGD10" s="358"/>
      <c r="AGE10" s="358"/>
      <c r="AGF10" s="358"/>
      <c r="AGG10" s="358"/>
      <c r="AGH10" s="358"/>
      <c r="AGI10" s="358"/>
      <c r="AGJ10" s="358"/>
      <c r="AGK10" s="358"/>
      <c r="AGL10" s="358"/>
      <c r="AGM10" s="358"/>
      <c r="AGN10" s="358"/>
      <c r="AGO10" s="358"/>
      <c r="AGP10" s="358"/>
      <c r="AGQ10" s="358"/>
      <c r="AGR10" s="358"/>
      <c r="AGS10" s="358"/>
      <c r="AGT10" s="358"/>
      <c r="AGU10" s="358"/>
      <c r="AGV10" s="358"/>
      <c r="AGW10" s="358"/>
      <c r="AGX10" s="358"/>
      <c r="AGY10" s="358"/>
      <c r="AGZ10" s="358"/>
      <c r="AHA10" s="358"/>
      <c r="AHB10" s="358"/>
      <c r="AHC10" s="358"/>
      <c r="AHD10" s="358"/>
      <c r="AHE10" s="358"/>
      <c r="AHF10" s="358"/>
      <c r="AHG10" s="358"/>
      <c r="AHH10" s="358"/>
      <c r="AHI10" s="358"/>
      <c r="AHJ10" s="358"/>
      <c r="AHK10" s="358"/>
      <c r="AHL10" s="358"/>
      <c r="AHO10" s="362" t="s">
        <v>147</v>
      </c>
      <c r="AHP10" s="363"/>
      <c r="AHQ10" s="363"/>
      <c r="AHR10" s="363"/>
      <c r="AHS10" s="363"/>
      <c r="AHT10" s="363"/>
      <c r="AHU10" s="363"/>
      <c r="AHV10" s="363"/>
      <c r="AHW10" s="363"/>
      <c r="AHX10" s="363"/>
      <c r="AHY10" s="363"/>
      <c r="AHZ10" s="363"/>
      <c r="AIA10" s="363"/>
      <c r="AIB10" s="363"/>
      <c r="AIC10" s="363"/>
      <c r="AID10" s="469" t="s">
        <v>417</v>
      </c>
      <c r="AIE10" s="470"/>
      <c r="AIF10" s="470"/>
      <c r="AIG10" s="470"/>
      <c r="AIH10" s="470"/>
      <c r="AII10" s="470"/>
      <c r="AIJ10" s="470"/>
      <c r="AIK10" s="470"/>
      <c r="AIL10" s="470"/>
      <c r="AIM10" s="470"/>
      <c r="AIN10" s="471"/>
      <c r="AIQ10" s="472" t="s">
        <v>597</v>
      </c>
      <c r="AIR10" s="473"/>
      <c r="AIS10" s="473"/>
      <c r="AIT10" s="473"/>
      <c r="AIU10" s="473"/>
      <c r="AIV10" s="473"/>
      <c r="AIW10" s="473"/>
      <c r="AIX10" s="473"/>
      <c r="AIY10" s="473"/>
      <c r="AIZ10" s="473"/>
      <c r="AJA10" s="473"/>
      <c r="AJB10" s="473"/>
      <c r="AJC10" s="473"/>
      <c r="AJD10" s="473"/>
      <c r="AJE10" s="473"/>
      <c r="AJF10" s="473"/>
      <c r="AJG10" s="473"/>
      <c r="AJH10" s="473"/>
      <c r="AJI10" s="473"/>
      <c r="AJJ10" s="473"/>
      <c r="AJK10" s="473"/>
      <c r="AJL10" s="473"/>
      <c r="AJM10" s="473"/>
      <c r="AJN10" s="473"/>
      <c r="AJO10" s="474"/>
      <c r="AJP10" s="472" t="s">
        <v>596</v>
      </c>
      <c r="AJQ10" s="473"/>
      <c r="AJR10" s="473"/>
      <c r="AJS10" s="473"/>
      <c r="AJT10" s="473"/>
      <c r="AJU10" s="473"/>
      <c r="AJV10" s="473"/>
      <c r="AJW10" s="473"/>
      <c r="AJX10" s="473"/>
      <c r="AJY10" s="473"/>
      <c r="AJZ10" s="473"/>
      <c r="AKA10" s="473"/>
      <c r="AKB10" s="473"/>
      <c r="AKC10" s="473"/>
      <c r="AKD10" s="473"/>
      <c r="AKE10" s="473"/>
      <c r="AKF10" s="473"/>
      <c r="AKG10" s="473"/>
      <c r="AKH10" s="472" t="s">
        <v>825</v>
      </c>
      <c r="AKI10" s="473"/>
      <c r="AKJ10" s="473"/>
      <c r="AKK10" s="473"/>
      <c r="AKL10" s="473"/>
      <c r="AKM10" s="473"/>
      <c r="AKN10" s="473"/>
      <c r="AKO10" s="473"/>
      <c r="AKP10" s="473"/>
      <c r="AKQ10" s="473"/>
      <c r="AKR10" s="473"/>
      <c r="AKS10" s="473"/>
      <c r="AKT10" s="473"/>
      <c r="AKU10" s="473"/>
      <c r="AKV10" s="473"/>
      <c r="AKW10" s="473"/>
      <c r="AKX10" s="473"/>
      <c r="AKY10" s="390" t="s">
        <v>595</v>
      </c>
      <c r="AKZ10" s="391"/>
      <c r="ALA10" s="391"/>
      <c r="ALB10" s="391"/>
      <c r="ALC10" s="391"/>
      <c r="ALD10" s="391"/>
      <c r="ALE10" s="391"/>
      <c r="ALF10" s="391"/>
      <c r="ALG10" s="391"/>
      <c r="ALH10" s="391"/>
      <c r="ALI10" s="391"/>
      <c r="ALJ10" s="391"/>
      <c r="ALK10" s="391"/>
      <c r="ALL10" s="391"/>
      <c r="ALM10" s="391"/>
      <c r="ALN10" s="391"/>
      <c r="ALO10" s="391"/>
      <c r="ALP10" s="391"/>
      <c r="ALQ10" s="391"/>
      <c r="ALR10" s="391"/>
      <c r="ALS10" s="391"/>
      <c r="ALT10" s="391"/>
      <c r="ALU10" s="391"/>
      <c r="ALV10" s="391"/>
      <c r="ALW10" s="391"/>
      <c r="ALX10" s="391"/>
      <c r="ALY10" s="391"/>
      <c r="ALZ10" s="391"/>
      <c r="AMA10" s="391"/>
      <c r="AMB10" s="391"/>
      <c r="AMC10" s="391"/>
      <c r="AMD10" s="391"/>
      <c r="AME10" s="391"/>
      <c r="AMF10" s="391"/>
      <c r="AMG10" s="391"/>
      <c r="AMH10" s="391"/>
      <c r="AMI10" s="391"/>
      <c r="AMJ10" s="391"/>
      <c r="AMK10" s="391"/>
      <c r="AML10" s="391"/>
      <c r="AMM10" s="391"/>
      <c r="AMN10" s="391"/>
      <c r="AMO10" s="391"/>
      <c r="AMP10" s="391"/>
      <c r="AMQ10" s="391"/>
      <c r="AMR10" s="392"/>
      <c r="AMS10" s="472" t="s">
        <v>702</v>
      </c>
      <c r="AMT10" s="473"/>
      <c r="AMU10" s="473"/>
      <c r="AMV10" s="473"/>
      <c r="AMW10" s="473"/>
      <c r="AMX10" s="473"/>
      <c r="AMY10" s="473"/>
      <c r="AMZ10" s="473"/>
      <c r="ANA10" s="473"/>
      <c r="ANB10" s="473"/>
      <c r="ANC10" s="472" t="s">
        <v>703</v>
      </c>
      <c r="AND10" s="473"/>
      <c r="ANE10" s="473"/>
      <c r="ANF10" s="473"/>
      <c r="ANG10" s="475"/>
      <c r="ANH10" s="475"/>
      <c r="ANI10" s="475"/>
      <c r="ANJ10" s="475"/>
      <c r="ANK10" s="475"/>
      <c r="ANL10" s="475"/>
      <c r="ANM10" s="475"/>
      <c r="ANN10" s="475"/>
      <c r="ANO10" s="456" t="s">
        <v>706</v>
      </c>
      <c r="ANP10" s="457"/>
      <c r="ANQ10" s="457"/>
      <c r="ANR10" s="457"/>
      <c r="ANS10" s="457"/>
      <c r="ANT10" s="457"/>
      <c r="ANU10" s="457"/>
      <c r="ANV10" s="457"/>
      <c r="ANW10" s="457"/>
      <c r="ANX10" s="458"/>
      <c r="AOG10" s="459" t="s">
        <v>836</v>
      </c>
      <c r="AOH10" s="460"/>
      <c r="AOI10" s="460"/>
      <c r="AOJ10" s="461"/>
      <c r="AOK10" s="461"/>
      <c r="AOL10" s="461"/>
      <c r="AOM10" s="461"/>
      <c r="AON10" s="461"/>
      <c r="AOO10" s="462"/>
      <c r="AOP10" s="463" t="s">
        <v>815</v>
      </c>
      <c r="AOQ10" s="463"/>
      <c r="AOR10" s="463"/>
      <c r="AOS10" s="463"/>
      <c r="AOT10" s="463"/>
      <c r="AOU10" s="463"/>
      <c r="AOV10" s="463"/>
      <c r="AOW10" s="463"/>
      <c r="AOX10" s="463"/>
      <c r="AOY10" s="463"/>
      <c r="AOZ10" s="463"/>
      <c r="APA10" s="463"/>
      <c r="APB10" s="463"/>
      <c r="APC10" s="463"/>
      <c r="APD10" s="463"/>
      <c r="APE10" s="463"/>
      <c r="APF10" s="463"/>
      <c r="APG10" s="463"/>
      <c r="APH10" s="463"/>
      <c r="API10" s="463"/>
      <c r="APJ10" s="463"/>
      <c r="APK10" s="463"/>
      <c r="APL10" s="463"/>
      <c r="APM10" s="463"/>
      <c r="APN10" s="463"/>
      <c r="APO10" s="463"/>
      <c r="APP10" s="463"/>
      <c r="APQ10" s="463"/>
      <c r="APR10" s="463"/>
      <c r="APS10" s="463"/>
      <c r="APT10" s="463"/>
      <c r="APU10" s="463"/>
      <c r="APV10" s="463"/>
      <c r="APW10" s="463"/>
      <c r="APX10" s="463"/>
      <c r="APY10" s="463"/>
      <c r="APZ10" s="463"/>
      <c r="AQA10" s="463"/>
      <c r="AQB10" s="463"/>
      <c r="AQC10" s="463"/>
      <c r="AQD10" s="463"/>
      <c r="AQE10" s="463"/>
      <c r="AQF10" s="463"/>
      <c r="AQG10" s="463"/>
      <c r="AQH10" s="463"/>
      <c r="AQI10" s="463"/>
      <c r="AQJ10" s="463"/>
      <c r="AQK10" s="463"/>
      <c r="AQL10" s="463"/>
      <c r="AQM10" s="463"/>
      <c r="AQN10" s="463"/>
      <c r="AQO10" s="463"/>
      <c r="AQP10" s="463"/>
      <c r="AQQ10" s="463"/>
      <c r="AQR10" s="463"/>
      <c r="AQS10" s="463"/>
      <c r="AQT10" s="463"/>
      <c r="AQU10" s="463"/>
      <c r="AQV10" s="463"/>
      <c r="AQW10" s="463"/>
      <c r="AQX10" s="463"/>
      <c r="AQY10" s="463"/>
      <c r="AQZ10" s="463"/>
      <c r="ARA10" s="463"/>
      <c r="ARB10" s="464"/>
      <c r="ARC10" s="465" t="s">
        <v>816</v>
      </c>
      <c r="ARD10" s="465"/>
      <c r="ARE10" s="465"/>
      <c r="ARF10" s="465"/>
      <c r="ARG10" s="465"/>
      <c r="ARH10" s="465"/>
      <c r="ARI10" s="465"/>
      <c r="ARJ10" s="465"/>
      <c r="ARK10" s="465"/>
      <c r="ARL10" s="465"/>
      <c r="ARM10" s="465"/>
      <c r="ARN10" s="465"/>
      <c r="ARO10" s="465"/>
      <c r="ARP10" s="465"/>
      <c r="ARQ10" s="465"/>
      <c r="ARR10" s="465"/>
      <c r="ARS10" s="465"/>
      <c r="ART10" s="465"/>
      <c r="ARU10" s="465"/>
      <c r="ARV10" s="465"/>
      <c r="ARW10" s="465"/>
      <c r="ARX10" s="465"/>
      <c r="ARY10" s="465"/>
      <c r="ARZ10" s="465"/>
      <c r="ASA10" s="465"/>
      <c r="ASB10" s="465"/>
      <c r="ASC10" s="465"/>
      <c r="ASD10" s="465"/>
      <c r="ASE10" s="465"/>
      <c r="ASF10" s="465"/>
      <c r="ASG10" s="465"/>
      <c r="ASH10" s="465"/>
      <c r="ASI10" s="465"/>
      <c r="ASJ10" s="465"/>
      <c r="ASK10" s="465"/>
      <c r="ASL10" s="465"/>
      <c r="ASM10" s="465"/>
      <c r="ASN10" s="465"/>
      <c r="ASO10" s="465"/>
      <c r="ASP10" s="465"/>
      <c r="ASQ10" s="465"/>
      <c r="ASR10" s="465"/>
      <c r="ASS10" s="465"/>
      <c r="AST10" s="465"/>
      <c r="ASU10" s="465"/>
      <c r="ASV10" s="465"/>
      <c r="ASW10" s="465"/>
      <c r="ASX10" s="465"/>
      <c r="ASY10" s="465"/>
      <c r="ASZ10" s="465"/>
      <c r="ATA10" s="465"/>
      <c r="ATB10" s="465"/>
      <c r="ATC10" s="465"/>
      <c r="ATD10" s="465"/>
      <c r="ATE10" s="465"/>
      <c r="ATF10" s="465"/>
      <c r="ATG10" s="465"/>
      <c r="ATH10" s="465"/>
      <c r="ATI10" s="465"/>
      <c r="ATJ10" s="465"/>
      <c r="ATK10" s="465"/>
      <c r="ATL10" s="465"/>
      <c r="ATM10" s="465"/>
      <c r="ATN10" s="465"/>
      <c r="ATO10" s="466"/>
      <c r="ATR10" s="467" t="s">
        <v>817</v>
      </c>
      <c r="ATS10" s="468"/>
      <c r="ATT10" s="468"/>
      <c r="ATU10" s="468"/>
      <c r="ATV10" s="468"/>
      <c r="ATW10" s="468"/>
      <c r="ATX10" s="468"/>
      <c r="ATY10" s="468"/>
      <c r="ATZ10" s="468"/>
      <c r="AUA10" s="468"/>
      <c r="AUB10" s="468"/>
      <c r="AUC10" s="468"/>
      <c r="AUD10" s="468"/>
      <c r="AUE10" s="468"/>
      <c r="AUF10" s="468"/>
      <c r="AUG10" s="468"/>
      <c r="AUH10" s="468"/>
      <c r="AUI10" s="468"/>
      <c r="AUJ10" s="468"/>
      <c r="AUK10" s="468"/>
      <c r="AUL10" s="468"/>
      <c r="AUM10" s="468"/>
      <c r="AUN10" s="468"/>
      <c r="AUO10" s="468"/>
      <c r="AUP10" s="468"/>
      <c r="AUQ10" s="468"/>
      <c r="AUR10" s="468"/>
      <c r="AUS10" s="468"/>
      <c r="AUT10" s="468"/>
      <c r="AUU10" s="468"/>
      <c r="AUV10" s="468"/>
      <c r="AUW10" s="468"/>
      <c r="AUX10" s="468"/>
      <c r="AUY10" s="468"/>
      <c r="AUZ10" s="468"/>
      <c r="AVA10" s="468"/>
      <c r="AVB10" s="468"/>
      <c r="AVC10" s="468"/>
      <c r="AVD10" s="468"/>
      <c r="AVE10" s="468"/>
      <c r="AVF10" s="468"/>
      <c r="AVG10" s="468"/>
      <c r="AVH10" s="468"/>
      <c r="AVI10" s="468"/>
      <c r="AVJ10" s="468"/>
      <c r="AVK10" s="468"/>
      <c r="AVL10" s="468"/>
      <c r="AVM10" s="468"/>
      <c r="AVN10" s="468"/>
      <c r="AVO10" s="468"/>
      <c r="AVP10" s="468"/>
      <c r="AVQ10" s="468"/>
      <c r="AVR10" s="468"/>
      <c r="AVS10" s="468"/>
      <c r="AVT10" s="468"/>
      <c r="AVU10" s="468"/>
      <c r="AVV10" s="468"/>
      <c r="AVW10" s="468"/>
      <c r="AVX10" s="468"/>
      <c r="AVY10" s="468"/>
      <c r="AVZ10" s="468"/>
      <c r="AWA10" s="468"/>
      <c r="AWB10" s="468"/>
      <c r="AWC10" s="468"/>
      <c r="AWD10" s="468"/>
    </row>
    <row r="11" spans="1:1297" ht="15" thickTop="1"/>
  </sheetData>
  <mergeCells count="317">
    <mergeCell ref="APK2:APM2"/>
    <mergeCell ref="A2:B2"/>
    <mergeCell ref="ASK2:ASM2"/>
    <mergeCell ref="ATV2:ATY2"/>
    <mergeCell ref="AWC1:AWI1"/>
    <mergeCell ref="AWJ1:AWP1"/>
    <mergeCell ref="AWQ1:AWW1"/>
    <mergeCell ref="AWT2:AWV2"/>
    <mergeCell ref="EY2:FC2"/>
    <mergeCell ref="JJ2:JL2"/>
    <mergeCell ref="MJ2:ML2"/>
    <mergeCell ref="MS2:OB2"/>
    <mergeCell ref="OL2:RS2"/>
    <mergeCell ref="XH2:XJ2"/>
    <mergeCell ref="ZP2:ZR2"/>
    <mergeCell ref="AFD2:AHK2"/>
    <mergeCell ref="AHO2:ANS2"/>
    <mergeCell ref="ANO10:ANX10"/>
    <mergeCell ref="AOG10:AOO10"/>
    <mergeCell ref="AOP10:ARB10"/>
    <mergeCell ref="ARC10:ATO10"/>
    <mergeCell ref="ATR10:AWD10"/>
    <mergeCell ref="AFD10:AHL10"/>
    <mergeCell ref="AHO10:AIC10"/>
    <mergeCell ref="AID10:AIN10"/>
    <mergeCell ref="AIQ10:AJO10"/>
    <mergeCell ref="AJP10:AKG10"/>
    <mergeCell ref="AKH10:AKX10"/>
    <mergeCell ref="AKY10:AMR10"/>
    <mergeCell ref="AMS10:ANB10"/>
    <mergeCell ref="ANC10:ANN10"/>
    <mergeCell ref="AAZ6:ABE6"/>
    <mergeCell ref="ABF6:ABK6"/>
    <mergeCell ref="WQ6:WS6"/>
    <mergeCell ref="WT6:WU6"/>
    <mergeCell ref="AAR6:AAY6"/>
    <mergeCell ref="YY6:AAQ6"/>
    <mergeCell ref="US6:VF6"/>
    <mergeCell ref="VG6:VN6"/>
    <mergeCell ref="VO6:VU6"/>
    <mergeCell ref="VV6:WK6"/>
    <mergeCell ref="WN6:WP6"/>
    <mergeCell ref="WV6:XQ6"/>
    <mergeCell ref="XR6:YR6"/>
    <mergeCell ref="YS6:YV6"/>
    <mergeCell ref="SU8:TB8"/>
    <mergeCell ref="TC8:TL8"/>
    <mergeCell ref="TO8:TZ8"/>
    <mergeCell ref="UD8:UM8"/>
    <mergeCell ref="UN8:WX8"/>
    <mergeCell ref="WY8:XM8"/>
    <mergeCell ref="XX8:YO8"/>
    <mergeCell ref="HN5:HP5"/>
    <mergeCell ref="QW3:QZ3"/>
    <mergeCell ref="VX3:VZ3"/>
    <mergeCell ref="NJ8:OR8"/>
    <mergeCell ref="OS8:OW8"/>
    <mergeCell ref="OY8:RU8"/>
    <mergeCell ref="RV8:SA8"/>
    <mergeCell ref="SB8:ST8"/>
    <mergeCell ref="XZ7:YC7"/>
    <mergeCell ref="MV7:OD7"/>
    <mergeCell ref="OE7:OI7"/>
    <mergeCell ref="OK7:RF7"/>
    <mergeCell ref="RG7:RL7"/>
    <mergeCell ref="RM7:RT7"/>
    <mergeCell ref="RU7:SF7"/>
    <mergeCell ref="SG7:SN7"/>
    <mergeCell ref="SO7:SQ7"/>
    <mergeCell ref="ASP1:ASV1"/>
    <mergeCell ref="ASW1:ATC1"/>
    <mergeCell ref="ATD1:ATJ1"/>
    <mergeCell ref="ATK1:ATQ1"/>
    <mergeCell ref="ATR1:ATX1"/>
    <mergeCell ref="ATY1:AUE1"/>
    <mergeCell ref="AUF1:AUL1"/>
    <mergeCell ref="WS3:WU3"/>
    <mergeCell ref="AQE1:AQK1"/>
    <mergeCell ref="AQL1:AQR1"/>
    <mergeCell ref="AQS1:AQY1"/>
    <mergeCell ref="AQZ1:ARF1"/>
    <mergeCell ref="ARG1:ARM1"/>
    <mergeCell ref="ARN1:ART1"/>
    <mergeCell ref="ARU1:ASA1"/>
    <mergeCell ref="ASB1:ASH1"/>
    <mergeCell ref="ASI1:ASO1"/>
    <mergeCell ref="ANT1:ANZ1"/>
    <mergeCell ref="AOA1:AOG1"/>
    <mergeCell ref="AOH1:AON1"/>
    <mergeCell ref="AOO1:AOU1"/>
    <mergeCell ref="AOV1:APB1"/>
    <mergeCell ref="APC1:API1"/>
    <mergeCell ref="APJ1:APP1"/>
    <mergeCell ref="APQ1:APW1"/>
    <mergeCell ref="APX1:AQD1"/>
    <mergeCell ref="A3:B3"/>
    <mergeCell ref="IU5:JM5"/>
    <mergeCell ref="AS1:AY1"/>
    <mergeCell ref="AZ1:BF1"/>
    <mergeCell ref="BG1:BM1"/>
    <mergeCell ref="BN1:BT1"/>
    <mergeCell ref="BU1:CA1"/>
    <mergeCell ref="CB1:CH1"/>
    <mergeCell ref="C1:I1"/>
    <mergeCell ref="J1:P1"/>
    <mergeCell ref="Q1:W1"/>
    <mergeCell ref="X1:AD1"/>
    <mergeCell ref="AE1:AK1"/>
    <mergeCell ref="AL1:AR1"/>
    <mergeCell ref="DY1:EE1"/>
    <mergeCell ref="EF1:EL1"/>
    <mergeCell ref="ME3:MG3"/>
    <mergeCell ref="TE3:TG3"/>
    <mergeCell ref="ZP4:ZQ4"/>
    <mergeCell ref="HE1:HK1"/>
    <mergeCell ref="CI1:CO1"/>
    <mergeCell ref="CP1:CV1"/>
    <mergeCell ref="CW1:DC1"/>
    <mergeCell ref="DD1:DJ1"/>
    <mergeCell ref="DK1:DQ1"/>
    <mergeCell ref="DR1:DX1"/>
    <mergeCell ref="HL1:HR1"/>
    <mergeCell ref="HS1:HY1"/>
    <mergeCell ref="HZ1:IF1"/>
    <mergeCell ref="FO1:FU1"/>
    <mergeCell ref="FV1:GB1"/>
    <mergeCell ref="GC1:GI1"/>
    <mergeCell ref="GJ1:GP1"/>
    <mergeCell ref="GQ1:GW1"/>
    <mergeCell ref="GX1:HD1"/>
    <mergeCell ref="IU1:JA1"/>
    <mergeCell ref="JB1:JH1"/>
    <mergeCell ref="JI1:JO1"/>
    <mergeCell ref="JP1:JV1"/>
    <mergeCell ref="JW1:KC1"/>
    <mergeCell ref="KD1:KJ1"/>
    <mergeCell ref="EM1:ES1"/>
    <mergeCell ref="ET1:EZ1"/>
    <mergeCell ref="FA1:FG1"/>
    <mergeCell ref="FH1:FN1"/>
    <mergeCell ref="IG1:IM1"/>
    <mergeCell ref="IN1:IT1"/>
    <mergeCell ref="MA1:MG1"/>
    <mergeCell ref="MH1:MN1"/>
    <mergeCell ref="MO1:MU1"/>
    <mergeCell ref="MV1:NB1"/>
    <mergeCell ref="NC1:NI1"/>
    <mergeCell ref="NJ1:NP1"/>
    <mergeCell ref="KK1:KQ1"/>
    <mergeCell ref="KR1:KX1"/>
    <mergeCell ref="KY1:LE1"/>
    <mergeCell ref="LF1:LL1"/>
    <mergeCell ref="LM1:LS1"/>
    <mergeCell ref="LT1:LZ1"/>
    <mergeCell ref="PG1:PM1"/>
    <mergeCell ref="PN1:PT1"/>
    <mergeCell ref="PU1:QA1"/>
    <mergeCell ref="QB1:QH1"/>
    <mergeCell ref="QI1:QO1"/>
    <mergeCell ref="QP1:QV1"/>
    <mergeCell ref="NQ1:NW1"/>
    <mergeCell ref="NX1:OD1"/>
    <mergeCell ref="OE1:OK1"/>
    <mergeCell ref="OL1:OR1"/>
    <mergeCell ref="OS1:OY1"/>
    <mergeCell ref="OZ1:PF1"/>
    <mergeCell ref="SM1:SS1"/>
    <mergeCell ref="ST1:SZ1"/>
    <mergeCell ref="TA1:TG1"/>
    <mergeCell ref="TH1:TN1"/>
    <mergeCell ref="TO1:TU1"/>
    <mergeCell ref="TV1:UB1"/>
    <mergeCell ref="QW1:RC1"/>
    <mergeCell ref="RD1:RJ1"/>
    <mergeCell ref="RK1:RQ1"/>
    <mergeCell ref="RR1:RX1"/>
    <mergeCell ref="RY1:SE1"/>
    <mergeCell ref="SF1:SL1"/>
    <mergeCell ref="VS1:VY1"/>
    <mergeCell ref="VZ1:WF1"/>
    <mergeCell ref="WG1:WM1"/>
    <mergeCell ref="WN1:WT1"/>
    <mergeCell ref="WU1:XA1"/>
    <mergeCell ref="XB1:XH1"/>
    <mergeCell ref="UC1:UI1"/>
    <mergeCell ref="UJ1:UP1"/>
    <mergeCell ref="UQ1:UW1"/>
    <mergeCell ref="UX1:VD1"/>
    <mergeCell ref="VE1:VK1"/>
    <mergeCell ref="VL1:VR1"/>
    <mergeCell ref="YY1:ZE1"/>
    <mergeCell ref="ZF1:ZL1"/>
    <mergeCell ref="ZM1:ZS1"/>
    <mergeCell ref="ZT1:ZZ1"/>
    <mergeCell ref="AAA1:AAG1"/>
    <mergeCell ref="AAH1:AAN1"/>
    <mergeCell ref="XI1:XO1"/>
    <mergeCell ref="XP1:XV1"/>
    <mergeCell ref="XW1:YC1"/>
    <mergeCell ref="YD1:YJ1"/>
    <mergeCell ref="YK1:YQ1"/>
    <mergeCell ref="YR1:YX1"/>
    <mergeCell ref="AFY1:AGE1"/>
    <mergeCell ref="AGF1:AGL1"/>
    <mergeCell ref="AGM1:AGS1"/>
    <mergeCell ref="AGT1:AGZ1"/>
    <mergeCell ref="AIQ1:AIW1"/>
    <mergeCell ref="AIX1:AJD1"/>
    <mergeCell ref="AJE1:AJK1"/>
    <mergeCell ref="AAO1:AAU1"/>
    <mergeCell ref="AAV1:ABB1"/>
    <mergeCell ref="ABC1:ABI1"/>
    <mergeCell ref="ABJ1:ABP1"/>
    <mergeCell ref="ABQ1:ABW1"/>
    <mergeCell ref="ABX1:ACD1"/>
    <mergeCell ref="YA5:YH5"/>
    <mergeCell ref="ANM1:ANS1"/>
    <mergeCell ref="ALW1:AMC1"/>
    <mergeCell ref="AMD1:AMJ1"/>
    <mergeCell ref="AMK1:AMQ1"/>
    <mergeCell ref="AMR1:AMX1"/>
    <mergeCell ref="AMY1:ANE1"/>
    <mergeCell ref="ANF1:ANL1"/>
    <mergeCell ref="AKG1:AKM1"/>
    <mergeCell ref="AKN1:AKT1"/>
    <mergeCell ref="AKU1:ALA1"/>
    <mergeCell ref="ALB1:ALH1"/>
    <mergeCell ref="ALI1:ALO1"/>
    <mergeCell ref="ALP1:ALV1"/>
    <mergeCell ref="AJZ1:AKF1"/>
    <mergeCell ref="AHA1:AHG1"/>
    <mergeCell ref="AHH1:AHN1"/>
    <mergeCell ref="AHO1:AHU1"/>
    <mergeCell ref="AHV1:AIB1"/>
    <mergeCell ref="AIC1:AII1"/>
    <mergeCell ref="AIJ1:AIP1"/>
    <mergeCell ref="AJL1:AJR1"/>
    <mergeCell ref="AJS1:AJY1"/>
    <mergeCell ref="ADU1:AEA1"/>
    <mergeCell ref="SX7:TA7"/>
    <mergeCell ref="TB7:TP7"/>
    <mergeCell ref="TQ7:TX7"/>
    <mergeCell ref="TY7:UN7"/>
    <mergeCell ref="UQ7:VG7"/>
    <mergeCell ref="VH7:VO7"/>
    <mergeCell ref="VP7:WB7"/>
    <mergeCell ref="WC7:XD7"/>
    <mergeCell ref="CB5:CM5"/>
    <mergeCell ref="CQ5:CS5"/>
    <mergeCell ref="NX6:PK6"/>
    <mergeCell ref="PN6:QB6"/>
    <mergeCell ref="QC6:QM6"/>
    <mergeCell ref="QP6:RL6"/>
    <mergeCell ref="RM6:SA6"/>
    <mergeCell ref="SB6:SF6"/>
    <mergeCell ref="SG6:UF6"/>
    <mergeCell ref="UG6:UM6"/>
    <mergeCell ref="UN6:UR6"/>
    <mergeCell ref="A4:B4"/>
    <mergeCell ref="YH4:YJ4"/>
    <mergeCell ref="ZS4:ZU4"/>
    <mergeCell ref="AEH4:AEJ4"/>
    <mergeCell ref="ALW4:ALY4"/>
    <mergeCell ref="AMO4:AMQ4"/>
    <mergeCell ref="APC4:APE4"/>
    <mergeCell ref="APV4:APX4"/>
    <mergeCell ref="ALP9:ALW9"/>
    <mergeCell ref="AMO9:ANF9"/>
    <mergeCell ref="ANG9:AOI9"/>
    <mergeCell ref="AOJ9:AOQ9"/>
    <mergeCell ref="AOR9:APC9"/>
    <mergeCell ref="APD9:APQ9"/>
    <mergeCell ref="ALX9:AMN9"/>
    <mergeCell ref="AEL7:AJV7"/>
    <mergeCell ref="AFD9:AHK9"/>
    <mergeCell ref="AHL9:AJT9"/>
    <mergeCell ref="AJU9:AJZ9"/>
    <mergeCell ref="AKA9:AKH9"/>
    <mergeCell ref="AKI9:AKP9"/>
    <mergeCell ref="AKQ9:ALC9"/>
    <mergeCell ref="ALD9:ALI9"/>
    <mergeCell ref="ALJ9:ALM9"/>
    <mergeCell ref="XP8:XW8"/>
    <mergeCell ref="AQF4:AQI4"/>
    <mergeCell ref="XE7:XP7"/>
    <mergeCell ref="XQ7:XX7"/>
    <mergeCell ref="ZG8:ZN8"/>
    <mergeCell ref="ADG8:AEQ8"/>
    <mergeCell ref="YP8:ZF8"/>
    <mergeCell ref="YE7:YL7"/>
    <mergeCell ref="YO7:ZF7"/>
    <mergeCell ref="ZG7:ZU7"/>
    <mergeCell ref="ZV7:ABT7"/>
    <mergeCell ref="ABU7:ACL7"/>
    <mergeCell ref="ACM7:ACV7"/>
    <mergeCell ref="ACW7:ADD7"/>
    <mergeCell ref="ADG7:ADN7"/>
    <mergeCell ref="ST7:SW7"/>
    <mergeCell ref="AUM1:AUS1"/>
    <mergeCell ref="AUT1:AUZ1"/>
    <mergeCell ref="AVA1:AVG1"/>
    <mergeCell ref="AVH1:AVN1"/>
    <mergeCell ref="AVO1:AVU1"/>
    <mergeCell ref="AVV1:AWB1"/>
    <mergeCell ref="AEB1:AEH1"/>
    <mergeCell ref="AEI1:AEO1"/>
    <mergeCell ref="AEP1:AEV1"/>
    <mergeCell ref="AEW1:AFC1"/>
    <mergeCell ref="AFD1:AFJ1"/>
    <mergeCell ref="ACE1:ACK1"/>
    <mergeCell ref="ACL1:ACR1"/>
    <mergeCell ref="ACS1:ACY1"/>
    <mergeCell ref="ACZ1:ADF1"/>
    <mergeCell ref="ADG1:ADM1"/>
    <mergeCell ref="ADN1:ADT1"/>
    <mergeCell ref="AFK1:AFQ1"/>
    <mergeCell ref="AFR1:AFX1"/>
  </mergeCells>
  <pageMargins left="0.7" right="0.7" top="0.75" bottom="0.75" header="0.3" footer="0.3"/>
  <pageSetup orientation="portrait" r:id="rId1"/>
  <headerFooter>
    <oddFooter>&amp;L&amp;1#&amp;"Calibri"&amp;10&amp;K737373Caterpillar: Confidential Green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E4BC-29B3-4FDD-88C1-029F2032D54D}">
  <dimension ref="A1:ANT12"/>
  <sheetViews>
    <sheetView zoomScale="60" zoomScaleNormal="60" workbookViewId="0">
      <pane xSplit="184" ySplit="1" topLeftCell="GC2" activePane="bottomRight" state="frozen"/>
      <selection pane="topRight" activeCell="GC1" sqref="GC1"/>
      <selection pane="bottomLeft" activeCell="A2" sqref="A2"/>
      <selection pane="bottomRight" activeCell="A5" sqref="A5:B5"/>
    </sheetView>
  </sheetViews>
  <sheetFormatPr defaultColWidth="20.44140625" defaultRowHeight="14.4"/>
  <cols>
    <col min="1" max="1" width="27.44140625" bestFit="1" customWidth="1"/>
    <col min="2" max="2" width="29.109375" bestFit="1" customWidth="1"/>
    <col min="3" max="184" width="3.77734375" style="198" hidden="1" customWidth="1"/>
    <col min="185" max="198" width="3.77734375" style="198" customWidth="1"/>
    <col min="199" max="226" width="3.77734375" style="198" hidden="1" customWidth="1"/>
    <col min="227" max="1059" width="3.77734375" style="198" customWidth="1"/>
    <col min="1060" max="1073" width="7" customWidth="1"/>
    <col min="1077" max="1077" width="5.6640625" bestFit="1" customWidth="1"/>
    <col min="1082" max="1082" width="14.33203125" bestFit="1" customWidth="1"/>
  </cols>
  <sheetData>
    <row r="1" spans="1:1060" s="199" customFormat="1" ht="32.4" thickTop="1" thickBot="1">
      <c r="A1" s="200" t="s">
        <v>610</v>
      </c>
      <c r="B1" s="200" t="s">
        <v>611</v>
      </c>
      <c r="C1" s="398">
        <v>43521</v>
      </c>
      <c r="D1" s="283"/>
      <c r="E1" s="283"/>
      <c r="F1" s="283"/>
      <c r="G1" s="283"/>
      <c r="H1" s="283"/>
      <c r="I1" s="283"/>
      <c r="J1" s="283">
        <v>43528</v>
      </c>
      <c r="K1" s="283"/>
      <c r="L1" s="283"/>
      <c r="M1" s="283"/>
      <c r="N1" s="283"/>
      <c r="O1" s="283"/>
      <c r="P1" s="283"/>
      <c r="Q1" s="283">
        <v>43535</v>
      </c>
      <c r="R1" s="283"/>
      <c r="S1" s="283"/>
      <c r="T1" s="283"/>
      <c r="U1" s="283"/>
      <c r="V1" s="283"/>
      <c r="W1" s="283"/>
      <c r="X1" s="283">
        <v>43542</v>
      </c>
      <c r="Y1" s="283"/>
      <c r="Z1" s="283"/>
      <c r="AA1" s="283"/>
      <c r="AB1" s="283"/>
      <c r="AC1" s="283"/>
      <c r="AD1" s="283"/>
      <c r="AE1" s="283">
        <v>43549</v>
      </c>
      <c r="AF1" s="283"/>
      <c r="AG1" s="283"/>
      <c r="AH1" s="283"/>
      <c r="AI1" s="283"/>
      <c r="AJ1" s="283"/>
      <c r="AK1" s="283"/>
      <c r="AL1" s="283">
        <v>43556</v>
      </c>
      <c r="AM1" s="283"/>
      <c r="AN1" s="283"/>
      <c r="AO1" s="283"/>
      <c r="AP1" s="283"/>
      <c r="AQ1" s="283"/>
      <c r="AR1" s="283"/>
      <c r="AS1" s="283">
        <v>43563</v>
      </c>
      <c r="AT1" s="283"/>
      <c r="AU1" s="283"/>
      <c r="AV1" s="283"/>
      <c r="AW1" s="283"/>
      <c r="AX1" s="283"/>
      <c r="AY1" s="283"/>
      <c r="AZ1" s="283">
        <v>43570</v>
      </c>
      <c r="BA1" s="283"/>
      <c r="BB1" s="283"/>
      <c r="BC1" s="283"/>
      <c r="BD1" s="283"/>
      <c r="BE1" s="283"/>
      <c r="BF1" s="283"/>
      <c r="BG1" s="283">
        <v>43577</v>
      </c>
      <c r="BH1" s="283"/>
      <c r="BI1" s="283"/>
      <c r="BJ1" s="283"/>
      <c r="BK1" s="283"/>
      <c r="BL1" s="283"/>
      <c r="BM1" s="283"/>
      <c r="BN1" s="283">
        <v>43584</v>
      </c>
      <c r="BO1" s="283"/>
      <c r="BP1" s="283"/>
      <c r="BQ1" s="283"/>
      <c r="BR1" s="283"/>
      <c r="BS1" s="283"/>
      <c r="BT1" s="283"/>
      <c r="BU1" s="283">
        <v>43591</v>
      </c>
      <c r="BV1" s="283"/>
      <c r="BW1" s="283"/>
      <c r="BX1" s="283"/>
      <c r="BY1" s="283"/>
      <c r="BZ1" s="283"/>
      <c r="CA1" s="283"/>
      <c r="CB1" s="283">
        <v>43598</v>
      </c>
      <c r="CC1" s="283"/>
      <c r="CD1" s="283"/>
      <c r="CE1" s="283"/>
      <c r="CF1" s="283"/>
      <c r="CG1" s="283"/>
      <c r="CH1" s="283"/>
      <c r="CI1" s="283">
        <v>43605</v>
      </c>
      <c r="CJ1" s="283"/>
      <c r="CK1" s="283"/>
      <c r="CL1" s="283"/>
      <c r="CM1" s="283"/>
      <c r="CN1" s="283"/>
      <c r="CO1" s="283"/>
      <c r="CP1" s="283">
        <v>43612</v>
      </c>
      <c r="CQ1" s="283"/>
      <c r="CR1" s="283"/>
      <c r="CS1" s="283"/>
      <c r="CT1" s="283"/>
      <c r="CU1" s="283"/>
      <c r="CV1" s="283"/>
      <c r="CW1" s="283">
        <v>43619</v>
      </c>
      <c r="CX1" s="283"/>
      <c r="CY1" s="283"/>
      <c r="CZ1" s="283"/>
      <c r="DA1" s="283"/>
      <c r="DB1" s="283"/>
      <c r="DC1" s="283"/>
      <c r="DD1" s="283">
        <v>43626</v>
      </c>
      <c r="DE1" s="283"/>
      <c r="DF1" s="283"/>
      <c r="DG1" s="283"/>
      <c r="DH1" s="283"/>
      <c r="DI1" s="283"/>
      <c r="DJ1" s="283"/>
      <c r="DK1" s="283">
        <v>43633</v>
      </c>
      <c r="DL1" s="283"/>
      <c r="DM1" s="283"/>
      <c r="DN1" s="283"/>
      <c r="DO1" s="283"/>
      <c r="DP1" s="283"/>
      <c r="DQ1" s="283"/>
      <c r="DR1" s="283">
        <v>43640</v>
      </c>
      <c r="DS1" s="283"/>
      <c r="DT1" s="283"/>
      <c r="DU1" s="283"/>
      <c r="DV1" s="283"/>
      <c r="DW1" s="283"/>
      <c r="DX1" s="283"/>
      <c r="DY1" s="283">
        <v>43647</v>
      </c>
      <c r="DZ1" s="283"/>
      <c r="EA1" s="283"/>
      <c r="EB1" s="283"/>
      <c r="EC1" s="283"/>
      <c r="ED1" s="283"/>
      <c r="EE1" s="283"/>
      <c r="EF1" s="283">
        <v>43654</v>
      </c>
      <c r="EG1" s="283"/>
      <c r="EH1" s="283"/>
      <c r="EI1" s="283"/>
      <c r="EJ1" s="283"/>
      <c r="EK1" s="283"/>
      <c r="EL1" s="283"/>
      <c r="EM1" s="283">
        <v>43661</v>
      </c>
      <c r="EN1" s="283"/>
      <c r="EO1" s="283"/>
      <c r="EP1" s="283"/>
      <c r="EQ1" s="283"/>
      <c r="ER1" s="283"/>
      <c r="ES1" s="283"/>
      <c r="ET1" s="283">
        <v>43668</v>
      </c>
      <c r="EU1" s="283"/>
      <c r="EV1" s="283"/>
      <c r="EW1" s="283"/>
      <c r="EX1" s="283"/>
      <c r="EY1" s="283"/>
      <c r="EZ1" s="283"/>
      <c r="FA1" s="283">
        <v>43675</v>
      </c>
      <c r="FB1" s="283"/>
      <c r="FC1" s="283"/>
      <c r="FD1" s="283"/>
      <c r="FE1" s="283"/>
      <c r="FF1" s="283"/>
      <c r="FG1" s="283"/>
      <c r="FH1" s="283">
        <v>43682</v>
      </c>
      <c r="FI1" s="283"/>
      <c r="FJ1" s="283"/>
      <c r="FK1" s="283"/>
      <c r="FL1" s="283"/>
      <c r="FM1" s="283"/>
      <c r="FN1" s="283"/>
      <c r="FO1" s="283">
        <v>43689</v>
      </c>
      <c r="FP1" s="283"/>
      <c r="FQ1" s="283"/>
      <c r="FR1" s="283"/>
      <c r="FS1" s="283"/>
      <c r="FT1" s="283"/>
      <c r="FU1" s="283"/>
      <c r="FV1" s="283">
        <v>43696</v>
      </c>
      <c r="FW1" s="283"/>
      <c r="FX1" s="283"/>
      <c r="FY1" s="283"/>
      <c r="FZ1" s="283"/>
      <c r="GA1" s="283"/>
      <c r="GB1" s="283"/>
      <c r="GC1" s="283">
        <v>43703</v>
      </c>
      <c r="GD1" s="283"/>
      <c r="GE1" s="283"/>
      <c r="GF1" s="283"/>
      <c r="GG1" s="283"/>
      <c r="GH1" s="283"/>
      <c r="GI1" s="394"/>
      <c r="GJ1" s="394">
        <v>43710</v>
      </c>
      <c r="GK1" s="394"/>
      <c r="GL1" s="394"/>
      <c r="GM1" s="283"/>
      <c r="GN1" s="283"/>
      <c r="GO1" s="283"/>
      <c r="GP1" s="283"/>
      <c r="GQ1" s="283">
        <v>43717</v>
      </c>
      <c r="GR1" s="283"/>
      <c r="GS1" s="283"/>
      <c r="GT1" s="283"/>
      <c r="GU1" s="283"/>
      <c r="GV1" s="283"/>
      <c r="GW1" s="283"/>
      <c r="GX1" s="283">
        <v>43724</v>
      </c>
      <c r="GY1" s="283"/>
      <c r="GZ1" s="283"/>
      <c r="HA1" s="283"/>
      <c r="HB1" s="283"/>
      <c r="HC1" s="283"/>
      <c r="HD1" s="283"/>
      <c r="HE1" s="283">
        <v>43731</v>
      </c>
      <c r="HF1" s="283"/>
      <c r="HG1" s="283"/>
      <c r="HH1" s="283"/>
      <c r="HI1" s="283"/>
      <c r="HJ1" s="283"/>
      <c r="HK1" s="283"/>
      <c r="HL1" s="283">
        <v>43738</v>
      </c>
      <c r="HM1" s="283"/>
      <c r="HN1" s="283"/>
      <c r="HO1" s="283"/>
      <c r="HP1" s="283"/>
      <c r="HQ1" s="283"/>
      <c r="HR1" s="283"/>
      <c r="HS1" s="283">
        <v>43745</v>
      </c>
      <c r="HT1" s="283"/>
      <c r="HU1" s="283"/>
      <c r="HV1" s="283"/>
      <c r="HW1" s="283"/>
      <c r="HX1" s="283"/>
      <c r="HY1" s="283"/>
      <c r="HZ1" s="283">
        <v>43752</v>
      </c>
      <c r="IA1" s="283"/>
      <c r="IB1" s="283"/>
      <c r="IC1" s="283"/>
      <c r="ID1" s="283"/>
      <c r="IE1" s="283"/>
      <c r="IF1" s="283"/>
      <c r="IG1" s="283">
        <v>43759</v>
      </c>
      <c r="IH1" s="283"/>
      <c r="II1" s="283"/>
      <c r="IJ1" s="283"/>
      <c r="IK1" s="283"/>
      <c r="IL1" s="283"/>
      <c r="IM1" s="283"/>
      <c r="IN1" s="283">
        <v>43766</v>
      </c>
      <c r="IO1" s="283"/>
      <c r="IP1" s="283"/>
      <c r="IQ1" s="283"/>
      <c r="IR1" s="283"/>
      <c r="IS1" s="283"/>
      <c r="IT1" s="283"/>
      <c r="IU1" s="283">
        <v>43773</v>
      </c>
      <c r="IV1" s="283"/>
      <c r="IW1" s="283"/>
      <c r="IX1" s="283"/>
      <c r="IY1" s="283"/>
      <c r="IZ1" s="283"/>
      <c r="JA1" s="283"/>
      <c r="JB1" s="283">
        <v>43780</v>
      </c>
      <c r="JC1" s="283"/>
      <c r="JD1" s="283"/>
      <c r="JE1" s="283"/>
      <c r="JF1" s="283"/>
      <c r="JG1" s="283"/>
      <c r="JH1" s="283"/>
      <c r="JI1" s="283">
        <v>43787</v>
      </c>
      <c r="JJ1" s="283"/>
      <c r="JK1" s="283"/>
      <c r="JL1" s="283"/>
      <c r="JM1" s="283"/>
      <c r="JN1" s="283"/>
      <c r="JO1" s="283"/>
      <c r="JP1" s="283">
        <v>43794</v>
      </c>
      <c r="JQ1" s="283"/>
      <c r="JR1" s="283"/>
      <c r="JS1" s="283"/>
      <c r="JT1" s="283"/>
      <c r="JU1" s="283"/>
      <c r="JV1" s="283"/>
      <c r="JW1" s="283">
        <v>43801</v>
      </c>
      <c r="JX1" s="283"/>
      <c r="JY1" s="283"/>
      <c r="JZ1" s="283"/>
      <c r="KA1" s="283"/>
      <c r="KB1" s="283"/>
      <c r="KC1" s="283"/>
      <c r="KD1" s="283">
        <v>43808</v>
      </c>
      <c r="KE1" s="283"/>
      <c r="KF1" s="283"/>
      <c r="KG1" s="283"/>
      <c r="KH1" s="283"/>
      <c r="KI1" s="283"/>
      <c r="KJ1" s="283"/>
      <c r="KK1" s="283">
        <v>43815</v>
      </c>
      <c r="KL1" s="283"/>
      <c r="KM1" s="283"/>
      <c r="KN1" s="283"/>
      <c r="KO1" s="283"/>
      <c r="KP1" s="283"/>
      <c r="KQ1" s="283"/>
      <c r="KR1" s="283">
        <v>43822</v>
      </c>
      <c r="KS1" s="283"/>
      <c r="KT1" s="283"/>
      <c r="KU1" s="283"/>
      <c r="KV1" s="283"/>
      <c r="KW1" s="283"/>
      <c r="KX1" s="283"/>
      <c r="KY1" s="283">
        <v>43829</v>
      </c>
      <c r="KZ1" s="283"/>
      <c r="LA1" s="283"/>
      <c r="LB1" s="283"/>
      <c r="LC1" s="283"/>
      <c r="LD1" s="283"/>
      <c r="LE1" s="283"/>
      <c r="LF1" s="283">
        <v>43836</v>
      </c>
      <c r="LG1" s="283"/>
      <c r="LH1" s="283"/>
      <c r="LI1" s="283"/>
      <c r="LJ1" s="283"/>
      <c r="LK1" s="283"/>
      <c r="LL1" s="283"/>
      <c r="LM1" s="283">
        <v>43843</v>
      </c>
      <c r="LN1" s="283"/>
      <c r="LO1" s="283"/>
      <c r="LP1" s="283"/>
      <c r="LQ1" s="283"/>
      <c r="LR1" s="283"/>
      <c r="LS1" s="283"/>
      <c r="LT1" s="283">
        <v>43850</v>
      </c>
      <c r="LU1" s="283"/>
      <c r="LV1" s="283"/>
      <c r="LW1" s="283"/>
      <c r="LX1" s="283"/>
      <c r="LY1" s="283"/>
      <c r="LZ1" s="283"/>
      <c r="MA1" s="283">
        <v>43857</v>
      </c>
      <c r="MB1" s="283"/>
      <c r="MC1" s="283"/>
      <c r="MD1" s="283"/>
      <c r="ME1" s="283"/>
      <c r="MF1" s="283"/>
      <c r="MG1" s="283"/>
      <c r="MH1" s="283">
        <v>43864</v>
      </c>
      <c r="MI1" s="283"/>
      <c r="MJ1" s="283"/>
      <c r="MK1" s="283"/>
      <c r="ML1" s="283"/>
      <c r="MM1" s="283"/>
      <c r="MN1" s="283"/>
      <c r="MO1" s="283">
        <v>43871</v>
      </c>
      <c r="MP1" s="283"/>
      <c r="MQ1" s="283"/>
      <c r="MR1" s="283"/>
      <c r="MS1" s="283"/>
      <c r="MT1" s="283"/>
      <c r="MU1" s="283"/>
      <c r="MV1" s="283">
        <v>43878</v>
      </c>
      <c r="MW1" s="283"/>
      <c r="MX1" s="283"/>
      <c r="MY1" s="283"/>
      <c r="MZ1" s="283"/>
      <c r="NA1" s="283"/>
      <c r="NB1" s="283"/>
      <c r="NC1" s="283">
        <v>43885</v>
      </c>
      <c r="ND1" s="283"/>
      <c r="NE1" s="283"/>
      <c r="NF1" s="283"/>
      <c r="NG1" s="283"/>
      <c r="NH1" s="283"/>
      <c r="NI1" s="283"/>
      <c r="NJ1" s="283">
        <v>43892</v>
      </c>
      <c r="NK1" s="283"/>
      <c r="NL1" s="283"/>
      <c r="NM1" s="283"/>
      <c r="NN1" s="283"/>
      <c r="NO1" s="283"/>
      <c r="NP1" s="283"/>
      <c r="NQ1" s="283">
        <v>43899</v>
      </c>
      <c r="NR1" s="283"/>
      <c r="NS1" s="283"/>
      <c r="NT1" s="283"/>
      <c r="NU1" s="283"/>
      <c r="NV1" s="283"/>
      <c r="NW1" s="283"/>
      <c r="NX1" s="283">
        <v>43906</v>
      </c>
      <c r="NY1" s="283"/>
      <c r="NZ1" s="283"/>
      <c r="OA1" s="283"/>
      <c r="OB1" s="283"/>
      <c r="OC1" s="283"/>
      <c r="OD1" s="283"/>
      <c r="OE1" s="283">
        <v>43913</v>
      </c>
      <c r="OF1" s="283"/>
      <c r="OG1" s="283"/>
      <c r="OH1" s="283"/>
      <c r="OI1" s="283"/>
      <c r="OJ1" s="283"/>
      <c r="OK1" s="283"/>
      <c r="OL1" s="283">
        <v>43920</v>
      </c>
      <c r="OM1" s="283"/>
      <c r="ON1" s="283"/>
      <c r="OO1" s="283"/>
      <c r="OP1" s="283"/>
      <c r="OQ1" s="283"/>
      <c r="OR1" s="283"/>
      <c r="OS1" s="283">
        <v>43927</v>
      </c>
      <c r="OT1" s="283"/>
      <c r="OU1" s="283"/>
      <c r="OV1" s="283"/>
      <c r="OW1" s="283"/>
      <c r="OX1" s="283"/>
      <c r="OY1" s="283"/>
      <c r="OZ1" s="283">
        <v>43934</v>
      </c>
      <c r="PA1" s="283"/>
      <c r="PB1" s="283"/>
      <c r="PC1" s="283"/>
      <c r="PD1" s="283"/>
      <c r="PE1" s="283"/>
      <c r="PF1" s="283"/>
      <c r="PG1" s="283">
        <v>43941</v>
      </c>
      <c r="PH1" s="283"/>
      <c r="PI1" s="283"/>
      <c r="PJ1" s="283"/>
      <c r="PK1" s="283"/>
      <c r="PL1" s="283"/>
      <c r="PM1" s="283"/>
      <c r="PN1" s="283">
        <v>43948</v>
      </c>
      <c r="PO1" s="283"/>
      <c r="PP1" s="283"/>
      <c r="PQ1" s="283"/>
      <c r="PR1" s="283"/>
      <c r="PS1" s="283"/>
      <c r="PT1" s="283"/>
      <c r="PU1" s="283">
        <v>43955</v>
      </c>
      <c r="PV1" s="283"/>
      <c r="PW1" s="283"/>
      <c r="PX1" s="283"/>
      <c r="PY1" s="283"/>
      <c r="PZ1" s="283"/>
      <c r="QA1" s="283"/>
      <c r="QB1" s="283">
        <v>43962</v>
      </c>
      <c r="QC1" s="283"/>
      <c r="QD1" s="283"/>
      <c r="QE1" s="283"/>
      <c r="QF1" s="283"/>
      <c r="QG1" s="283"/>
      <c r="QH1" s="283"/>
      <c r="QI1" s="283">
        <v>43969</v>
      </c>
      <c r="QJ1" s="283"/>
      <c r="QK1" s="283"/>
      <c r="QL1" s="283"/>
      <c r="QM1" s="283"/>
      <c r="QN1" s="283"/>
      <c r="QO1" s="283"/>
      <c r="QP1" s="283">
        <v>43976</v>
      </c>
      <c r="QQ1" s="283"/>
      <c r="QR1" s="283"/>
      <c r="QS1" s="283"/>
      <c r="QT1" s="283"/>
      <c r="QU1" s="283"/>
      <c r="QV1" s="283"/>
      <c r="QW1" s="283">
        <v>43983</v>
      </c>
      <c r="QX1" s="283"/>
      <c r="QY1" s="283"/>
      <c r="QZ1" s="283"/>
      <c r="RA1" s="283"/>
      <c r="RB1" s="283"/>
      <c r="RC1" s="283"/>
      <c r="RD1" s="283">
        <v>43990</v>
      </c>
      <c r="RE1" s="283"/>
      <c r="RF1" s="283"/>
      <c r="RG1" s="283"/>
      <c r="RH1" s="283"/>
      <c r="RI1" s="283"/>
      <c r="RJ1" s="283"/>
      <c r="RK1" s="283">
        <v>43997</v>
      </c>
      <c r="RL1" s="283"/>
      <c r="RM1" s="283"/>
      <c r="RN1" s="283"/>
      <c r="RO1" s="283"/>
      <c r="RP1" s="283"/>
      <c r="RQ1" s="283"/>
      <c r="RR1" s="283">
        <v>44004</v>
      </c>
      <c r="RS1" s="283"/>
      <c r="RT1" s="283"/>
      <c r="RU1" s="283"/>
      <c r="RV1" s="283"/>
      <c r="RW1" s="283"/>
      <c r="RX1" s="283"/>
      <c r="RY1" s="283">
        <v>44011</v>
      </c>
      <c r="RZ1" s="283"/>
      <c r="SA1" s="283"/>
      <c r="SB1" s="283"/>
      <c r="SC1" s="283"/>
      <c r="SD1" s="283"/>
      <c r="SE1" s="283"/>
      <c r="SF1" s="283">
        <v>44018</v>
      </c>
      <c r="SG1" s="283"/>
      <c r="SH1" s="283"/>
      <c r="SI1" s="283"/>
      <c r="SJ1" s="283"/>
      <c r="SK1" s="283"/>
      <c r="SL1" s="283"/>
      <c r="SM1" s="283">
        <v>44025</v>
      </c>
      <c r="SN1" s="283"/>
      <c r="SO1" s="283"/>
      <c r="SP1" s="283"/>
      <c r="SQ1" s="283"/>
      <c r="SR1" s="283"/>
      <c r="SS1" s="283"/>
      <c r="ST1" s="283">
        <v>44032</v>
      </c>
      <c r="SU1" s="283"/>
      <c r="SV1" s="283"/>
      <c r="SW1" s="283"/>
      <c r="SX1" s="283"/>
      <c r="SY1" s="283"/>
      <c r="SZ1" s="283"/>
      <c r="TA1" s="283">
        <v>44039</v>
      </c>
      <c r="TB1" s="283"/>
      <c r="TC1" s="283"/>
      <c r="TD1" s="283"/>
      <c r="TE1" s="283"/>
      <c r="TF1" s="283"/>
      <c r="TG1" s="283"/>
      <c r="TH1" s="283">
        <v>44046</v>
      </c>
      <c r="TI1" s="283"/>
      <c r="TJ1" s="283"/>
      <c r="TK1" s="283"/>
      <c r="TL1" s="283"/>
      <c r="TM1" s="283"/>
      <c r="TN1" s="283"/>
      <c r="TO1" s="283">
        <v>44053</v>
      </c>
      <c r="TP1" s="283"/>
      <c r="TQ1" s="283"/>
      <c r="TR1" s="283"/>
      <c r="TS1" s="283"/>
      <c r="TT1" s="283"/>
      <c r="TU1" s="283"/>
      <c r="TV1" s="283">
        <v>44060</v>
      </c>
      <c r="TW1" s="283"/>
      <c r="TX1" s="283"/>
      <c r="TY1" s="283"/>
      <c r="TZ1" s="283"/>
      <c r="UA1" s="283"/>
      <c r="UB1" s="283"/>
      <c r="UC1" s="283">
        <v>44067</v>
      </c>
      <c r="UD1" s="283"/>
      <c r="UE1" s="283"/>
      <c r="UF1" s="283"/>
      <c r="UG1" s="283"/>
      <c r="UH1" s="283"/>
      <c r="UI1" s="283"/>
      <c r="UJ1" s="283">
        <v>44074</v>
      </c>
      <c r="UK1" s="283"/>
      <c r="UL1" s="283"/>
      <c r="UM1" s="283"/>
      <c r="UN1" s="283"/>
      <c r="UO1" s="283"/>
      <c r="UP1" s="283"/>
      <c r="UQ1" s="283">
        <v>44081</v>
      </c>
      <c r="UR1" s="283"/>
      <c r="US1" s="283"/>
      <c r="UT1" s="283"/>
      <c r="UU1" s="283"/>
      <c r="UV1" s="283"/>
      <c r="UW1" s="283"/>
      <c r="UX1" s="283">
        <v>44088</v>
      </c>
      <c r="UY1" s="283"/>
      <c r="UZ1" s="283"/>
      <c r="VA1" s="283"/>
      <c r="VB1" s="283"/>
      <c r="VC1" s="283"/>
      <c r="VD1" s="283"/>
      <c r="VE1" s="283">
        <v>44095</v>
      </c>
      <c r="VF1" s="283"/>
      <c r="VG1" s="283"/>
      <c r="VH1" s="283"/>
      <c r="VI1" s="283"/>
      <c r="VJ1" s="283"/>
      <c r="VK1" s="283"/>
      <c r="VL1" s="283">
        <v>44102</v>
      </c>
      <c r="VM1" s="283"/>
      <c r="VN1" s="283"/>
      <c r="VO1" s="283"/>
      <c r="VP1" s="283"/>
      <c r="VQ1" s="283"/>
      <c r="VR1" s="283"/>
      <c r="VS1" s="283">
        <v>44109</v>
      </c>
      <c r="VT1" s="283"/>
      <c r="VU1" s="283"/>
      <c r="VV1" s="283"/>
      <c r="VW1" s="283"/>
      <c r="VX1" s="283"/>
      <c r="VY1" s="283"/>
      <c r="VZ1" s="283">
        <v>44116</v>
      </c>
      <c r="WA1" s="283"/>
      <c r="WB1" s="283"/>
      <c r="WC1" s="283"/>
      <c r="WD1" s="283"/>
      <c r="WE1" s="283"/>
      <c r="WF1" s="283"/>
      <c r="WG1" s="283">
        <v>44123</v>
      </c>
      <c r="WH1" s="283"/>
      <c r="WI1" s="283"/>
      <c r="WJ1" s="283"/>
      <c r="WK1" s="283"/>
      <c r="WL1" s="283"/>
      <c r="WM1" s="283"/>
      <c r="WN1" s="283">
        <v>44130</v>
      </c>
      <c r="WO1" s="283"/>
      <c r="WP1" s="283"/>
      <c r="WQ1" s="283"/>
      <c r="WR1" s="283"/>
      <c r="WS1" s="283"/>
      <c r="WT1" s="283"/>
      <c r="WU1" s="283">
        <v>44137</v>
      </c>
      <c r="WV1" s="283"/>
      <c r="WW1" s="283"/>
      <c r="WX1" s="283"/>
      <c r="WY1" s="283"/>
      <c r="WZ1" s="283"/>
      <c r="XA1" s="283"/>
      <c r="XB1" s="283">
        <v>44144</v>
      </c>
      <c r="XC1" s="283"/>
      <c r="XD1" s="283"/>
      <c r="XE1" s="283"/>
      <c r="XF1" s="283"/>
      <c r="XG1" s="283"/>
      <c r="XH1" s="283"/>
      <c r="XI1" s="283">
        <v>44151</v>
      </c>
      <c r="XJ1" s="283"/>
      <c r="XK1" s="283"/>
      <c r="XL1" s="283"/>
      <c r="XM1" s="283"/>
      <c r="XN1" s="283"/>
      <c r="XO1" s="283"/>
      <c r="XP1" s="283">
        <v>44158</v>
      </c>
      <c r="XQ1" s="283"/>
      <c r="XR1" s="283"/>
      <c r="XS1" s="283"/>
      <c r="XT1" s="283"/>
      <c r="XU1" s="283"/>
      <c r="XV1" s="283"/>
      <c r="XW1" s="283">
        <v>44165</v>
      </c>
      <c r="XX1" s="283"/>
      <c r="XY1" s="283"/>
      <c r="XZ1" s="283"/>
      <c r="YA1" s="283"/>
      <c r="YB1" s="283"/>
      <c r="YC1" s="283"/>
      <c r="YD1" s="283">
        <v>44172</v>
      </c>
      <c r="YE1" s="283"/>
      <c r="YF1" s="283"/>
      <c r="YG1" s="283"/>
      <c r="YH1" s="283"/>
      <c r="YI1" s="283"/>
      <c r="YJ1" s="283"/>
      <c r="YK1" s="283">
        <v>44179</v>
      </c>
      <c r="YL1" s="283"/>
      <c r="YM1" s="283"/>
      <c r="YN1" s="283"/>
      <c r="YO1" s="283"/>
      <c r="YP1" s="283"/>
      <c r="YQ1" s="283"/>
      <c r="YR1" s="283">
        <v>44186</v>
      </c>
      <c r="YS1" s="283"/>
      <c r="YT1" s="283"/>
      <c r="YU1" s="283"/>
      <c r="YV1" s="283"/>
      <c r="YW1" s="283"/>
      <c r="YX1" s="283"/>
      <c r="YY1" s="283">
        <v>44193</v>
      </c>
      <c r="YZ1" s="283"/>
      <c r="ZA1" s="283"/>
      <c r="ZB1" s="283"/>
      <c r="ZC1" s="283"/>
      <c r="ZD1" s="283"/>
      <c r="ZE1" s="283"/>
      <c r="ZF1" s="283">
        <v>44200</v>
      </c>
      <c r="ZG1" s="283"/>
      <c r="ZH1" s="283"/>
      <c r="ZI1" s="283"/>
      <c r="ZJ1" s="283"/>
      <c r="ZK1" s="283"/>
      <c r="ZL1" s="283"/>
      <c r="ZM1" s="283">
        <v>44207</v>
      </c>
      <c r="ZN1" s="283"/>
      <c r="ZO1" s="283"/>
      <c r="ZP1" s="283"/>
      <c r="ZQ1" s="283"/>
      <c r="ZR1" s="283"/>
      <c r="ZS1" s="283"/>
      <c r="ZT1" s="283">
        <v>44214</v>
      </c>
      <c r="ZU1" s="283"/>
      <c r="ZV1" s="283"/>
      <c r="ZW1" s="283"/>
      <c r="ZX1" s="283"/>
      <c r="ZY1" s="283"/>
      <c r="ZZ1" s="283"/>
      <c r="AAA1" s="283">
        <v>44221</v>
      </c>
      <c r="AAB1" s="283"/>
      <c r="AAC1" s="283"/>
      <c r="AAD1" s="283"/>
      <c r="AAE1" s="283"/>
      <c r="AAF1" s="283"/>
      <c r="AAG1" s="283"/>
      <c r="AAH1" s="283">
        <v>44228</v>
      </c>
      <c r="AAI1" s="283"/>
      <c r="AAJ1" s="283"/>
      <c r="AAK1" s="283"/>
      <c r="AAL1" s="283"/>
      <c r="AAM1" s="283"/>
      <c r="AAN1" s="283"/>
      <c r="AAO1" s="283">
        <v>44235</v>
      </c>
      <c r="AAP1" s="283"/>
      <c r="AAQ1" s="283"/>
      <c r="AAR1" s="283"/>
      <c r="AAS1" s="283"/>
      <c r="AAT1" s="283"/>
      <c r="AAU1" s="283"/>
      <c r="AAV1" s="283">
        <v>44242</v>
      </c>
      <c r="AAW1" s="283"/>
      <c r="AAX1" s="283"/>
      <c r="AAY1" s="283"/>
      <c r="AAZ1" s="283"/>
      <c r="ABA1" s="283"/>
      <c r="ABB1" s="283"/>
      <c r="ABC1" s="283">
        <v>44249</v>
      </c>
      <c r="ABD1" s="283"/>
      <c r="ABE1" s="283"/>
      <c r="ABF1" s="283"/>
      <c r="ABG1" s="283"/>
      <c r="ABH1" s="283"/>
      <c r="ABI1" s="283"/>
      <c r="ABJ1" s="283">
        <v>44256</v>
      </c>
      <c r="ABK1" s="283"/>
      <c r="ABL1" s="283"/>
      <c r="ABM1" s="283"/>
      <c r="ABN1" s="283"/>
      <c r="ABO1" s="283"/>
      <c r="ABP1" s="283"/>
      <c r="ABQ1" s="283">
        <v>44263</v>
      </c>
      <c r="ABR1" s="283"/>
      <c r="ABS1" s="283"/>
      <c r="ABT1" s="283"/>
      <c r="ABU1" s="283"/>
      <c r="ABV1" s="283"/>
      <c r="ABW1" s="283"/>
      <c r="ABX1" s="283">
        <v>44270</v>
      </c>
      <c r="ABY1" s="283"/>
      <c r="ABZ1" s="283"/>
      <c r="ACA1" s="283"/>
      <c r="ACB1" s="283"/>
      <c r="ACC1" s="283"/>
      <c r="ACD1" s="283"/>
      <c r="ACE1" s="283">
        <v>44277</v>
      </c>
      <c r="ACF1" s="283"/>
      <c r="ACG1" s="283"/>
      <c r="ACH1" s="283"/>
      <c r="ACI1" s="283"/>
      <c r="ACJ1" s="283"/>
      <c r="ACK1" s="283"/>
      <c r="ACL1" s="283">
        <v>44284</v>
      </c>
      <c r="ACM1" s="283"/>
      <c r="ACN1" s="283"/>
      <c r="ACO1" s="283"/>
      <c r="ACP1" s="283"/>
      <c r="ACQ1" s="283"/>
      <c r="ACR1" s="283"/>
      <c r="ACS1" s="283">
        <v>44291</v>
      </c>
      <c r="ACT1" s="283"/>
      <c r="ACU1" s="283"/>
      <c r="ACV1" s="283"/>
      <c r="ACW1" s="283"/>
      <c r="ACX1" s="283"/>
      <c r="ACY1" s="283"/>
      <c r="ACZ1" s="283">
        <v>44298</v>
      </c>
      <c r="ADA1" s="283"/>
      <c r="ADB1" s="283"/>
      <c r="ADC1" s="283"/>
      <c r="ADD1" s="283"/>
      <c r="ADE1" s="283"/>
      <c r="ADF1" s="283"/>
      <c r="ADG1" s="283">
        <v>44305</v>
      </c>
      <c r="ADH1" s="283"/>
      <c r="ADI1" s="283"/>
      <c r="ADJ1" s="283"/>
      <c r="ADK1" s="283"/>
      <c r="ADL1" s="283"/>
      <c r="ADM1" s="283"/>
      <c r="ADN1" s="283">
        <v>44312</v>
      </c>
      <c r="ADO1" s="283"/>
      <c r="ADP1" s="283"/>
      <c r="ADQ1" s="283"/>
      <c r="ADR1" s="283"/>
      <c r="ADS1" s="283"/>
      <c r="ADT1" s="283"/>
      <c r="ADU1" s="283">
        <v>44319</v>
      </c>
      <c r="ADV1" s="283"/>
      <c r="ADW1" s="283"/>
      <c r="ADX1" s="283"/>
      <c r="ADY1" s="283"/>
      <c r="ADZ1" s="283"/>
      <c r="AEA1" s="283"/>
      <c r="AEB1" s="283">
        <v>44326</v>
      </c>
      <c r="AEC1" s="283"/>
      <c r="AED1" s="283"/>
      <c r="AEE1" s="283"/>
      <c r="AEF1" s="283"/>
      <c r="AEG1" s="283"/>
      <c r="AEH1" s="283"/>
      <c r="AEI1" s="283">
        <v>44333</v>
      </c>
      <c r="AEJ1" s="283"/>
      <c r="AEK1" s="283"/>
      <c r="AEL1" s="283"/>
      <c r="AEM1" s="283"/>
      <c r="AEN1" s="283"/>
      <c r="AEO1" s="283"/>
      <c r="AEP1" s="283">
        <v>44340</v>
      </c>
      <c r="AEQ1" s="283"/>
      <c r="AER1" s="283"/>
      <c r="AES1" s="283"/>
      <c r="AET1" s="283"/>
      <c r="AEU1" s="283"/>
      <c r="AEV1" s="283"/>
      <c r="AEW1" s="283">
        <v>44347</v>
      </c>
      <c r="AEX1" s="283"/>
      <c r="AEY1" s="283"/>
      <c r="AEZ1" s="283"/>
      <c r="AFA1" s="283"/>
      <c r="AFB1" s="283"/>
      <c r="AFC1" s="283"/>
      <c r="AFD1" s="283">
        <v>44354</v>
      </c>
      <c r="AFE1" s="283"/>
      <c r="AFF1" s="283"/>
      <c r="AFG1" s="283"/>
      <c r="AFH1" s="283"/>
      <c r="AFI1" s="283"/>
      <c r="AFJ1" s="283"/>
      <c r="AFK1" s="283">
        <v>44361</v>
      </c>
      <c r="AFL1" s="283"/>
      <c r="AFM1" s="283"/>
      <c r="AFN1" s="283"/>
      <c r="AFO1" s="283"/>
      <c r="AFP1" s="283"/>
      <c r="AFQ1" s="283"/>
      <c r="AFR1" s="283">
        <v>44368</v>
      </c>
      <c r="AFS1" s="283"/>
      <c r="AFT1" s="283"/>
      <c r="AFU1" s="283"/>
      <c r="AFV1" s="283"/>
      <c r="AFW1" s="283"/>
      <c r="AFX1" s="283"/>
      <c r="AFY1" s="283">
        <v>44375</v>
      </c>
      <c r="AFZ1" s="283"/>
      <c r="AGA1" s="283"/>
      <c r="AGB1" s="283"/>
      <c r="AGC1" s="283"/>
      <c r="AGD1" s="283"/>
      <c r="AGE1" s="283"/>
      <c r="AGF1" s="283">
        <v>44382</v>
      </c>
      <c r="AGG1" s="283"/>
      <c r="AGH1" s="283"/>
      <c r="AGI1" s="283"/>
      <c r="AGJ1" s="283"/>
      <c r="AGK1" s="283"/>
      <c r="AGL1" s="283"/>
      <c r="AGM1" s="283">
        <v>44389</v>
      </c>
      <c r="AGN1" s="283"/>
      <c r="AGO1" s="283"/>
      <c r="AGP1" s="283"/>
      <c r="AGQ1" s="283"/>
      <c r="AGR1" s="283"/>
      <c r="AGS1" s="283"/>
      <c r="AGT1" s="283">
        <v>44396</v>
      </c>
      <c r="AGU1" s="283"/>
      <c r="AGV1" s="283"/>
      <c r="AGW1" s="283"/>
      <c r="AGX1" s="283"/>
      <c r="AGY1" s="283"/>
      <c r="AGZ1" s="283"/>
      <c r="AHA1" s="283">
        <v>44403</v>
      </c>
      <c r="AHB1" s="283"/>
      <c r="AHC1" s="283"/>
      <c r="AHD1" s="283"/>
      <c r="AHE1" s="283"/>
      <c r="AHF1" s="283"/>
      <c r="AHG1" s="283"/>
      <c r="AHH1" s="283">
        <v>44410</v>
      </c>
      <c r="AHI1" s="283"/>
      <c r="AHJ1" s="283"/>
      <c r="AHK1" s="283"/>
      <c r="AHL1" s="283"/>
      <c r="AHM1" s="283"/>
      <c r="AHN1" s="283"/>
      <c r="AHO1" s="283">
        <v>44417</v>
      </c>
      <c r="AHP1" s="283"/>
      <c r="AHQ1" s="283"/>
      <c r="AHR1" s="283"/>
      <c r="AHS1" s="283"/>
      <c r="AHT1" s="283"/>
      <c r="AHU1" s="283"/>
      <c r="AHV1" s="283">
        <v>44424</v>
      </c>
      <c r="AHW1" s="283"/>
      <c r="AHX1" s="283"/>
      <c r="AHY1" s="283"/>
      <c r="AHZ1" s="283"/>
      <c r="AIA1" s="283"/>
      <c r="AIB1" s="283"/>
      <c r="AIC1" s="283">
        <v>44431</v>
      </c>
      <c r="AID1" s="283"/>
      <c r="AIE1" s="283"/>
      <c r="AIF1" s="283"/>
      <c r="AIG1" s="283"/>
      <c r="AIH1" s="283"/>
      <c r="AII1" s="283"/>
      <c r="AIJ1" s="283">
        <v>44438</v>
      </c>
      <c r="AIK1" s="283"/>
      <c r="AIL1" s="283"/>
      <c r="AIM1" s="283"/>
      <c r="AIN1" s="283"/>
      <c r="AIO1" s="283"/>
      <c r="AIP1" s="283"/>
      <c r="AIQ1" s="283">
        <v>44445</v>
      </c>
      <c r="AIR1" s="283"/>
      <c r="AIS1" s="283"/>
      <c r="AIT1" s="283"/>
      <c r="AIU1" s="283"/>
      <c r="AIV1" s="283"/>
      <c r="AIW1" s="283"/>
      <c r="AIX1" s="283">
        <v>44452</v>
      </c>
      <c r="AIY1" s="283"/>
      <c r="AIZ1" s="283"/>
      <c r="AJA1" s="283"/>
      <c r="AJB1" s="283"/>
      <c r="AJC1" s="283"/>
      <c r="AJD1" s="283"/>
      <c r="AJE1" s="283">
        <v>44459</v>
      </c>
      <c r="AJF1" s="283"/>
      <c r="AJG1" s="283"/>
      <c r="AJH1" s="283"/>
      <c r="AJI1" s="283"/>
      <c r="AJJ1" s="283"/>
      <c r="AJK1" s="283"/>
      <c r="AJL1" s="283">
        <v>44466</v>
      </c>
      <c r="AJM1" s="283"/>
      <c r="AJN1" s="283"/>
      <c r="AJO1" s="283"/>
      <c r="AJP1" s="283"/>
      <c r="AJQ1" s="283"/>
      <c r="AJR1" s="283"/>
      <c r="AJS1" s="283">
        <v>44473</v>
      </c>
      <c r="AJT1" s="283"/>
      <c r="AJU1" s="283"/>
      <c r="AJV1" s="283"/>
      <c r="AJW1" s="283"/>
      <c r="AJX1" s="283"/>
      <c r="AJY1" s="283"/>
      <c r="AJZ1" s="283">
        <v>44480</v>
      </c>
      <c r="AKA1" s="283"/>
      <c r="AKB1" s="283"/>
      <c r="AKC1" s="283"/>
      <c r="AKD1" s="283"/>
      <c r="AKE1" s="283"/>
      <c r="AKF1" s="283"/>
      <c r="AKG1" s="283">
        <v>44487</v>
      </c>
      <c r="AKH1" s="283"/>
      <c r="AKI1" s="283"/>
      <c r="AKJ1" s="283"/>
      <c r="AKK1" s="283"/>
      <c r="AKL1" s="283"/>
      <c r="AKM1" s="283"/>
      <c r="AKN1" s="283">
        <v>44494</v>
      </c>
      <c r="AKO1" s="283"/>
      <c r="AKP1" s="283"/>
      <c r="AKQ1" s="283"/>
      <c r="AKR1" s="283"/>
      <c r="AKS1" s="283"/>
      <c r="AKT1" s="283"/>
      <c r="AKU1" s="283">
        <v>44501</v>
      </c>
      <c r="AKV1" s="283"/>
      <c r="AKW1" s="283"/>
      <c r="AKX1" s="283"/>
      <c r="AKY1" s="283"/>
      <c r="AKZ1" s="283"/>
      <c r="ALA1" s="283"/>
      <c r="ALB1" s="283">
        <v>44508</v>
      </c>
      <c r="ALC1" s="283"/>
      <c r="ALD1" s="283"/>
      <c r="ALE1" s="283"/>
      <c r="ALF1" s="283"/>
      <c r="ALG1" s="283"/>
      <c r="ALH1" s="283"/>
      <c r="ALI1" s="283">
        <v>44515</v>
      </c>
      <c r="ALJ1" s="283"/>
      <c r="ALK1" s="283"/>
      <c r="ALL1" s="283"/>
      <c r="ALM1" s="283"/>
      <c r="ALN1" s="283"/>
      <c r="ALO1" s="283"/>
      <c r="ALP1" s="283">
        <v>44522</v>
      </c>
      <c r="ALQ1" s="283"/>
      <c r="ALR1" s="283"/>
      <c r="ALS1" s="283"/>
      <c r="ALT1" s="283"/>
      <c r="ALU1" s="283"/>
      <c r="ALV1" s="283"/>
      <c r="ALW1" s="283">
        <v>44529</v>
      </c>
      <c r="ALX1" s="283"/>
      <c r="ALY1" s="283"/>
      <c r="ALZ1" s="283"/>
      <c r="AMA1" s="283"/>
      <c r="AMB1" s="283"/>
      <c r="AMC1" s="283"/>
      <c r="AMD1" s="283">
        <v>44536</v>
      </c>
      <c r="AME1" s="283"/>
      <c r="AMF1" s="283"/>
      <c r="AMG1" s="283"/>
      <c r="AMH1" s="283"/>
      <c r="AMI1" s="283"/>
      <c r="AMJ1" s="283"/>
      <c r="AMK1" s="283">
        <v>44543</v>
      </c>
      <c r="AML1" s="283"/>
      <c r="AMM1" s="283"/>
      <c r="AMN1" s="283"/>
      <c r="AMO1" s="283"/>
      <c r="AMP1" s="283"/>
      <c r="AMQ1" s="283"/>
      <c r="AMR1" s="283">
        <v>44550</v>
      </c>
      <c r="AMS1" s="283"/>
      <c r="AMT1" s="283"/>
      <c r="AMU1" s="283"/>
      <c r="AMV1" s="283"/>
      <c r="AMW1" s="283"/>
      <c r="AMX1" s="283"/>
      <c r="AMY1" s="283">
        <v>44557</v>
      </c>
      <c r="AMZ1" s="283"/>
      <c r="ANA1" s="283"/>
      <c r="ANB1" s="283"/>
      <c r="ANC1" s="283"/>
      <c r="AND1" s="283"/>
      <c r="ANE1" s="283"/>
      <c r="ANF1" s="283">
        <v>44564</v>
      </c>
      <c r="ANG1" s="283"/>
      <c r="ANH1" s="283"/>
      <c r="ANI1" s="283"/>
      <c r="ANJ1" s="283"/>
      <c r="ANK1" s="283"/>
      <c r="ANL1" s="283"/>
      <c r="ANM1" s="283">
        <v>44571</v>
      </c>
      <c r="ANN1" s="283"/>
      <c r="ANO1" s="283"/>
      <c r="ANP1" s="283"/>
      <c r="ANQ1" s="283"/>
      <c r="ANR1" s="283"/>
      <c r="ANS1" s="283"/>
    </row>
    <row r="2" spans="1:1060" ht="88.8" customHeight="1" thickTop="1" thickBot="1">
      <c r="A2" s="60" t="s">
        <v>679</v>
      </c>
      <c r="B2" s="60" t="s">
        <v>679</v>
      </c>
      <c r="C2" s="65"/>
      <c r="D2" s="65"/>
      <c r="E2" s="65"/>
      <c r="F2" s="70" t="s">
        <v>627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5"/>
      <c r="EX2" s="65"/>
      <c r="EY2" s="65"/>
      <c r="EZ2" s="65"/>
      <c r="FA2" s="512" t="s">
        <v>632</v>
      </c>
      <c r="FB2" s="512"/>
      <c r="FC2" s="512"/>
      <c r="FD2" s="512"/>
      <c r="FE2" s="512"/>
      <c r="FF2" s="65"/>
      <c r="FG2" s="65"/>
      <c r="FH2" s="65"/>
      <c r="FI2" s="65"/>
      <c r="FJ2" s="201" t="s">
        <v>634</v>
      </c>
      <c r="FK2" s="65"/>
      <c r="FL2" s="65"/>
      <c r="FM2" s="65"/>
      <c r="FN2" s="65"/>
      <c r="FO2" s="65"/>
      <c r="FP2" s="65"/>
      <c r="FQ2" s="65"/>
      <c r="FR2" s="70" t="s">
        <v>633</v>
      </c>
      <c r="FS2" s="65"/>
      <c r="FT2" s="65"/>
      <c r="FU2" s="65"/>
      <c r="FV2" s="65"/>
      <c r="FW2" s="65"/>
      <c r="FX2" s="65"/>
      <c r="FY2" s="65"/>
      <c r="FZ2" s="65"/>
      <c r="GA2" s="65"/>
      <c r="GB2" s="65"/>
      <c r="GC2" s="65"/>
      <c r="GD2" s="65"/>
      <c r="GE2" s="65"/>
      <c r="GF2" s="65"/>
      <c r="GG2" s="65"/>
      <c r="GH2" s="65"/>
      <c r="GI2" s="532" t="s">
        <v>652</v>
      </c>
      <c r="GJ2" s="533"/>
      <c r="GK2" s="533"/>
      <c r="GL2" s="534"/>
      <c r="GM2" s="65"/>
      <c r="GN2" s="65"/>
      <c r="GO2" s="65"/>
      <c r="GP2" s="65"/>
      <c r="GQ2" s="65"/>
      <c r="GR2" s="65"/>
      <c r="GS2" s="65"/>
      <c r="GT2" s="65"/>
      <c r="GU2" s="65"/>
      <c r="GV2" s="65"/>
      <c r="GW2" s="65"/>
      <c r="GX2" s="65"/>
      <c r="GY2" s="65"/>
      <c r="GZ2" s="65"/>
      <c r="HA2" s="65"/>
      <c r="HB2" s="65"/>
      <c r="HC2" s="65"/>
      <c r="HD2" s="65"/>
      <c r="HE2" s="65"/>
      <c r="HF2" s="65"/>
      <c r="HG2" s="65"/>
      <c r="HH2" s="65"/>
      <c r="HI2" s="65"/>
      <c r="HJ2" s="65"/>
      <c r="HK2" s="65"/>
      <c r="HL2" s="65"/>
      <c r="HM2" s="65"/>
      <c r="HN2" s="65"/>
      <c r="HO2" s="65"/>
      <c r="HP2" s="65"/>
      <c r="HQ2" s="65"/>
      <c r="HR2" s="65"/>
      <c r="HS2" s="65"/>
      <c r="HT2" s="65"/>
      <c r="HU2" s="65"/>
      <c r="HV2" s="65"/>
      <c r="HW2" s="65"/>
      <c r="HX2" s="65"/>
      <c r="HY2" s="65"/>
      <c r="HZ2" s="65"/>
      <c r="IA2" s="65"/>
      <c r="IB2" s="65"/>
      <c r="IC2" s="65"/>
      <c r="ID2" s="65"/>
      <c r="IE2" s="65"/>
      <c r="IF2" s="65"/>
      <c r="IG2" s="65"/>
      <c r="IH2" s="65"/>
      <c r="II2" s="65"/>
      <c r="IJ2" s="65"/>
      <c r="IK2" s="65"/>
      <c r="IL2" s="65"/>
      <c r="IM2" s="65"/>
      <c r="IN2" s="65"/>
      <c r="IO2" s="65"/>
      <c r="IP2" s="65"/>
      <c r="IQ2" s="65"/>
      <c r="IR2" s="65"/>
      <c r="IS2" s="65"/>
      <c r="IT2" s="65"/>
      <c r="IU2" s="65"/>
      <c r="IV2" s="65"/>
      <c r="IW2" s="65"/>
      <c r="IX2" s="65"/>
      <c r="IY2" s="65"/>
      <c r="IZ2" s="65"/>
      <c r="JA2" s="65"/>
      <c r="JB2" s="65"/>
      <c r="JC2" s="65"/>
      <c r="JD2" s="65"/>
      <c r="JE2" s="65"/>
      <c r="JF2" s="65"/>
      <c r="JG2" s="65"/>
      <c r="JH2" s="65"/>
      <c r="JI2" s="65"/>
      <c r="JJ2" s="65"/>
      <c r="JK2" s="65"/>
      <c r="JL2" s="65"/>
      <c r="JM2" s="65"/>
      <c r="JN2" s="65"/>
      <c r="JO2" s="65"/>
      <c r="JP2" s="65"/>
      <c r="JQ2" s="65"/>
      <c r="JR2" s="65"/>
      <c r="JS2" s="65"/>
      <c r="JT2" s="546" t="s">
        <v>698</v>
      </c>
      <c r="JU2" s="546"/>
      <c r="JV2" s="546"/>
      <c r="JW2" s="546"/>
      <c r="JX2" s="546"/>
      <c r="JY2" s="65"/>
      <c r="JZ2" s="65"/>
      <c r="KA2" s="65"/>
      <c r="KB2" s="65"/>
      <c r="KC2" s="65"/>
      <c r="KD2" s="65"/>
      <c r="KE2" s="65"/>
      <c r="KF2" s="65"/>
      <c r="KG2" s="65"/>
      <c r="KH2" s="65"/>
      <c r="KI2" s="65"/>
      <c r="KJ2" s="65"/>
      <c r="KK2" s="65"/>
      <c r="KL2" s="65"/>
      <c r="KM2" s="65"/>
      <c r="KN2" s="65"/>
      <c r="KO2" s="65"/>
      <c r="KP2" s="65"/>
      <c r="KQ2" s="65"/>
      <c r="KR2" s="65"/>
      <c r="KS2" s="65"/>
      <c r="KT2" s="65"/>
      <c r="KU2" s="65"/>
      <c r="KV2" s="65"/>
      <c r="KW2" s="65"/>
      <c r="KX2" s="65"/>
      <c r="KY2" s="65"/>
      <c r="KZ2" s="65"/>
      <c r="LA2" s="65"/>
      <c r="LB2" s="65"/>
      <c r="LC2" s="65"/>
      <c r="LD2" s="65"/>
      <c r="LE2" s="65"/>
      <c r="LF2" s="65"/>
      <c r="LG2" s="65"/>
      <c r="LH2" s="65"/>
      <c r="LI2" s="65"/>
      <c r="LJ2" s="65"/>
      <c r="LK2" s="65"/>
      <c r="LL2" s="65"/>
      <c r="LM2" s="65"/>
      <c r="LN2" s="538" t="s">
        <v>71</v>
      </c>
      <c r="LO2" s="538"/>
      <c r="LP2" s="538"/>
      <c r="LQ2" s="538"/>
      <c r="LR2" s="65"/>
      <c r="LS2" s="65"/>
      <c r="LT2" s="65"/>
      <c r="LU2" s="65"/>
      <c r="LV2" s="65"/>
      <c r="LW2" s="65"/>
      <c r="LX2" s="65"/>
      <c r="LY2" s="65"/>
      <c r="LZ2" s="65"/>
      <c r="MA2" s="65"/>
      <c r="MB2" s="65"/>
      <c r="MC2" s="65"/>
      <c r="MD2" s="65"/>
      <c r="ME2" s="65"/>
      <c r="MF2" s="65"/>
      <c r="MG2" s="65"/>
      <c r="MH2" s="65"/>
      <c r="MI2" s="65"/>
      <c r="MJ2" s="65"/>
      <c r="MK2" s="65"/>
      <c r="ML2" s="65"/>
      <c r="MM2" s="65"/>
      <c r="MN2" s="65"/>
      <c r="MO2" s="485" t="s">
        <v>86</v>
      </c>
      <c r="MP2" s="485"/>
      <c r="MQ2" s="485"/>
      <c r="MR2" s="485"/>
      <c r="MS2" s="485"/>
      <c r="MT2" s="485"/>
      <c r="MU2" s="485"/>
      <c r="MV2" s="485"/>
      <c r="MW2" s="485"/>
      <c r="MX2" s="485"/>
      <c r="MY2" s="485"/>
      <c r="MZ2" s="485"/>
      <c r="NA2" s="485"/>
      <c r="NB2" s="485"/>
      <c r="NC2" s="485"/>
      <c r="ND2" s="485"/>
      <c r="NE2" s="485"/>
      <c r="NF2" s="485"/>
      <c r="NG2" s="485"/>
      <c r="NH2" s="485"/>
      <c r="NI2" s="485"/>
      <c r="NJ2" s="485"/>
      <c r="NK2" s="485"/>
      <c r="NL2" s="485"/>
      <c r="NM2" s="485"/>
      <c r="NN2" s="485"/>
      <c r="NO2" s="485"/>
      <c r="NP2" s="485"/>
      <c r="NQ2" s="485"/>
      <c r="NR2" s="485"/>
      <c r="NS2" s="485"/>
      <c r="NT2" s="485"/>
      <c r="NU2" s="485"/>
      <c r="NV2" s="485"/>
      <c r="NW2" s="485"/>
      <c r="NX2" s="65"/>
      <c r="NY2" s="65"/>
      <c r="NZ2" s="65"/>
      <c r="OA2" s="65"/>
      <c r="OB2" s="65"/>
      <c r="OC2" s="65"/>
      <c r="OD2" s="65"/>
      <c r="OE2" s="65"/>
      <c r="OF2" s="65"/>
      <c r="OG2" s="65"/>
      <c r="OH2" s="65"/>
      <c r="OI2" s="65"/>
      <c r="OJ2" s="65"/>
      <c r="OK2" s="65"/>
      <c r="OL2" s="485" t="s">
        <v>696</v>
      </c>
      <c r="OM2" s="485"/>
      <c r="ON2" s="485"/>
      <c r="OO2" s="485"/>
      <c r="OP2" s="485"/>
      <c r="OQ2" s="485"/>
      <c r="OR2" s="485"/>
      <c r="OS2" s="485"/>
      <c r="OT2" s="485"/>
      <c r="OU2" s="485"/>
      <c r="OV2" s="485"/>
      <c r="OW2" s="485"/>
      <c r="OX2" s="485"/>
      <c r="OY2" s="485"/>
      <c r="OZ2" s="485"/>
      <c r="PA2" s="485"/>
      <c r="PB2" s="485"/>
      <c r="PC2" s="485"/>
      <c r="PD2" s="485"/>
      <c r="PE2" s="485"/>
      <c r="PF2" s="485"/>
      <c r="PG2" s="485"/>
      <c r="PH2" s="485"/>
      <c r="PI2" s="485"/>
      <c r="PJ2" s="485"/>
      <c r="PK2" s="485"/>
      <c r="PL2" s="485"/>
      <c r="PM2" s="485"/>
      <c r="PN2" s="485"/>
      <c r="PO2" s="485"/>
      <c r="PP2" s="485"/>
      <c r="PQ2" s="485"/>
      <c r="PR2" s="485"/>
      <c r="PS2" s="485"/>
      <c r="PT2" s="485"/>
      <c r="PU2" s="485"/>
      <c r="PV2" s="485"/>
      <c r="PW2" s="485"/>
      <c r="PX2" s="485"/>
      <c r="PY2" s="485"/>
      <c r="PZ2" s="485"/>
      <c r="QA2" s="485"/>
      <c r="QB2" s="485"/>
      <c r="QC2" s="65"/>
      <c r="QD2" s="65"/>
      <c r="QE2" s="65"/>
      <c r="QF2" s="65"/>
      <c r="QG2" s="65"/>
      <c r="QH2" s="65"/>
      <c r="QI2" s="65"/>
      <c r="QJ2" s="65"/>
      <c r="QK2" s="65"/>
      <c r="QL2" s="65"/>
      <c r="QM2" s="65"/>
      <c r="QN2" s="65"/>
      <c r="QO2" s="65"/>
      <c r="QP2" s="65"/>
      <c r="QQ2" s="65"/>
      <c r="QR2" s="65"/>
      <c r="QS2" s="65"/>
      <c r="QT2" s="65"/>
      <c r="QU2" s="65"/>
      <c r="QV2" s="65"/>
      <c r="QW2" s="65"/>
      <c r="QX2" s="65"/>
      <c r="QY2" s="65"/>
      <c r="QZ2" s="65"/>
      <c r="RA2" s="65"/>
      <c r="RB2" s="65"/>
      <c r="RC2" s="65"/>
      <c r="RD2" s="65"/>
      <c r="RE2" s="65"/>
      <c r="RF2" s="65"/>
      <c r="RG2" s="65"/>
      <c r="RH2" s="65"/>
      <c r="RI2" s="65"/>
      <c r="RJ2" s="65"/>
      <c r="RK2" s="65"/>
      <c r="RL2" s="65"/>
      <c r="RM2" s="65"/>
      <c r="RN2" s="65"/>
      <c r="RO2" s="65"/>
      <c r="RP2" s="65"/>
      <c r="RQ2" s="65"/>
      <c r="RR2" s="65"/>
      <c r="RS2" s="65"/>
      <c r="RT2" s="65"/>
      <c r="RU2" s="65"/>
      <c r="RV2" s="65"/>
      <c r="RW2" s="65"/>
      <c r="RX2" s="65"/>
      <c r="RY2" s="65"/>
      <c r="RZ2" s="65"/>
      <c r="SA2" s="65"/>
      <c r="SB2" s="65"/>
      <c r="SC2" s="65"/>
      <c r="SD2" s="65"/>
      <c r="SE2" s="65"/>
      <c r="SF2" s="65"/>
      <c r="SG2" s="65"/>
      <c r="SH2" s="65"/>
      <c r="SI2" s="65"/>
      <c r="SJ2" s="65"/>
      <c r="SK2" s="65"/>
      <c r="SL2" s="65"/>
      <c r="SM2" s="65"/>
      <c r="SN2" s="65"/>
      <c r="SO2" s="65"/>
      <c r="SP2" s="65"/>
      <c r="SQ2" s="65"/>
      <c r="SR2" s="65"/>
      <c r="SS2" s="65"/>
      <c r="ST2" s="65"/>
      <c r="SU2" s="65"/>
      <c r="SV2" s="65"/>
      <c r="SW2" s="65"/>
      <c r="SX2" s="65"/>
      <c r="SY2" s="65"/>
      <c r="SZ2" s="65"/>
      <c r="TA2" s="65"/>
      <c r="TB2" s="65"/>
      <c r="TC2" s="65"/>
      <c r="TD2" s="65"/>
      <c r="TE2" s="65"/>
      <c r="TF2" s="65"/>
      <c r="TG2" s="65"/>
      <c r="TH2" s="65"/>
      <c r="TI2" s="65"/>
      <c r="TJ2" s="65"/>
      <c r="TK2" s="65"/>
      <c r="TL2" s="65"/>
      <c r="TM2" s="65"/>
      <c r="TN2" s="65"/>
      <c r="TO2" s="65"/>
      <c r="TP2" s="65"/>
      <c r="TQ2" s="65"/>
      <c r="TR2" s="65"/>
      <c r="TS2" s="65"/>
      <c r="TT2" s="65"/>
      <c r="TU2" s="65"/>
      <c r="TV2" s="65"/>
      <c r="TW2" s="65"/>
      <c r="TX2" s="65"/>
      <c r="TY2" s="65"/>
      <c r="TZ2" s="65"/>
      <c r="UA2" s="65"/>
      <c r="UB2" s="65"/>
      <c r="UC2" s="65"/>
      <c r="UD2" s="65"/>
      <c r="UE2" s="65"/>
      <c r="UF2" s="65"/>
      <c r="UG2" s="65"/>
      <c r="UH2" s="65"/>
      <c r="UI2" s="65"/>
      <c r="UJ2" s="65"/>
      <c r="UK2" s="202" t="s">
        <v>649</v>
      </c>
      <c r="UL2" s="65"/>
      <c r="UM2" s="65"/>
      <c r="UN2" s="65"/>
      <c r="UO2" s="65"/>
      <c r="UP2" s="65"/>
      <c r="UQ2" s="65"/>
      <c r="UR2" s="65"/>
      <c r="US2" s="65"/>
      <c r="UT2" s="65"/>
      <c r="UU2" s="65"/>
      <c r="UV2" s="65"/>
      <c r="UW2" s="65"/>
      <c r="UX2" s="65"/>
      <c r="UY2" s="65"/>
      <c r="UZ2" s="65"/>
      <c r="VA2" s="65"/>
      <c r="VB2" s="65"/>
      <c r="VC2" s="65"/>
      <c r="VD2" s="65"/>
      <c r="VE2" s="65"/>
      <c r="VF2" s="65"/>
      <c r="VG2" s="65"/>
      <c r="VH2" s="65"/>
      <c r="VI2" s="65"/>
      <c r="VJ2" s="65"/>
      <c r="VK2" s="65"/>
      <c r="VL2" s="65"/>
      <c r="VM2" s="65"/>
      <c r="VN2" s="65"/>
      <c r="VO2" s="65"/>
      <c r="VP2" s="65"/>
      <c r="VQ2" s="65"/>
      <c r="VR2" s="65"/>
      <c r="VS2" s="65"/>
      <c r="VT2" s="65"/>
      <c r="VU2" s="65"/>
      <c r="VV2" s="65"/>
      <c r="VW2" s="65"/>
      <c r="VX2" s="65"/>
      <c r="VY2" s="65"/>
      <c r="VZ2" s="65"/>
      <c r="WA2" s="65"/>
      <c r="WB2" s="65"/>
      <c r="WC2" s="65"/>
      <c r="WD2" s="65"/>
      <c r="WE2" s="65"/>
      <c r="WF2" s="65"/>
      <c r="WG2" s="65"/>
      <c r="WH2" s="65"/>
      <c r="WI2" s="65"/>
      <c r="WJ2" s="65"/>
      <c r="WK2" s="65"/>
      <c r="WL2" s="65"/>
      <c r="WM2" s="65"/>
      <c r="WN2" s="65"/>
      <c r="WO2" s="65"/>
      <c r="WP2" s="65"/>
      <c r="WQ2" s="65"/>
      <c r="WR2" s="65"/>
      <c r="WS2" s="65"/>
      <c r="WT2" s="485" t="s">
        <v>89</v>
      </c>
      <c r="WU2" s="485"/>
      <c r="WV2" s="485"/>
      <c r="WW2" s="485"/>
      <c r="WX2" s="485"/>
      <c r="WY2" s="485"/>
      <c r="WZ2" s="485"/>
      <c r="XA2" s="485"/>
      <c r="XB2" s="485"/>
      <c r="XC2" s="485"/>
      <c r="XD2" s="485"/>
      <c r="XE2" s="485"/>
      <c r="XF2" s="485"/>
      <c r="XG2" s="485"/>
      <c r="XH2" s="485"/>
      <c r="XI2" s="485"/>
      <c r="XJ2" s="485"/>
      <c r="XK2" s="485"/>
      <c r="XL2" s="485"/>
      <c r="XM2" s="485"/>
      <c r="XN2" s="485"/>
      <c r="XO2" s="485"/>
      <c r="XP2" s="485"/>
      <c r="XQ2" s="485"/>
      <c r="XR2" s="485"/>
      <c r="XS2" s="485"/>
      <c r="XT2" s="485"/>
      <c r="XU2" s="485"/>
      <c r="XV2" s="485"/>
      <c r="XW2" s="485"/>
      <c r="XX2" s="485"/>
      <c r="XY2" s="485"/>
      <c r="XZ2" s="485"/>
      <c r="YA2" s="485"/>
      <c r="YB2" s="485"/>
      <c r="YC2" s="485"/>
      <c r="YD2" s="485"/>
      <c r="YE2" s="485"/>
      <c r="YF2" s="485"/>
      <c r="YG2" s="485"/>
      <c r="YH2" s="485"/>
      <c r="YI2" s="485"/>
      <c r="YJ2" s="485"/>
      <c r="YK2" s="485"/>
      <c r="YL2" s="485"/>
      <c r="YM2" s="485"/>
      <c r="YN2" s="485"/>
      <c r="YO2" s="485"/>
      <c r="YP2" s="485"/>
      <c r="YQ2" s="485"/>
      <c r="YR2" s="485"/>
      <c r="YS2" s="485"/>
      <c r="YT2" s="485"/>
      <c r="YU2" s="485"/>
      <c r="YV2" s="485"/>
      <c r="YW2" s="485"/>
      <c r="YX2" s="485"/>
      <c r="YY2" s="485"/>
      <c r="YZ2" s="485"/>
      <c r="ZA2" s="485"/>
      <c r="ZB2" s="485"/>
      <c r="ZC2" s="485"/>
      <c r="ZD2" s="485"/>
      <c r="ZE2" s="485"/>
      <c r="ZF2" s="485"/>
      <c r="ZG2" s="485"/>
      <c r="ZH2" s="485"/>
      <c r="ZI2" s="485"/>
      <c r="ZJ2" s="485"/>
      <c r="ZK2" s="485"/>
      <c r="ZL2" s="485"/>
      <c r="ZM2" s="485"/>
      <c r="ZN2" s="485"/>
      <c r="ZO2" s="485"/>
      <c r="ZP2" s="485"/>
      <c r="ZQ2" s="485"/>
      <c r="ZR2" s="65"/>
      <c r="ZS2" s="65"/>
      <c r="ZT2" s="65"/>
      <c r="ZU2" s="65"/>
      <c r="ZV2" s="65"/>
      <c r="ZW2" s="65"/>
      <c r="ZX2" s="65"/>
      <c r="ZY2" s="65"/>
      <c r="ZZ2" s="65"/>
      <c r="AAA2" s="65"/>
      <c r="AAB2" s="65"/>
      <c r="AAC2" s="65"/>
      <c r="AAD2" s="65"/>
      <c r="AAE2" s="65"/>
      <c r="AAF2" s="65"/>
      <c r="AAG2" s="65"/>
      <c r="AAH2" s="485" t="s">
        <v>699</v>
      </c>
      <c r="AAI2" s="485"/>
      <c r="AAJ2" s="485"/>
      <c r="AAK2" s="485"/>
      <c r="AAL2" s="485"/>
      <c r="AAM2" s="485"/>
      <c r="AAN2" s="485"/>
      <c r="AAO2" s="485"/>
      <c r="AAP2" s="485"/>
      <c r="AAQ2" s="485"/>
      <c r="AAR2" s="485"/>
      <c r="AAS2" s="485"/>
      <c r="AAT2" s="485"/>
      <c r="AAU2" s="485"/>
      <c r="AAV2" s="485"/>
      <c r="AAW2" s="485"/>
      <c r="AAX2" s="485"/>
      <c r="AAY2" s="485"/>
      <c r="AAZ2" s="485"/>
      <c r="ABA2" s="485"/>
      <c r="ABB2" s="485"/>
      <c r="ABC2" s="485"/>
      <c r="ABD2" s="485"/>
      <c r="ABE2" s="485"/>
      <c r="ABF2" s="485"/>
      <c r="ABG2" s="485"/>
      <c r="ABH2" s="485"/>
      <c r="ABI2" s="485"/>
      <c r="ABJ2" s="485"/>
      <c r="ABK2" s="485"/>
      <c r="ABL2" s="485"/>
      <c r="ABM2" s="485"/>
      <c r="ABN2" s="485"/>
      <c r="ABO2" s="485"/>
      <c r="ABP2" s="485"/>
      <c r="ABQ2" s="485"/>
      <c r="ABR2" s="485"/>
      <c r="ABS2" s="485"/>
      <c r="ABT2" s="485"/>
      <c r="ABU2" s="485"/>
      <c r="ABV2" s="485"/>
      <c r="ABW2" s="485"/>
      <c r="ABX2" s="485"/>
      <c r="ABY2" s="485"/>
      <c r="ABZ2" s="485"/>
      <c r="ACA2" s="485"/>
      <c r="ACB2" s="485"/>
      <c r="ACC2" s="485"/>
      <c r="ACD2" s="485"/>
      <c r="ACE2" s="485"/>
      <c r="ACF2" s="485"/>
      <c r="ACG2" s="485"/>
      <c r="ACH2" s="485"/>
      <c r="ACI2" s="485"/>
      <c r="ACJ2" s="485"/>
      <c r="ACK2" s="485"/>
      <c r="ACL2" s="485"/>
      <c r="ACM2" s="485"/>
      <c r="ACN2" s="485"/>
      <c r="ACO2" s="485"/>
      <c r="ACP2" s="485"/>
      <c r="ACQ2" s="485"/>
      <c r="ACR2" s="485"/>
      <c r="ACS2" s="485"/>
      <c r="ACT2" s="485"/>
      <c r="ACU2" s="485"/>
      <c r="ACV2" s="485"/>
      <c r="ACW2" s="485"/>
      <c r="ACX2" s="485"/>
      <c r="ACY2" s="485"/>
      <c r="ACZ2" s="485"/>
      <c r="ADA2" s="485"/>
      <c r="ADB2" s="485"/>
      <c r="ADC2" s="485"/>
      <c r="ADD2" s="485"/>
      <c r="ADE2" s="485"/>
      <c r="ADF2" s="485"/>
      <c r="ADG2" s="485"/>
      <c r="ADH2" s="485"/>
      <c r="ADI2" s="485"/>
      <c r="ADJ2" s="485"/>
      <c r="ADK2" s="485"/>
      <c r="ADL2" s="485"/>
      <c r="ADM2" s="485"/>
      <c r="ADN2" s="485"/>
      <c r="ADO2" s="485"/>
      <c r="ADP2" s="485"/>
      <c r="ADQ2" s="485"/>
      <c r="ADR2" s="485"/>
      <c r="ADS2" s="485"/>
      <c r="ADT2" s="485"/>
      <c r="ADU2" s="485"/>
      <c r="ADV2" s="485"/>
      <c r="ADW2" s="485"/>
      <c r="ADX2" s="485"/>
      <c r="ADY2" s="485"/>
      <c r="ADZ2" s="485"/>
      <c r="AEA2" s="485"/>
      <c r="AEB2" s="485"/>
      <c r="AEC2" s="485"/>
      <c r="AED2" s="485"/>
      <c r="AEE2" s="485"/>
      <c r="AEF2" s="485"/>
      <c r="AEG2" s="485"/>
      <c r="AEH2" s="485"/>
      <c r="AEI2" s="485"/>
      <c r="AEJ2" s="485"/>
      <c r="AEK2" s="485"/>
      <c r="AEL2" s="485"/>
      <c r="AEM2" s="485"/>
      <c r="AEN2" s="485"/>
      <c r="AEO2" s="485"/>
      <c r="AEP2" s="485"/>
      <c r="AEQ2" s="485"/>
      <c r="AER2" s="485"/>
      <c r="AES2" s="485"/>
      <c r="AET2" s="485"/>
      <c r="AEU2" s="485"/>
      <c r="AEV2" s="485"/>
      <c r="AEW2" s="485"/>
      <c r="AEX2" s="485"/>
      <c r="AEY2" s="485"/>
      <c r="AEZ2" s="485"/>
      <c r="AFA2" s="485"/>
      <c r="AFB2" s="485"/>
      <c r="AFC2" s="485"/>
      <c r="AFD2" s="485"/>
      <c r="AFE2" s="485"/>
      <c r="AFF2" s="485"/>
      <c r="AFG2" s="485"/>
      <c r="AFH2" s="485"/>
      <c r="AFI2" s="485"/>
      <c r="AFJ2" s="485"/>
      <c r="AFK2" s="485"/>
      <c r="AFL2" s="485"/>
      <c r="AFM2" s="485"/>
      <c r="AFN2" s="485"/>
      <c r="AFO2" s="485"/>
      <c r="AFP2" s="485"/>
      <c r="AFQ2" s="485"/>
      <c r="AFR2" s="485"/>
      <c r="AFS2" s="485"/>
      <c r="AFT2" s="485"/>
      <c r="AFU2" s="485"/>
      <c r="AFV2" s="485"/>
      <c r="AFW2" s="485"/>
      <c r="AFX2" s="485"/>
      <c r="AFY2" s="485"/>
      <c r="AFZ2" s="485"/>
      <c r="AGA2" s="485"/>
      <c r="AGB2" s="485"/>
      <c r="AGC2" s="485"/>
      <c r="AGD2" s="485"/>
      <c r="AGE2" s="485"/>
      <c r="AGF2" s="485"/>
      <c r="AGG2" s="485"/>
      <c r="AGH2" s="485"/>
      <c r="AGI2" s="485"/>
      <c r="AGJ2" s="485"/>
      <c r="AGK2" s="485"/>
      <c r="AGL2" s="485"/>
      <c r="AGM2" s="485"/>
      <c r="AGN2" s="485"/>
      <c r="AGO2" s="485"/>
      <c r="AGP2" s="485"/>
      <c r="AGQ2" s="485"/>
      <c r="AGR2" s="485"/>
      <c r="AGS2" s="485"/>
      <c r="AGT2" s="485"/>
      <c r="AGU2" s="485"/>
      <c r="AGV2" s="485"/>
      <c r="AGW2" s="485"/>
      <c r="AGX2" s="485"/>
      <c r="AGY2" s="485"/>
      <c r="AGZ2" s="485"/>
      <c r="AHA2" s="485"/>
      <c r="AHB2" s="485"/>
      <c r="AHC2" s="485"/>
      <c r="AHD2" s="485"/>
      <c r="AHE2" s="485"/>
      <c r="AHF2" s="485"/>
      <c r="AHG2" s="535" t="s">
        <v>654</v>
      </c>
      <c r="AHH2" s="536"/>
      <c r="AHI2" s="536"/>
      <c r="AHJ2" s="65"/>
      <c r="AHK2" s="65"/>
      <c r="AHL2" s="65"/>
      <c r="AHM2" s="65"/>
      <c r="AHN2" s="65"/>
      <c r="AHO2" s="65"/>
      <c r="AHP2" s="65"/>
      <c r="AHQ2" s="65"/>
      <c r="AHR2" s="65"/>
      <c r="AHS2" s="65"/>
      <c r="AHT2" s="65"/>
      <c r="AHU2" s="65"/>
      <c r="AHV2" s="65"/>
      <c r="AHW2" s="65"/>
      <c r="AHX2" s="65"/>
      <c r="AHY2" s="65"/>
      <c r="AHZ2" s="65"/>
      <c r="AIA2" s="65"/>
      <c r="AIB2" s="65"/>
      <c r="AIC2" s="65"/>
      <c r="AID2" s="65"/>
      <c r="AIE2" s="65"/>
      <c r="AIF2" s="65"/>
      <c r="AIG2" s="65"/>
      <c r="AIH2" s="65"/>
      <c r="AII2" s="65"/>
      <c r="AIJ2" s="65"/>
      <c r="AIK2" s="65"/>
      <c r="AIL2" s="537" t="s">
        <v>655</v>
      </c>
      <c r="AIM2" s="538"/>
      <c r="AIN2" s="538"/>
      <c r="AIO2" s="538"/>
      <c r="AIP2" s="65"/>
      <c r="AIQ2" s="65"/>
      <c r="AIR2" s="65"/>
      <c r="AIS2" s="65"/>
      <c r="AIT2" s="65"/>
      <c r="AIU2" s="65"/>
      <c r="AIV2" s="65"/>
      <c r="AIW2" s="65"/>
      <c r="AIX2" s="65"/>
      <c r="AIY2" s="65"/>
      <c r="AIZ2" s="65"/>
      <c r="AJA2" s="65"/>
      <c r="AJB2" s="65"/>
      <c r="AJC2" s="65"/>
      <c r="AJD2" s="65"/>
      <c r="AJE2" s="65"/>
      <c r="AJF2" s="65"/>
      <c r="AJG2" s="65"/>
      <c r="AJH2" s="65"/>
      <c r="AJI2" s="65"/>
      <c r="AJJ2" s="65"/>
      <c r="AJK2" s="65"/>
      <c r="AJL2" s="65"/>
      <c r="AJM2" s="65"/>
      <c r="AJN2" s="65"/>
      <c r="AJO2" s="65"/>
      <c r="AJP2" s="65"/>
      <c r="AJQ2" s="65"/>
      <c r="AJR2" s="65"/>
      <c r="AJS2" s="65"/>
      <c r="AJT2" s="65"/>
      <c r="AJU2" s="65"/>
      <c r="AJV2" s="65"/>
      <c r="AJW2" s="65"/>
      <c r="AJX2" s="65"/>
      <c r="AJY2" s="65"/>
      <c r="AJZ2" s="65"/>
      <c r="AKA2" s="65"/>
      <c r="AKB2" s="65"/>
      <c r="AKC2" s="65"/>
      <c r="AKD2" s="65"/>
      <c r="AKE2" s="65"/>
      <c r="AKF2" s="65"/>
      <c r="AKG2" s="65"/>
      <c r="AKH2" s="65"/>
      <c r="AKI2" s="65"/>
      <c r="AKJ2" s="65"/>
      <c r="AKK2" s="65"/>
      <c r="AKL2" s="65"/>
      <c r="AKM2" s="65"/>
      <c r="AKN2" s="65"/>
      <c r="AKO2" s="65"/>
      <c r="AKP2" s="65"/>
      <c r="AKQ2" s="65"/>
      <c r="AKR2" s="65"/>
      <c r="AKS2" s="65"/>
      <c r="AKT2" s="65"/>
      <c r="AKU2" s="539" t="s">
        <v>693</v>
      </c>
      <c r="AKV2" s="540"/>
      <c r="AKW2" s="540"/>
      <c r="AKX2" s="540"/>
      <c r="AKY2" s="65"/>
      <c r="AKZ2" s="65"/>
      <c r="ALA2" s="65"/>
      <c r="ALB2" s="65"/>
      <c r="ALC2" s="65"/>
      <c r="ALD2" s="65"/>
      <c r="ALE2" s="65"/>
      <c r="ALF2" s="65"/>
      <c r="ALG2" s="65"/>
      <c r="ALH2" s="65"/>
      <c r="ALI2" s="65"/>
      <c r="ALJ2" s="65"/>
      <c r="ALK2" s="65"/>
      <c r="ALL2" s="65"/>
      <c r="ALM2" s="65"/>
      <c r="ALN2" s="65"/>
      <c r="ALO2" s="65"/>
      <c r="ALP2" s="65"/>
      <c r="ALQ2" s="65"/>
      <c r="ALR2" s="65"/>
      <c r="ALS2" s="65"/>
      <c r="ALT2" s="65"/>
      <c r="ALU2" s="65"/>
      <c r="ALV2" s="65"/>
      <c r="ALW2" s="65"/>
      <c r="ALX2" s="65"/>
      <c r="ALY2" s="65"/>
      <c r="ALZ2" s="65"/>
      <c r="AMA2" s="65"/>
      <c r="AMB2" s="65"/>
      <c r="AMC2" s="65"/>
      <c r="AMD2" s="65"/>
      <c r="AME2" s="65"/>
      <c r="AMF2" s="65"/>
      <c r="AMG2" s="65"/>
      <c r="AMH2" s="65"/>
      <c r="AMI2" s="65"/>
      <c r="AMJ2" s="65"/>
      <c r="AMK2" s="65"/>
      <c r="AML2" s="65"/>
      <c r="AMM2" s="65"/>
      <c r="AMN2" s="65"/>
      <c r="AMO2" s="65"/>
      <c r="AMP2" s="65"/>
      <c r="AMQ2" s="65"/>
      <c r="AMR2" s="65"/>
      <c r="AMS2" s="65"/>
      <c r="AMT2" s="65"/>
      <c r="AMU2" s="65"/>
      <c r="AMV2" s="65"/>
      <c r="AMW2" s="65"/>
      <c r="AMX2" s="65"/>
      <c r="AMY2" s="65"/>
      <c r="AMZ2" s="65"/>
      <c r="ANA2" s="65"/>
      <c r="ANB2" s="65"/>
      <c r="ANC2" s="65"/>
      <c r="AND2" s="65"/>
      <c r="ANE2" s="65"/>
      <c r="ANF2" s="65"/>
      <c r="ANG2" s="65"/>
      <c r="ANH2" s="65"/>
      <c r="ANI2" s="65"/>
      <c r="ANJ2" s="65"/>
      <c r="ANK2" s="65"/>
      <c r="ANL2" s="65"/>
      <c r="ANM2" s="541" t="s">
        <v>651</v>
      </c>
      <c r="ANN2" s="542"/>
      <c r="ANO2" s="542"/>
      <c r="ANP2" s="65"/>
      <c r="ANQ2" s="65"/>
      <c r="ANR2" s="543" t="s">
        <v>695</v>
      </c>
      <c r="ANS2" s="544"/>
      <c r="ANT2" s="544"/>
    </row>
    <row r="3" spans="1:1060" ht="88.8" customHeight="1" thickTop="1" thickBot="1">
      <c r="A3" s="60" t="s">
        <v>680</v>
      </c>
      <c r="B3" s="60" t="s">
        <v>680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5"/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65"/>
      <c r="JO3" s="65"/>
      <c r="JP3" s="65"/>
      <c r="JQ3" s="65"/>
      <c r="JR3" s="65"/>
      <c r="JS3" s="65"/>
      <c r="JT3" s="65"/>
      <c r="JU3" s="65"/>
      <c r="JV3" s="65"/>
      <c r="JW3" s="65"/>
      <c r="JX3" s="65"/>
      <c r="JY3" s="65"/>
      <c r="JZ3" s="65"/>
      <c r="KA3" s="65"/>
      <c r="KB3" s="65"/>
      <c r="KC3" s="65"/>
      <c r="KD3" s="65"/>
      <c r="KE3" s="65"/>
      <c r="KF3" s="65"/>
      <c r="KG3" s="65"/>
      <c r="KH3" s="65"/>
      <c r="KI3" s="65"/>
      <c r="KJ3" s="65"/>
      <c r="KK3" s="65"/>
      <c r="KL3" s="65"/>
      <c r="KM3" s="65"/>
      <c r="KN3" s="65"/>
      <c r="KO3" s="65"/>
      <c r="KP3" s="65"/>
      <c r="KQ3" s="65"/>
      <c r="KR3" s="65"/>
      <c r="KS3" s="65"/>
      <c r="KT3" s="65"/>
      <c r="KU3" s="65"/>
      <c r="KV3" s="65"/>
      <c r="KW3" s="65"/>
      <c r="KX3" s="65"/>
      <c r="KY3" s="65"/>
      <c r="KZ3" s="65"/>
      <c r="LA3" s="65"/>
      <c r="LB3" s="65"/>
      <c r="LC3" s="65"/>
      <c r="LD3" s="65"/>
      <c r="LE3" s="65"/>
      <c r="LF3" s="65"/>
      <c r="LG3" s="65"/>
      <c r="LH3" s="65"/>
      <c r="LI3" s="65"/>
      <c r="LJ3" s="65"/>
      <c r="LK3" s="65"/>
      <c r="LL3" s="65"/>
      <c r="LM3" s="65"/>
      <c r="LN3" s="65"/>
      <c r="LO3" s="65"/>
      <c r="LP3" s="65"/>
      <c r="LQ3" s="65"/>
      <c r="LR3" s="65"/>
      <c r="LS3" s="65"/>
      <c r="LT3" s="65"/>
      <c r="LU3" s="65"/>
      <c r="LV3" s="65"/>
      <c r="LW3" s="65"/>
      <c r="LX3" s="65"/>
      <c r="LY3" s="65"/>
      <c r="LZ3" s="65"/>
      <c r="MA3" s="65"/>
      <c r="MB3" s="65"/>
      <c r="MC3" s="65"/>
      <c r="MD3" s="545" t="s">
        <v>673</v>
      </c>
      <c r="ME3" s="545"/>
      <c r="MF3" s="545"/>
      <c r="MG3" s="545"/>
      <c r="MH3" s="545"/>
      <c r="MI3" s="545"/>
      <c r="MJ3" s="65"/>
      <c r="MK3" s="65"/>
      <c r="ML3" s="65"/>
      <c r="MM3" s="65"/>
      <c r="MN3" s="65"/>
      <c r="MO3" s="65"/>
      <c r="MP3" s="65"/>
      <c r="MQ3" s="65"/>
      <c r="MR3" s="65"/>
      <c r="MS3" s="65"/>
      <c r="MT3" s="65"/>
      <c r="MU3" s="65"/>
      <c r="MV3" s="65"/>
      <c r="MW3" s="65"/>
      <c r="MX3" s="65"/>
      <c r="MY3" s="65"/>
      <c r="MZ3" s="65"/>
      <c r="NA3" s="65"/>
      <c r="NB3" s="65"/>
      <c r="NC3" s="65"/>
      <c r="ND3" s="65"/>
      <c r="NE3" s="65"/>
      <c r="NF3" s="65"/>
      <c r="NG3" s="65"/>
      <c r="NH3" s="65"/>
      <c r="NI3" s="65"/>
      <c r="NJ3" s="65"/>
      <c r="NK3" s="65"/>
      <c r="NL3" s="65"/>
      <c r="NM3" s="65"/>
      <c r="NN3" s="65"/>
      <c r="NO3" s="65"/>
      <c r="NP3" s="65"/>
      <c r="NQ3" s="65"/>
      <c r="NR3" s="65"/>
      <c r="NS3" s="65"/>
      <c r="NT3" s="65"/>
      <c r="NU3" s="65"/>
      <c r="NV3" s="65"/>
      <c r="NW3" s="65"/>
      <c r="NX3" s="65"/>
      <c r="NY3" s="65"/>
      <c r="NZ3" s="65"/>
      <c r="OA3" s="65"/>
      <c r="OB3" s="65"/>
      <c r="OC3" s="65"/>
      <c r="OD3" s="65"/>
      <c r="OE3" s="65"/>
      <c r="OF3" s="65"/>
      <c r="OG3" s="65"/>
      <c r="OH3" s="65"/>
      <c r="OI3" s="65"/>
      <c r="OJ3" s="65"/>
      <c r="OK3" s="65"/>
      <c r="OL3" s="65"/>
      <c r="OM3" s="65"/>
      <c r="ON3" s="65"/>
      <c r="OO3" s="65"/>
      <c r="OP3" s="65"/>
      <c r="OQ3" s="65"/>
      <c r="OR3" s="65"/>
      <c r="OS3" s="65"/>
      <c r="OT3" s="65"/>
      <c r="OU3" s="65"/>
      <c r="OV3" s="65"/>
      <c r="OW3" s="65"/>
      <c r="OX3" s="65"/>
      <c r="OY3" s="65"/>
      <c r="OZ3" s="65"/>
      <c r="PA3" s="65"/>
      <c r="PB3" s="65"/>
      <c r="PC3" s="65"/>
      <c r="PD3" s="65"/>
      <c r="PE3" s="65"/>
      <c r="PF3" s="65"/>
      <c r="PG3" s="65"/>
      <c r="PH3" s="65"/>
      <c r="PI3" s="65"/>
      <c r="PJ3" s="65"/>
      <c r="PK3" s="65"/>
      <c r="PL3" s="65"/>
      <c r="PM3" s="65"/>
      <c r="PN3" s="65"/>
      <c r="PO3" s="65"/>
      <c r="PP3" s="65"/>
      <c r="PQ3" s="65"/>
      <c r="PR3" s="65"/>
      <c r="PS3" s="65"/>
      <c r="PT3" s="65"/>
      <c r="PU3" s="65"/>
      <c r="PV3" s="65"/>
      <c r="PW3" s="65"/>
      <c r="PX3" s="65"/>
      <c r="PY3" s="65"/>
      <c r="PZ3" s="65"/>
      <c r="QA3" s="65"/>
      <c r="QB3" s="65"/>
      <c r="QC3" s="65"/>
      <c r="QD3" s="65"/>
      <c r="QE3" s="65"/>
      <c r="QF3" s="65"/>
      <c r="QG3" s="65"/>
      <c r="QH3" s="65"/>
      <c r="QI3" s="65"/>
      <c r="QJ3" s="65"/>
      <c r="QK3" s="65"/>
      <c r="QL3" s="65"/>
      <c r="QM3" s="65"/>
      <c r="QN3" s="65"/>
      <c r="QO3" s="65"/>
      <c r="QP3" s="65"/>
      <c r="QQ3" s="65"/>
      <c r="QR3" s="65"/>
      <c r="QS3" s="65"/>
      <c r="QT3" s="65"/>
      <c r="QU3" s="65"/>
      <c r="QV3" s="65"/>
      <c r="QW3" s="203" t="s">
        <v>674</v>
      </c>
      <c r="QX3" s="65"/>
      <c r="QY3" s="65"/>
      <c r="QZ3" s="65"/>
      <c r="RA3" s="65"/>
      <c r="RB3" s="65"/>
      <c r="RC3" s="65"/>
      <c r="RD3" s="65"/>
      <c r="RE3" s="65"/>
      <c r="RF3" s="65"/>
      <c r="RG3" s="65"/>
      <c r="RH3" s="65"/>
      <c r="RI3" s="65"/>
      <c r="RJ3" s="65"/>
      <c r="RK3" s="65"/>
      <c r="RL3" s="65"/>
      <c r="RM3" s="65"/>
      <c r="RN3" s="65"/>
      <c r="RO3" s="65"/>
      <c r="RP3" s="65"/>
      <c r="RQ3" s="65"/>
      <c r="RR3" s="65"/>
      <c r="RS3" s="65"/>
      <c r="RT3" s="65"/>
      <c r="RU3" s="65"/>
      <c r="RV3" s="65"/>
      <c r="RW3" s="65"/>
      <c r="RX3" s="65"/>
      <c r="RY3" s="65"/>
      <c r="RZ3" s="65"/>
      <c r="SA3" s="65"/>
      <c r="SB3" s="65"/>
      <c r="SC3" s="65"/>
      <c r="SD3" s="65"/>
      <c r="SE3" s="65"/>
      <c r="SF3" s="65"/>
      <c r="SG3" s="65"/>
      <c r="SH3" s="65"/>
      <c r="SI3" s="65"/>
      <c r="SJ3" s="65"/>
      <c r="SK3" s="65"/>
      <c r="SL3" s="65"/>
      <c r="SM3" s="65"/>
      <c r="SN3" s="65"/>
      <c r="SO3" s="65"/>
      <c r="SP3" s="65"/>
      <c r="SQ3" s="65"/>
      <c r="SR3" s="65"/>
      <c r="SS3" s="65"/>
      <c r="ST3" s="65"/>
      <c r="SU3" s="65"/>
      <c r="SV3" s="65"/>
      <c r="SW3" s="65"/>
      <c r="SX3" s="65"/>
      <c r="SY3" s="65"/>
      <c r="SZ3" s="65"/>
      <c r="TA3" s="65"/>
      <c r="TB3" s="65"/>
      <c r="TC3" s="65"/>
      <c r="TD3" s="65"/>
      <c r="TE3" s="65"/>
      <c r="TF3" s="203" t="s">
        <v>675</v>
      </c>
      <c r="TG3" s="65"/>
      <c r="TH3" s="65"/>
      <c r="TI3" s="65"/>
      <c r="TJ3" s="65"/>
      <c r="TK3" s="65"/>
      <c r="TL3" s="65"/>
      <c r="TM3" s="65"/>
      <c r="TN3" s="65"/>
      <c r="TO3" s="65"/>
      <c r="TP3" s="65"/>
      <c r="TQ3" s="65"/>
      <c r="TR3" s="65"/>
      <c r="TS3" s="65"/>
      <c r="TT3" s="65"/>
      <c r="TU3" s="65"/>
      <c r="TV3" s="65"/>
      <c r="TW3" s="65"/>
      <c r="TX3" s="65"/>
      <c r="TY3" s="65"/>
      <c r="TZ3" s="65"/>
      <c r="UA3" s="65"/>
      <c r="UB3" s="65"/>
      <c r="UC3" s="65"/>
      <c r="UD3" s="65"/>
      <c r="UE3" s="65"/>
      <c r="UF3" s="65"/>
      <c r="UG3" s="65"/>
      <c r="UH3" s="65"/>
      <c r="UI3" s="65"/>
      <c r="UJ3" s="65"/>
      <c r="UK3" s="65"/>
      <c r="UL3" s="65"/>
      <c r="UM3" s="65"/>
      <c r="UN3" s="65"/>
      <c r="UO3" s="65"/>
      <c r="UP3" s="65"/>
      <c r="UQ3" s="65"/>
      <c r="UR3" s="65"/>
      <c r="US3" s="65"/>
      <c r="UT3" s="65"/>
      <c r="UU3" s="65"/>
      <c r="UV3" s="65"/>
      <c r="UW3" s="65"/>
      <c r="UX3" s="65"/>
      <c r="UY3" s="65"/>
      <c r="UZ3" s="65"/>
      <c r="VA3" s="65"/>
      <c r="VB3" s="65"/>
      <c r="VC3" s="65"/>
      <c r="VD3" s="65"/>
      <c r="VE3" s="65"/>
      <c r="VF3" s="65"/>
      <c r="VG3" s="65"/>
      <c r="VH3" s="65"/>
      <c r="VI3" s="65"/>
      <c r="VJ3" s="65"/>
      <c r="VK3" s="65"/>
      <c r="VL3" s="65"/>
      <c r="VM3" s="65"/>
      <c r="VN3" s="65"/>
      <c r="VO3" s="65"/>
      <c r="VP3" s="65"/>
      <c r="VQ3" s="65"/>
      <c r="VR3" s="65"/>
      <c r="VS3" s="65"/>
      <c r="VT3" s="65"/>
      <c r="VU3" s="65"/>
      <c r="VV3" s="65"/>
      <c r="VW3" s="65"/>
      <c r="VX3" s="205" t="s">
        <v>745</v>
      </c>
      <c r="VY3" s="65"/>
      <c r="VZ3" s="65"/>
      <c r="WA3" s="65"/>
      <c r="WB3" s="65"/>
      <c r="WC3" s="65"/>
      <c r="WD3" s="65"/>
      <c r="WE3" s="65"/>
      <c r="WF3" s="65"/>
      <c r="WG3" s="65"/>
      <c r="WH3" s="65"/>
      <c r="WI3" s="65"/>
      <c r="WJ3" s="65"/>
      <c r="WK3" s="65"/>
      <c r="WL3" s="65"/>
      <c r="WM3" s="65"/>
      <c r="WN3" s="65"/>
      <c r="WO3" s="65"/>
      <c r="WP3" s="65"/>
      <c r="WQ3" s="65"/>
      <c r="WR3" s="65"/>
      <c r="WS3" s="65"/>
      <c r="WT3" s="205" t="s">
        <v>676</v>
      </c>
      <c r="WU3" s="65"/>
      <c r="WV3" s="65"/>
      <c r="WW3" s="65"/>
      <c r="WX3" s="65"/>
      <c r="WY3" s="65"/>
      <c r="WZ3" s="65"/>
      <c r="XA3" s="65"/>
      <c r="XB3" s="65"/>
      <c r="XC3" s="65"/>
      <c r="XD3" s="65"/>
      <c r="XE3" s="65"/>
      <c r="XF3" s="65"/>
      <c r="XG3" s="65"/>
      <c r="XH3" s="65"/>
      <c r="XI3" s="65"/>
      <c r="XJ3" s="65"/>
      <c r="XK3" s="65"/>
      <c r="XL3" s="65"/>
      <c r="XM3" s="65"/>
      <c r="XN3" s="65"/>
      <c r="XO3" s="65"/>
      <c r="XP3" s="65"/>
      <c r="XQ3" s="65"/>
      <c r="XR3" s="65"/>
      <c r="XS3" s="65"/>
      <c r="XT3" s="65"/>
      <c r="XU3" s="65"/>
      <c r="XV3" s="65"/>
      <c r="XW3" s="65"/>
      <c r="XX3" s="65"/>
      <c r="XY3" s="65"/>
      <c r="XZ3" s="65"/>
      <c r="YA3" s="65"/>
      <c r="YB3" s="65"/>
      <c r="YC3" s="65"/>
      <c r="YD3" s="65"/>
      <c r="YE3" s="65"/>
      <c r="YF3" s="65"/>
      <c r="YG3" s="65"/>
      <c r="YH3" s="65"/>
      <c r="YI3" s="65"/>
      <c r="YJ3" s="65"/>
      <c r="YK3" s="65"/>
      <c r="YL3" s="65"/>
      <c r="YM3" s="65"/>
      <c r="YN3" s="65"/>
      <c r="YO3" s="65"/>
      <c r="YP3" s="65"/>
      <c r="YQ3" s="65"/>
      <c r="YR3" s="65"/>
      <c r="YS3" s="65"/>
      <c r="YT3" s="65"/>
      <c r="YU3" s="65"/>
      <c r="YV3" s="65"/>
      <c r="YW3" s="65"/>
      <c r="YX3" s="65"/>
      <c r="YY3" s="65"/>
      <c r="YZ3" s="65"/>
      <c r="ZA3" s="65"/>
      <c r="ZB3" s="65"/>
      <c r="ZC3" s="65"/>
      <c r="ZD3" s="65"/>
      <c r="ZE3" s="65"/>
      <c r="ZF3" s="65"/>
      <c r="ZG3" s="65"/>
      <c r="ZH3" s="65"/>
      <c r="ZI3" s="65"/>
      <c r="ZJ3" s="65"/>
      <c r="ZK3" s="65"/>
      <c r="ZL3" s="65"/>
      <c r="ZM3" s="65"/>
      <c r="ZN3" s="65"/>
      <c r="ZO3" s="65"/>
      <c r="ZP3" s="65"/>
      <c r="ZQ3" s="65"/>
      <c r="ZR3" s="65"/>
      <c r="ZS3" s="65"/>
      <c r="ZT3" s="65"/>
      <c r="ZU3" s="65"/>
      <c r="ZV3" s="65"/>
      <c r="ZW3" s="65"/>
      <c r="ZX3" s="65"/>
      <c r="ZY3" s="65"/>
      <c r="ZZ3" s="65"/>
      <c r="AAA3" s="65"/>
      <c r="AAB3" s="65"/>
      <c r="AAC3" s="65"/>
      <c r="AAD3" s="65"/>
      <c r="AAE3" s="65"/>
      <c r="AAF3" s="65"/>
      <c r="AAG3" s="65"/>
      <c r="AAH3" s="65"/>
      <c r="AAI3" s="65"/>
      <c r="AAJ3" s="65"/>
      <c r="AAK3" s="65"/>
      <c r="AAL3" s="65"/>
      <c r="AAM3" s="65"/>
      <c r="AAN3" s="65"/>
      <c r="AAO3" s="65"/>
      <c r="AAP3" s="65"/>
      <c r="AAQ3" s="65"/>
      <c r="AAR3" s="65"/>
      <c r="AAS3" s="65"/>
      <c r="AAT3" s="65"/>
      <c r="AAU3" s="65"/>
      <c r="AAV3" s="65"/>
      <c r="AAW3" s="65"/>
      <c r="AAX3" s="65"/>
      <c r="AAY3" s="65"/>
      <c r="AAZ3" s="65"/>
      <c r="ABA3" s="65"/>
      <c r="ABB3" s="65"/>
      <c r="ABC3" s="65"/>
      <c r="ABD3" s="65"/>
      <c r="ABE3" s="65"/>
      <c r="ABF3" s="65"/>
      <c r="ABG3" s="65"/>
      <c r="ABH3" s="65"/>
      <c r="ABI3" s="65"/>
      <c r="ABJ3" s="65"/>
      <c r="ABK3" s="65"/>
      <c r="ABL3" s="65"/>
      <c r="ABM3" s="65"/>
      <c r="ABN3" s="65"/>
      <c r="ABO3" s="65"/>
      <c r="ABP3" s="65"/>
      <c r="ABQ3" s="65"/>
      <c r="ABR3" s="65"/>
      <c r="ABS3" s="65"/>
      <c r="ABT3" s="65"/>
      <c r="ABU3" s="65"/>
      <c r="ABV3" s="65"/>
      <c r="ABW3" s="65"/>
      <c r="ABX3" s="65"/>
      <c r="ABY3" s="65"/>
      <c r="ABZ3" s="65"/>
      <c r="ACA3" s="65"/>
      <c r="ACB3" s="65"/>
      <c r="ACC3" s="65"/>
      <c r="ACD3" s="65"/>
      <c r="ACE3" s="65"/>
      <c r="ACF3" s="65"/>
      <c r="ACG3" s="65"/>
      <c r="ACH3" s="65"/>
      <c r="ACI3" s="65"/>
      <c r="ACJ3" s="65"/>
      <c r="ACK3" s="65"/>
      <c r="ACL3" s="65"/>
      <c r="ACM3" s="65"/>
      <c r="ACN3" s="65"/>
      <c r="ACO3" s="65"/>
      <c r="ACP3" s="65"/>
      <c r="ACQ3" s="65"/>
      <c r="ACR3" s="65"/>
      <c r="ACS3" s="65"/>
      <c r="ACT3" s="65"/>
      <c r="ACU3" s="65"/>
      <c r="ACV3" s="65"/>
      <c r="ACW3" s="65"/>
      <c r="ACX3" s="65"/>
      <c r="ACY3" s="65"/>
      <c r="ACZ3" s="65"/>
      <c r="ADA3" s="65"/>
      <c r="ADB3" s="65"/>
      <c r="ADC3" s="65"/>
      <c r="ADD3" s="65"/>
      <c r="ADE3" s="65"/>
      <c r="ADF3" s="65"/>
      <c r="ADG3" s="65"/>
      <c r="ADH3" s="65"/>
      <c r="ADI3" s="65"/>
      <c r="ADJ3" s="65"/>
      <c r="ADK3" s="65"/>
      <c r="ADL3" s="65"/>
      <c r="ADM3" s="65"/>
      <c r="ADN3" s="65"/>
      <c r="ADO3" s="65"/>
      <c r="ADP3" s="65"/>
      <c r="ADQ3" s="65"/>
      <c r="ADR3" s="65"/>
      <c r="ADS3" s="65"/>
      <c r="ADT3" s="65"/>
      <c r="ADU3" s="65"/>
      <c r="ADV3" s="65"/>
      <c r="ADW3" s="65"/>
      <c r="ADX3" s="65"/>
      <c r="ADY3" s="65"/>
      <c r="ADZ3" s="65"/>
      <c r="AEA3" s="65"/>
      <c r="AEB3" s="65"/>
      <c r="AEC3" s="65"/>
      <c r="AED3" s="65"/>
      <c r="AEE3" s="65"/>
      <c r="AEF3" s="65"/>
      <c r="AEG3" s="65"/>
      <c r="AEH3" s="65"/>
      <c r="AEI3" s="65"/>
      <c r="AEJ3" s="65"/>
      <c r="AEK3" s="65"/>
      <c r="AEL3" s="65"/>
      <c r="AEM3" s="65"/>
      <c r="AEN3" s="65"/>
      <c r="AEO3" s="65"/>
      <c r="AEP3" s="65"/>
      <c r="AEQ3" s="65"/>
      <c r="AER3" s="65"/>
      <c r="AES3" s="65"/>
      <c r="AET3" s="65"/>
      <c r="AEU3" s="65"/>
      <c r="AEV3" s="65"/>
      <c r="AEW3" s="65"/>
      <c r="AEX3" s="65"/>
      <c r="AEY3" s="65"/>
      <c r="AEZ3" s="65"/>
      <c r="AFA3" s="65"/>
      <c r="AFB3" s="65"/>
      <c r="AFC3" s="65"/>
      <c r="AFD3" s="65"/>
      <c r="AFE3" s="65"/>
      <c r="AFF3" s="65"/>
      <c r="AFG3" s="65"/>
      <c r="AFH3" s="65"/>
      <c r="AFI3" s="65"/>
      <c r="AFJ3" s="65"/>
      <c r="AFK3" s="65"/>
      <c r="AFL3" s="65"/>
      <c r="AFM3" s="65"/>
      <c r="AFN3" s="65"/>
      <c r="AFO3" s="65"/>
      <c r="AFP3" s="65"/>
      <c r="AFQ3" s="65"/>
      <c r="AFR3" s="65"/>
      <c r="AFS3" s="65"/>
      <c r="AFT3" s="65"/>
      <c r="AFU3" s="65"/>
      <c r="AFV3" s="65"/>
      <c r="AFW3" s="65"/>
      <c r="AFX3" s="65"/>
      <c r="AFY3" s="65"/>
      <c r="AFZ3" s="65"/>
      <c r="AGA3" s="65"/>
      <c r="AGB3" s="65"/>
      <c r="AGC3" s="65"/>
      <c r="AGD3" s="65"/>
      <c r="AGE3" s="65"/>
      <c r="AGF3" s="65"/>
      <c r="AGG3" s="65"/>
      <c r="AGH3" s="65"/>
      <c r="AGI3" s="65"/>
      <c r="AGJ3" s="65"/>
      <c r="AGK3" s="65"/>
      <c r="AGL3" s="65"/>
      <c r="AGM3" s="65"/>
      <c r="AGN3" s="65"/>
      <c r="AGO3" s="65"/>
      <c r="AGP3" s="65"/>
      <c r="AGQ3" s="65"/>
      <c r="AGR3" s="65"/>
      <c r="AGS3" s="65"/>
      <c r="AGT3" s="65"/>
      <c r="AGU3" s="65"/>
      <c r="AGV3" s="65"/>
      <c r="AGW3" s="65"/>
      <c r="AGX3" s="65"/>
      <c r="AGY3" s="65"/>
      <c r="AGZ3" s="65"/>
      <c r="AHA3" s="65"/>
      <c r="AHB3" s="65"/>
      <c r="AHC3" s="65"/>
      <c r="AHD3" s="65"/>
      <c r="AHE3" s="65"/>
      <c r="AHF3" s="65"/>
      <c r="AHG3" s="65"/>
      <c r="AHH3" s="65"/>
      <c r="AHI3" s="65"/>
      <c r="AHJ3" s="65"/>
      <c r="AHK3" s="65"/>
      <c r="AHL3" s="65"/>
      <c r="AHM3" s="65"/>
      <c r="AHN3" s="65"/>
      <c r="AHO3" s="65"/>
      <c r="AHP3" s="65"/>
      <c r="AHQ3" s="65"/>
      <c r="AHR3" s="65"/>
      <c r="AHS3" s="65"/>
      <c r="AHT3" s="65"/>
      <c r="AHU3" s="65"/>
      <c r="AHV3" s="65"/>
      <c r="AHW3" s="65"/>
      <c r="AHX3" s="65"/>
      <c r="AHY3" s="65"/>
      <c r="AHZ3" s="65"/>
      <c r="AIA3" s="65"/>
      <c r="AIB3" s="65"/>
      <c r="AIC3" s="65"/>
      <c r="AID3" s="65"/>
      <c r="AIE3" s="65"/>
      <c r="AIF3" s="65"/>
      <c r="AIG3" s="65"/>
      <c r="AIH3" s="65"/>
      <c r="AII3" s="65"/>
      <c r="AIJ3" s="65"/>
      <c r="AIK3" s="65"/>
      <c r="AIL3" s="65"/>
      <c r="AIM3" s="65"/>
      <c r="AIN3" s="65"/>
      <c r="AIO3" s="65"/>
      <c r="AIP3" s="65"/>
      <c r="AIQ3" s="65"/>
      <c r="AIR3" s="65"/>
      <c r="AIS3" s="65"/>
      <c r="AIT3" s="65"/>
      <c r="AIU3" s="65"/>
      <c r="AIV3" s="65"/>
      <c r="AIW3" s="65"/>
      <c r="AIX3" s="65"/>
      <c r="AIY3" s="65"/>
      <c r="AIZ3" s="65"/>
      <c r="AJA3" s="65"/>
      <c r="AJB3" s="65"/>
      <c r="AJC3" s="65"/>
      <c r="AJD3" s="65"/>
      <c r="AJE3" s="65"/>
      <c r="AJF3" s="65"/>
      <c r="AJG3" s="65"/>
      <c r="AJH3" s="65"/>
      <c r="AJI3" s="65"/>
      <c r="AJJ3" s="65"/>
      <c r="AJK3" s="65"/>
      <c r="AJL3" s="65"/>
      <c r="AJM3" s="65"/>
      <c r="AJN3" s="65"/>
      <c r="AJO3" s="65"/>
      <c r="AJP3" s="65"/>
      <c r="AJQ3" s="65"/>
      <c r="AJR3" s="65"/>
      <c r="AJS3" s="65"/>
      <c r="AJT3" s="65"/>
      <c r="AJU3" s="65"/>
      <c r="AJV3" s="65"/>
      <c r="AJW3" s="65"/>
      <c r="AJX3" s="65"/>
      <c r="AJY3" s="65"/>
      <c r="AJZ3" s="65"/>
      <c r="AKA3" s="65"/>
      <c r="AKB3" s="65"/>
      <c r="AKC3" s="65"/>
      <c r="AKD3" s="65"/>
      <c r="AKE3" s="65"/>
      <c r="AKF3" s="65"/>
      <c r="AKG3" s="65"/>
      <c r="AKH3" s="65"/>
      <c r="AKI3" s="65"/>
      <c r="AKJ3" s="65"/>
      <c r="AKK3" s="65"/>
      <c r="AKL3" s="65"/>
      <c r="AKM3" s="65"/>
      <c r="AKN3" s="65"/>
      <c r="AKO3" s="65"/>
      <c r="AKP3" s="65"/>
      <c r="AKQ3" s="65"/>
      <c r="AKR3" s="65"/>
      <c r="AKS3" s="65"/>
      <c r="AKT3" s="65"/>
      <c r="AKU3" s="65"/>
      <c r="AKV3" s="65"/>
      <c r="AKW3" s="65"/>
      <c r="AKX3" s="65"/>
      <c r="AKY3" s="65"/>
      <c r="AKZ3" s="65"/>
      <c r="ALA3" s="65"/>
      <c r="ALB3" s="65"/>
      <c r="ALC3" s="65"/>
      <c r="ALD3" s="65"/>
      <c r="ALE3" s="65"/>
      <c r="ALF3" s="65"/>
      <c r="ALG3" s="65"/>
      <c r="ALH3" s="65"/>
      <c r="ALI3" s="65"/>
      <c r="ALJ3" s="65"/>
      <c r="ALK3" s="65"/>
      <c r="ALL3" s="65"/>
      <c r="ALM3" s="65"/>
      <c r="ALN3" s="65"/>
      <c r="ALO3" s="65"/>
      <c r="ALP3" s="65"/>
      <c r="ALQ3" s="65"/>
      <c r="ALR3" s="65"/>
      <c r="ALS3" s="65"/>
      <c r="ALT3" s="65"/>
      <c r="ALU3" s="65"/>
      <c r="ALV3" s="65"/>
      <c r="ALW3" s="65"/>
      <c r="ALX3" s="65"/>
      <c r="ALY3" s="65"/>
      <c r="ALZ3" s="65"/>
      <c r="AMA3" s="65"/>
      <c r="AMB3" s="65"/>
      <c r="AMC3" s="65"/>
      <c r="AMD3" s="65"/>
      <c r="AME3" s="65"/>
      <c r="AMF3" s="65"/>
      <c r="AMG3" s="65"/>
      <c r="AMH3" s="65"/>
      <c r="AMI3" s="65"/>
      <c r="AMJ3" s="65"/>
      <c r="AMK3" s="65"/>
      <c r="AML3" s="65"/>
      <c r="AMM3" s="65"/>
      <c r="AMN3" s="65"/>
      <c r="AMO3" s="65"/>
      <c r="AMP3" s="65"/>
      <c r="AMQ3" s="65"/>
      <c r="AMR3" s="65"/>
      <c r="AMS3" s="65"/>
      <c r="AMT3" s="65"/>
      <c r="AMU3" s="65"/>
      <c r="AMV3" s="65"/>
      <c r="AMW3" s="65"/>
      <c r="AMX3" s="65"/>
      <c r="AMY3" s="65"/>
      <c r="AMZ3" s="65"/>
      <c r="ANA3" s="65"/>
      <c r="ANB3" s="65"/>
      <c r="ANC3" s="65"/>
      <c r="AND3" s="65"/>
      <c r="ANE3" s="65"/>
      <c r="ANF3" s="65"/>
      <c r="ANG3" s="65"/>
      <c r="ANH3" s="65"/>
      <c r="ANI3" s="65"/>
      <c r="ANJ3" s="65"/>
      <c r="ANK3" s="65"/>
      <c r="ANL3" s="65"/>
      <c r="ANM3" s="65"/>
      <c r="ANN3" s="65"/>
      <c r="ANO3" s="65"/>
      <c r="ANP3" s="65"/>
      <c r="ANQ3" s="65"/>
      <c r="ANR3" s="65"/>
    </row>
    <row r="4" spans="1:1060" ht="78.599999999999994" thickTop="1" thickBot="1">
      <c r="A4" s="60" t="s">
        <v>681</v>
      </c>
      <c r="B4" s="60" t="s">
        <v>681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  <c r="HD4" s="65"/>
      <c r="HE4" s="65"/>
      <c r="HF4" s="65"/>
      <c r="HG4" s="65"/>
      <c r="HH4" s="65"/>
      <c r="HI4" s="65"/>
      <c r="HJ4" s="65"/>
      <c r="HK4" s="65"/>
      <c r="HL4" s="65"/>
      <c r="HM4" s="65"/>
      <c r="HN4" s="65"/>
      <c r="HO4" s="65"/>
      <c r="HP4" s="65"/>
      <c r="HQ4" s="65"/>
      <c r="HR4" s="65"/>
      <c r="HS4" s="65"/>
      <c r="HT4" s="65"/>
      <c r="HU4" s="65"/>
      <c r="HV4" s="65"/>
      <c r="HW4" s="65"/>
      <c r="HX4" s="65"/>
      <c r="HY4" s="65"/>
      <c r="HZ4" s="65"/>
      <c r="IA4" s="65"/>
      <c r="IB4" s="65"/>
      <c r="IC4" s="65"/>
      <c r="ID4" s="65"/>
      <c r="IE4" s="65"/>
      <c r="IF4" s="65"/>
      <c r="IG4" s="65"/>
      <c r="IH4" s="65"/>
      <c r="II4" s="65"/>
      <c r="IJ4" s="65"/>
      <c r="IK4" s="65"/>
      <c r="IL4" s="65"/>
      <c r="IM4" s="65"/>
      <c r="IN4" s="65"/>
      <c r="IO4" s="65"/>
      <c r="IP4" s="65"/>
      <c r="IQ4" s="65"/>
      <c r="IR4" s="65"/>
      <c r="IS4" s="65"/>
      <c r="IT4" s="65"/>
      <c r="IU4" s="65"/>
      <c r="IV4" s="65"/>
      <c r="IW4" s="65"/>
      <c r="IX4" s="65"/>
      <c r="IY4" s="65"/>
      <c r="IZ4" s="65"/>
      <c r="JA4" s="65"/>
      <c r="JB4" s="65"/>
      <c r="JC4" s="65"/>
      <c r="JD4" s="65"/>
      <c r="JE4" s="65"/>
      <c r="JF4" s="65"/>
      <c r="JG4" s="65"/>
      <c r="JH4" s="65"/>
      <c r="JI4" s="65"/>
      <c r="JJ4" s="65"/>
      <c r="JK4" s="65"/>
      <c r="JL4" s="65"/>
      <c r="JM4" s="65"/>
      <c r="JN4" s="65"/>
      <c r="JO4" s="65"/>
      <c r="JP4" s="65"/>
      <c r="JQ4" s="65"/>
      <c r="JR4" s="65"/>
      <c r="JS4" s="65"/>
      <c r="JT4" s="65"/>
      <c r="JU4" s="65"/>
      <c r="JV4" s="65"/>
      <c r="JW4" s="65"/>
      <c r="JX4" s="65"/>
      <c r="JY4" s="65"/>
      <c r="JZ4" s="65"/>
      <c r="KA4" s="65"/>
      <c r="KB4" s="65"/>
      <c r="KC4" s="65"/>
      <c r="KD4" s="65"/>
      <c r="KE4" s="65"/>
      <c r="KF4" s="65"/>
      <c r="KG4" s="65"/>
      <c r="KH4" s="65"/>
      <c r="KI4" s="65"/>
      <c r="KJ4" s="65"/>
      <c r="KK4" s="65"/>
      <c r="KL4" s="65"/>
      <c r="KM4" s="65"/>
      <c r="KN4" s="65"/>
      <c r="KO4" s="65"/>
      <c r="KP4" s="65"/>
      <c r="KQ4" s="65"/>
      <c r="KR4" s="65"/>
      <c r="KS4" s="65"/>
      <c r="KT4" s="65"/>
      <c r="KU4" s="65"/>
      <c r="KV4" s="65"/>
      <c r="KW4" s="65"/>
      <c r="KX4" s="65"/>
      <c r="KY4" s="65"/>
      <c r="KZ4" s="65"/>
      <c r="LA4" s="65"/>
      <c r="LB4" s="65"/>
      <c r="LC4" s="65"/>
      <c r="LD4" s="65"/>
      <c r="LE4" s="65"/>
      <c r="LF4" s="65"/>
      <c r="LG4" s="65"/>
      <c r="LH4" s="65"/>
      <c r="LI4" s="65"/>
      <c r="LJ4" s="65"/>
      <c r="LK4" s="65"/>
      <c r="LL4" s="65"/>
      <c r="LM4" s="65"/>
      <c r="LN4" s="65"/>
      <c r="LO4" s="65"/>
      <c r="LP4" s="65"/>
      <c r="LQ4" s="65"/>
      <c r="LR4" s="65"/>
      <c r="LS4" s="65"/>
      <c r="LT4" s="65"/>
      <c r="LU4" s="65"/>
      <c r="LV4" s="65"/>
      <c r="LW4" s="65"/>
      <c r="LX4" s="65"/>
      <c r="LY4" s="65"/>
      <c r="LZ4" s="65"/>
      <c r="MA4" s="65"/>
      <c r="MB4" s="65"/>
      <c r="MC4" s="65"/>
      <c r="MD4" s="65"/>
      <c r="ME4" s="65"/>
      <c r="MF4" s="65"/>
      <c r="MG4" s="65"/>
      <c r="MH4" s="65"/>
      <c r="MI4" s="65"/>
      <c r="MJ4" s="65"/>
      <c r="MK4" s="65"/>
      <c r="ML4" s="65"/>
      <c r="MM4" s="65"/>
      <c r="MN4" s="65"/>
      <c r="MO4" s="65"/>
      <c r="MP4" s="65"/>
      <c r="MQ4" s="65"/>
      <c r="MR4" s="65"/>
      <c r="MS4" s="65"/>
      <c r="MT4" s="65"/>
      <c r="MU4" s="65"/>
      <c r="MV4" s="65"/>
      <c r="MW4" s="65"/>
      <c r="MX4" s="65"/>
      <c r="MY4" s="65"/>
      <c r="MZ4" s="65"/>
      <c r="NA4" s="65"/>
      <c r="NB4" s="65"/>
      <c r="NC4" s="65"/>
      <c r="ND4" s="65"/>
      <c r="NE4" s="65"/>
      <c r="NF4" s="65"/>
      <c r="NG4" s="65"/>
      <c r="NH4" s="65"/>
      <c r="NI4" s="65"/>
      <c r="NJ4" s="65"/>
      <c r="NK4" s="65"/>
      <c r="NL4" s="65"/>
      <c r="NM4" s="65"/>
      <c r="NN4" s="65"/>
      <c r="NO4" s="65"/>
      <c r="NP4" s="65"/>
      <c r="NQ4" s="65"/>
      <c r="NR4" s="65"/>
      <c r="NS4" s="65"/>
      <c r="NT4" s="65"/>
      <c r="NU4" s="65"/>
      <c r="NV4" s="65"/>
      <c r="NW4" s="65"/>
      <c r="NX4" s="65"/>
      <c r="NY4" s="65"/>
      <c r="NZ4" s="65"/>
      <c r="OA4" s="65"/>
      <c r="OB4" s="65"/>
      <c r="OC4" s="65"/>
      <c r="OD4" s="65"/>
      <c r="OE4" s="65"/>
      <c r="OF4" s="65"/>
      <c r="OG4" s="65"/>
      <c r="OH4" s="65"/>
      <c r="OI4" s="65"/>
      <c r="OJ4" s="65"/>
      <c r="OK4" s="65"/>
      <c r="OL4" s="65"/>
      <c r="OM4" s="65"/>
      <c r="ON4" s="65"/>
      <c r="OO4" s="65"/>
      <c r="OP4" s="65"/>
      <c r="OQ4" s="65"/>
      <c r="OR4" s="65"/>
      <c r="OS4" s="65"/>
      <c r="OT4" s="65"/>
      <c r="OU4" s="65"/>
      <c r="OV4" s="65"/>
      <c r="OW4" s="65"/>
      <c r="OX4" s="65"/>
      <c r="OY4" s="65"/>
      <c r="OZ4" s="65"/>
      <c r="PA4" s="65"/>
      <c r="PB4" s="65"/>
      <c r="PC4" s="65"/>
      <c r="PD4" s="65"/>
      <c r="PE4" s="65"/>
      <c r="PF4" s="65"/>
      <c r="PG4" s="65"/>
      <c r="PH4" s="65"/>
      <c r="PI4" s="65"/>
      <c r="PJ4" s="65"/>
      <c r="PK4" s="65"/>
      <c r="PL4" s="65"/>
      <c r="PM4" s="65"/>
      <c r="PN4" s="65"/>
      <c r="PO4" s="65"/>
      <c r="PP4" s="65"/>
      <c r="PQ4" s="65"/>
      <c r="PR4" s="65"/>
      <c r="PS4" s="65"/>
      <c r="PT4" s="65"/>
      <c r="PU4" s="65"/>
      <c r="PV4" s="65"/>
      <c r="PW4" s="65"/>
      <c r="PX4" s="65"/>
      <c r="PY4" s="65"/>
      <c r="PZ4" s="65"/>
      <c r="QA4" s="65"/>
      <c r="QB4" s="65"/>
      <c r="QC4" s="65"/>
      <c r="QD4" s="65"/>
      <c r="QE4" s="65"/>
      <c r="QF4" s="65"/>
      <c r="QG4" s="65"/>
      <c r="QH4" s="65"/>
      <c r="QI4" s="65"/>
      <c r="QJ4" s="65"/>
      <c r="QK4" s="65"/>
      <c r="QL4" s="65"/>
      <c r="QM4" s="65"/>
      <c r="QN4" s="65"/>
      <c r="QO4" s="65"/>
      <c r="QP4" s="65"/>
      <c r="QQ4" s="65"/>
      <c r="QR4" s="65"/>
      <c r="QS4" s="65"/>
      <c r="QT4" s="65"/>
      <c r="QU4" s="65"/>
      <c r="QV4" s="65"/>
      <c r="QW4" s="65"/>
      <c r="QX4" s="65"/>
      <c r="QY4" s="65"/>
      <c r="QZ4" s="65"/>
      <c r="RA4" s="65"/>
      <c r="RB4" s="65"/>
      <c r="RC4" s="65"/>
      <c r="RD4" s="65"/>
      <c r="RE4" s="65"/>
      <c r="RF4" s="65"/>
      <c r="RG4" s="65"/>
      <c r="RH4" s="65"/>
      <c r="RI4" s="65"/>
      <c r="RJ4" s="65"/>
      <c r="RK4" s="65"/>
      <c r="RL4" s="65"/>
      <c r="RM4" s="65"/>
      <c r="RN4" s="65"/>
      <c r="RO4" s="65"/>
      <c r="RP4" s="65"/>
      <c r="RQ4" s="65"/>
      <c r="RR4" s="65"/>
      <c r="RS4" s="65"/>
      <c r="RT4" s="65"/>
      <c r="RU4" s="65"/>
      <c r="RV4" s="65"/>
      <c r="RW4" s="65"/>
      <c r="RX4" s="65"/>
      <c r="RY4" s="65"/>
      <c r="RZ4" s="65"/>
      <c r="SA4" s="65"/>
      <c r="SB4" s="65"/>
      <c r="SC4" s="65"/>
      <c r="SD4" s="65"/>
      <c r="SE4" s="65"/>
      <c r="SF4" s="65"/>
      <c r="SG4" s="65"/>
      <c r="SH4" s="65"/>
      <c r="SI4" s="65"/>
      <c r="SJ4" s="65"/>
      <c r="SK4" s="65"/>
      <c r="SL4" s="65"/>
      <c r="SM4" s="65"/>
      <c r="SN4" s="65"/>
      <c r="SO4" s="65"/>
      <c r="SP4" s="65"/>
      <c r="SQ4" s="65"/>
      <c r="SR4" s="65"/>
      <c r="SS4" s="65"/>
      <c r="ST4" s="65"/>
      <c r="SU4" s="65"/>
      <c r="SV4" s="65"/>
      <c r="SW4" s="65"/>
      <c r="SX4" s="65"/>
      <c r="SY4" s="65"/>
      <c r="SZ4" s="65"/>
      <c r="TA4" s="65"/>
      <c r="TB4" s="65"/>
      <c r="TC4" s="65"/>
      <c r="TD4" s="65"/>
      <c r="TE4" s="65"/>
      <c r="TF4" s="65"/>
      <c r="TG4" s="65"/>
      <c r="TH4" s="65"/>
      <c r="TI4" s="65"/>
      <c r="TJ4" s="65"/>
      <c r="TK4" s="65"/>
      <c r="TL4" s="65"/>
      <c r="TM4" s="65"/>
      <c r="TN4" s="65"/>
      <c r="TO4" s="65"/>
      <c r="TP4" s="65"/>
      <c r="TQ4" s="65"/>
      <c r="TR4" s="65"/>
      <c r="TS4" s="65"/>
      <c r="TT4" s="65"/>
      <c r="TU4" s="65"/>
      <c r="TV4" s="65"/>
      <c r="TW4" s="65"/>
      <c r="TX4" s="65"/>
      <c r="TY4" s="65"/>
      <c r="TZ4" s="65"/>
      <c r="UA4" s="65"/>
      <c r="UB4" s="65"/>
      <c r="UC4" s="65"/>
      <c r="UD4" s="65"/>
      <c r="UE4" s="65"/>
      <c r="UF4" s="65"/>
      <c r="UG4" s="65"/>
      <c r="UH4" s="65"/>
      <c r="UI4" s="65"/>
      <c r="UJ4" s="65"/>
      <c r="UK4" s="65"/>
      <c r="UL4" s="65"/>
      <c r="UM4" s="65"/>
      <c r="UN4" s="65"/>
      <c r="UO4" s="65"/>
      <c r="UP4" s="65"/>
      <c r="UQ4" s="65"/>
      <c r="UR4" s="65"/>
      <c r="US4" s="65"/>
      <c r="UT4" s="65"/>
      <c r="UU4" s="65"/>
      <c r="UV4" s="65"/>
      <c r="UW4" s="65"/>
      <c r="UX4" s="65"/>
      <c r="UY4" s="65"/>
      <c r="UZ4" s="65"/>
      <c r="VA4" s="65"/>
      <c r="VB4" s="65"/>
      <c r="VC4" s="65"/>
      <c r="VD4" s="65"/>
      <c r="VE4" s="65"/>
      <c r="VF4" s="65"/>
      <c r="VG4" s="65"/>
      <c r="VH4" s="65"/>
      <c r="VI4" s="65"/>
      <c r="VJ4" s="65"/>
      <c r="VK4" s="65"/>
      <c r="VL4" s="65"/>
      <c r="VM4" s="65"/>
      <c r="VN4" s="65"/>
      <c r="VO4" s="65"/>
      <c r="VP4" s="65"/>
      <c r="VQ4" s="65"/>
      <c r="VR4" s="65"/>
      <c r="VS4" s="486" t="s">
        <v>802</v>
      </c>
      <c r="VT4" s="487"/>
      <c r="VU4" s="487"/>
      <c r="VV4" s="487"/>
      <c r="VW4" s="487"/>
      <c r="VX4" s="487"/>
      <c r="VY4" s="487"/>
      <c r="VZ4" s="487"/>
      <c r="WA4" s="487"/>
      <c r="WB4" s="487"/>
      <c r="WC4" s="487"/>
      <c r="WD4" s="487"/>
      <c r="WE4" s="487"/>
      <c r="WF4" s="487"/>
      <c r="WG4" s="487"/>
      <c r="WH4" s="487"/>
      <c r="WI4" s="487"/>
      <c r="WJ4" s="487"/>
      <c r="WK4" s="487"/>
      <c r="WL4" s="487"/>
      <c r="WM4" s="487"/>
      <c r="WN4" s="487"/>
      <c r="WO4" s="487"/>
      <c r="WP4" s="488"/>
      <c r="WQ4" s="488"/>
      <c r="WR4" s="488"/>
      <c r="WS4" s="488"/>
      <c r="WT4" s="488"/>
      <c r="WU4" s="488"/>
      <c r="WV4" s="488"/>
      <c r="WW4" s="488"/>
      <c r="WX4" s="488"/>
      <c r="WY4" s="488"/>
      <c r="WZ4" s="488"/>
      <c r="XA4" s="488"/>
      <c r="XB4" s="488"/>
      <c r="XC4" s="488"/>
      <c r="XD4" s="488"/>
      <c r="XE4" s="488"/>
      <c r="XF4" s="488"/>
      <c r="XG4" s="488"/>
      <c r="XH4" s="488"/>
      <c r="XI4" s="488"/>
      <c r="XJ4" s="488"/>
      <c r="XK4" s="488"/>
      <c r="XL4" s="488"/>
      <c r="XM4" s="488"/>
      <c r="XN4" s="488"/>
      <c r="XO4" s="488"/>
      <c r="XP4" s="488"/>
      <c r="XQ4" s="488"/>
      <c r="XR4" s="488"/>
      <c r="XS4" s="488"/>
      <c r="XT4" s="489"/>
      <c r="XU4" s="65"/>
      <c r="XV4" s="65"/>
      <c r="XW4" s="65"/>
      <c r="XX4" s="65"/>
      <c r="XY4" s="65"/>
      <c r="XZ4" s="65"/>
      <c r="YA4" s="65"/>
      <c r="YB4" s="65"/>
      <c r="YC4" s="65"/>
      <c r="YD4" s="65"/>
      <c r="YE4" s="65"/>
      <c r="YF4" s="65"/>
      <c r="YG4" s="65"/>
      <c r="YH4" s="65"/>
      <c r="YI4" s="65"/>
      <c r="YJ4" s="65"/>
      <c r="YK4" s="65"/>
      <c r="YL4" s="65"/>
      <c r="YM4" s="65"/>
      <c r="YN4" s="65"/>
      <c r="YO4" s="65"/>
      <c r="YP4" s="65"/>
      <c r="YQ4" s="65"/>
      <c r="YR4" s="65"/>
      <c r="YS4" s="65"/>
      <c r="YT4" s="65"/>
      <c r="YU4" s="65"/>
      <c r="YV4" s="65"/>
      <c r="YW4" s="65"/>
      <c r="YX4" s="65"/>
      <c r="YY4" s="65"/>
      <c r="YZ4" s="65"/>
      <c r="ZA4" s="65"/>
      <c r="ZB4" s="65"/>
      <c r="ZC4" s="65"/>
      <c r="ZD4" s="65"/>
      <c r="ZE4" s="65"/>
      <c r="ZF4" s="65"/>
      <c r="ZG4" s="65"/>
      <c r="ZH4" s="65"/>
      <c r="ZI4" s="65"/>
      <c r="ZJ4" s="65"/>
      <c r="ZK4" s="65"/>
      <c r="ZL4" s="65"/>
      <c r="ZM4" s="65"/>
      <c r="ZN4" s="65"/>
      <c r="ZO4" s="65"/>
      <c r="ZP4" s="65"/>
      <c r="ZQ4" s="65"/>
      <c r="ZR4" s="65"/>
      <c r="ZS4" s="65"/>
      <c r="ZT4" s="65"/>
      <c r="ZU4" s="65"/>
      <c r="ZV4" s="65"/>
      <c r="ZW4" s="65"/>
      <c r="ZX4" s="65"/>
      <c r="ZY4" s="65"/>
      <c r="ZZ4" s="65"/>
      <c r="AAA4" s="65"/>
      <c r="AAB4" s="65"/>
      <c r="AAC4" s="490" t="s">
        <v>801</v>
      </c>
      <c r="AAD4" s="491"/>
      <c r="AAE4" s="491"/>
      <c r="AAF4" s="491"/>
      <c r="AAG4" s="491"/>
      <c r="AAH4" s="491"/>
      <c r="AAI4" s="491"/>
      <c r="AAJ4" s="491"/>
      <c r="AAK4" s="491"/>
      <c r="AAL4" s="491"/>
      <c r="AAM4" s="491"/>
      <c r="AAN4" s="491"/>
      <c r="AAO4" s="491"/>
      <c r="AAP4" s="491"/>
      <c r="AAQ4" s="491"/>
      <c r="AAR4" s="491"/>
      <c r="AAS4" s="491"/>
      <c r="AAT4" s="491"/>
      <c r="AAU4" s="491"/>
      <c r="AAV4" s="491"/>
      <c r="AAW4" s="491"/>
      <c r="AAX4" s="491"/>
      <c r="AAY4" s="491"/>
      <c r="AAZ4" s="491"/>
      <c r="ABA4" s="491"/>
      <c r="ABB4" s="491"/>
      <c r="ABC4" s="491"/>
      <c r="ABD4" s="491"/>
      <c r="ABE4" s="491"/>
      <c r="ABF4" s="491"/>
      <c r="ABG4" s="491"/>
      <c r="ABH4" s="491"/>
      <c r="ABI4" s="491"/>
      <c r="ABJ4" s="491"/>
      <c r="ABK4" s="491"/>
      <c r="ABL4" s="491"/>
      <c r="ABM4" s="491"/>
      <c r="ABN4" s="491"/>
      <c r="ABO4" s="491"/>
      <c r="ABP4" s="491"/>
      <c r="ABQ4" s="491"/>
      <c r="ABR4" s="491"/>
      <c r="ABS4" s="491"/>
      <c r="ABT4" s="491"/>
      <c r="ABU4" s="491"/>
      <c r="ABV4" s="491"/>
      <c r="ABW4" s="491"/>
      <c r="ABX4" s="491"/>
      <c r="ABY4" s="491"/>
      <c r="ABZ4" s="491"/>
      <c r="ACA4" s="491"/>
      <c r="ACB4" s="491"/>
      <c r="ACC4" s="491"/>
      <c r="ACD4" s="491"/>
      <c r="ACE4" s="491"/>
      <c r="ACF4" s="491"/>
      <c r="ACG4" s="491"/>
      <c r="ACH4" s="491"/>
      <c r="ACI4" s="491"/>
      <c r="ACJ4" s="491"/>
      <c r="ACK4" s="491"/>
      <c r="ACL4" s="491"/>
      <c r="ACM4" s="491"/>
      <c r="ACN4" s="491"/>
      <c r="ACO4" s="491"/>
      <c r="ACP4" s="491"/>
      <c r="ACQ4" s="491"/>
      <c r="ACR4" s="491"/>
      <c r="ACS4" s="491"/>
      <c r="ACT4" s="491"/>
      <c r="ACU4" s="491"/>
      <c r="ACV4" s="491"/>
      <c r="ACW4" s="491"/>
      <c r="ACX4" s="491"/>
      <c r="ACY4" s="491"/>
      <c r="ACZ4" s="491"/>
      <c r="ADA4" s="491"/>
      <c r="ADB4" s="491"/>
      <c r="ADC4" s="491"/>
      <c r="ADD4" s="491"/>
      <c r="ADE4" s="491"/>
      <c r="ADF4" s="491"/>
      <c r="ADG4" s="491"/>
      <c r="ADH4" s="491"/>
      <c r="ADI4" s="491"/>
      <c r="ADJ4" s="492"/>
      <c r="ADK4" s="492"/>
      <c r="ADL4" s="492"/>
      <c r="ADM4" s="492"/>
      <c r="ADN4" s="492"/>
      <c r="ADO4" s="492"/>
      <c r="ADP4" s="492"/>
      <c r="ADQ4" s="492"/>
      <c r="ADR4" s="492"/>
      <c r="ADS4" s="492"/>
      <c r="ADT4" s="492"/>
      <c r="ADU4" s="492"/>
      <c r="ADV4" s="492"/>
      <c r="ADW4" s="492"/>
      <c r="ADX4" s="492"/>
      <c r="ADY4" s="492"/>
      <c r="ADZ4" s="492"/>
      <c r="AEA4" s="492"/>
      <c r="AEB4" s="492"/>
      <c r="AEC4" s="492"/>
      <c r="AED4" s="492"/>
      <c r="AEE4" s="492"/>
      <c r="AEF4" s="492"/>
      <c r="AEG4" s="492"/>
      <c r="AEH4" s="492"/>
      <c r="AEI4" s="492"/>
      <c r="AEJ4" s="492"/>
      <c r="AEK4" s="492"/>
      <c r="AEL4" s="492"/>
      <c r="AEM4" s="492"/>
      <c r="AEN4" s="492"/>
      <c r="AEO4" s="492"/>
      <c r="AEP4" s="492"/>
      <c r="AEQ4" s="492"/>
      <c r="AER4" s="492"/>
      <c r="AES4" s="492"/>
      <c r="AET4" s="492"/>
      <c r="AEU4" s="492"/>
      <c r="AEV4" s="492"/>
      <c r="AEW4" s="492"/>
      <c r="AEX4" s="492"/>
      <c r="AEY4" s="492"/>
      <c r="AEZ4" s="492"/>
      <c r="AFA4" s="492"/>
      <c r="AFB4" s="492"/>
      <c r="AFC4" s="492"/>
      <c r="AFD4" s="492"/>
      <c r="AFE4" s="492"/>
      <c r="AFF4" s="492"/>
      <c r="AFG4" s="492"/>
      <c r="AFH4" s="492"/>
      <c r="AFI4" s="492"/>
      <c r="AFJ4" s="492"/>
      <c r="AFK4" s="492"/>
      <c r="AFL4" s="492"/>
      <c r="AFM4" s="492"/>
      <c r="AFN4" s="492"/>
      <c r="AFO4" s="492"/>
      <c r="AFP4" s="492"/>
      <c r="AFQ4" s="492"/>
      <c r="AFR4" s="492"/>
      <c r="AFS4" s="491"/>
      <c r="AFT4" s="491"/>
      <c r="AFU4" s="491"/>
      <c r="AFV4" s="491"/>
      <c r="AFW4" s="491"/>
      <c r="AFX4" s="491"/>
      <c r="AFY4" s="491"/>
      <c r="AFZ4" s="491"/>
      <c r="AGA4" s="491"/>
      <c r="AGB4" s="491"/>
      <c r="AGC4" s="491"/>
      <c r="AGD4" s="491"/>
      <c r="AGE4" s="493"/>
      <c r="AGF4" s="65"/>
      <c r="AGG4" s="65"/>
      <c r="AGH4" s="65"/>
      <c r="AGI4" s="65"/>
      <c r="AGJ4" s="65"/>
      <c r="AGK4" s="65"/>
      <c r="AGL4" s="65"/>
      <c r="AGM4" s="65"/>
      <c r="AGN4" s="65"/>
      <c r="AGO4" s="65"/>
      <c r="AGP4" s="65"/>
      <c r="AGQ4" s="65"/>
      <c r="AGR4" s="65"/>
      <c r="AGS4" s="65"/>
      <c r="AGT4" s="65"/>
      <c r="AGU4" s="65"/>
      <c r="AGV4" s="65"/>
      <c r="AGW4" s="65"/>
      <c r="AGX4" s="65"/>
      <c r="AGY4" s="65"/>
      <c r="AGZ4" s="65"/>
      <c r="AHA4" s="65"/>
      <c r="AHB4" s="65"/>
      <c r="AHC4" s="65"/>
      <c r="AHD4" s="65"/>
      <c r="AHE4" s="65"/>
      <c r="AHF4" s="65"/>
      <c r="AHG4" s="65"/>
      <c r="AHH4" s="65"/>
      <c r="AHI4" s="65"/>
      <c r="AHJ4" s="65"/>
      <c r="AHK4" s="65"/>
      <c r="AHL4" s="65"/>
      <c r="AHM4" s="65"/>
      <c r="AHN4" s="65"/>
      <c r="AHO4" s="65"/>
      <c r="AHP4" s="65"/>
      <c r="AHQ4" s="65"/>
      <c r="AHR4" s="65"/>
      <c r="AHS4" s="65"/>
      <c r="AHT4" s="65"/>
      <c r="AHU4" s="65"/>
      <c r="AHV4" s="65"/>
      <c r="AHW4" s="65"/>
      <c r="AHX4" s="65"/>
      <c r="AHY4" s="65"/>
      <c r="AHZ4" s="65"/>
      <c r="AIA4" s="65"/>
      <c r="AIB4" s="65"/>
      <c r="AIC4" s="65"/>
      <c r="AID4" s="65"/>
      <c r="AIE4" s="65"/>
      <c r="AIF4" s="65"/>
      <c r="AIG4" s="65"/>
      <c r="AIH4" s="65"/>
      <c r="AII4" s="65"/>
      <c r="AIJ4" s="65"/>
      <c r="AIK4" s="65"/>
      <c r="AIL4" s="65"/>
      <c r="AIM4" s="65"/>
      <c r="AIN4" s="65"/>
      <c r="AIO4" s="65"/>
      <c r="AIP4" s="65"/>
      <c r="AIQ4" s="65"/>
      <c r="AIR4" s="65"/>
      <c r="AIS4" s="65"/>
      <c r="AIT4" s="65"/>
      <c r="AIU4" s="65"/>
      <c r="AIV4" s="65"/>
      <c r="AIW4" s="65"/>
      <c r="AIX4" s="65"/>
      <c r="AIY4" s="65"/>
      <c r="AIZ4" s="65"/>
      <c r="AJA4" s="65"/>
      <c r="AJB4" s="65"/>
      <c r="AJC4" s="65"/>
      <c r="AJD4" s="65"/>
      <c r="AJE4" s="65"/>
      <c r="AJF4" s="65"/>
      <c r="AJG4" s="65"/>
      <c r="AJH4" s="65"/>
      <c r="AJI4" s="65"/>
      <c r="AJJ4" s="65"/>
      <c r="AJK4" s="65"/>
      <c r="AJL4" s="65"/>
      <c r="AJM4" s="65"/>
      <c r="AJN4" s="65"/>
      <c r="AJO4" s="65"/>
      <c r="AJP4" s="65"/>
      <c r="AJQ4" s="65"/>
      <c r="AJR4" s="65"/>
      <c r="AJS4" s="65"/>
      <c r="AJT4" s="65"/>
      <c r="AJU4" s="65"/>
      <c r="AJV4" s="65"/>
      <c r="AJW4" s="65"/>
      <c r="AJX4" s="65"/>
      <c r="AJY4" s="65"/>
      <c r="AJZ4" s="65"/>
      <c r="AKA4" s="65"/>
      <c r="AKB4" s="65"/>
      <c r="AKC4" s="65"/>
      <c r="AKD4" s="65"/>
      <c r="AKE4" s="65"/>
      <c r="AKF4" s="65"/>
      <c r="AKG4" s="65"/>
      <c r="AKH4" s="65"/>
      <c r="AKI4" s="65"/>
      <c r="AKJ4" s="65"/>
      <c r="AKK4" s="65"/>
      <c r="AKL4" s="65"/>
      <c r="AKM4" s="65"/>
      <c r="AKN4" s="65"/>
      <c r="AKO4" s="65"/>
      <c r="AKP4" s="65"/>
      <c r="AKQ4" s="65"/>
      <c r="AKR4" s="65"/>
      <c r="AKS4" s="65"/>
      <c r="AKT4" s="65"/>
      <c r="AKU4" s="65"/>
      <c r="AKV4" s="65"/>
      <c r="AKW4" s="65"/>
      <c r="AKX4" s="65"/>
      <c r="AKY4" s="65"/>
      <c r="AKZ4" s="65"/>
      <c r="ALA4" s="65"/>
      <c r="ALB4" s="65"/>
      <c r="ALC4" s="65"/>
      <c r="ALD4" s="65"/>
      <c r="ALE4" s="65"/>
      <c r="ALF4" s="65"/>
      <c r="ALG4" s="65"/>
      <c r="ALH4" s="65"/>
      <c r="ALI4" s="65"/>
      <c r="ALJ4" s="65"/>
      <c r="ALK4" s="65"/>
      <c r="ALL4" s="65"/>
      <c r="ALM4" s="65"/>
      <c r="ALN4" s="65"/>
      <c r="ALO4" s="65"/>
      <c r="ALP4" s="65"/>
      <c r="ALQ4" s="65"/>
      <c r="ALR4" s="65"/>
      <c r="ALS4" s="65"/>
      <c r="ALT4" s="65"/>
      <c r="ALU4" s="65"/>
      <c r="ALV4" s="65"/>
      <c r="ALW4" s="65"/>
      <c r="ALX4" s="65"/>
      <c r="ALY4" s="65"/>
      <c r="ALZ4" s="65"/>
      <c r="AMA4" s="65"/>
      <c r="AMB4" s="65"/>
      <c r="AMC4" s="65"/>
      <c r="AMD4" s="65"/>
      <c r="AME4" s="65"/>
      <c r="AMF4" s="65"/>
      <c r="AMG4" s="65"/>
      <c r="AMH4" s="65"/>
      <c r="AMI4" s="65"/>
      <c r="AMJ4" s="65"/>
      <c r="AMK4" s="65"/>
      <c r="AML4" s="65"/>
      <c r="AMM4" s="65"/>
      <c r="AMN4" s="65"/>
      <c r="AMO4" s="65"/>
      <c r="AMP4" s="65"/>
      <c r="AMQ4" s="65"/>
      <c r="AMR4" s="65"/>
      <c r="AMS4" s="65"/>
      <c r="AMT4" s="65"/>
      <c r="AMU4" s="65"/>
      <c r="AMV4" s="65"/>
      <c r="AMW4" s="65"/>
      <c r="AMX4" s="65"/>
      <c r="AMY4" s="65"/>
      <c r="AMZ4" s="65"/>
      <c r="ANA4" s="65"/>
      <c r="ANB4" s="65"/>
      <c r="ANC4" s="65"/>
      <c r="AND4" s="65"/>
      <c r="ANE4" s="65"/>
      <c r="ANF4" s="65"/>
      <c r="ANG4" s="65"/>
      <c r="ANH4" s="65"/>
      <c r="ANI4" s="65"/>
      <c r="ANJ4" s="65"/>
      <c r="ANK4" s="65"/>
      <c r="ANL4" s="65"/>
      <c r="ANM4" s="65"/>
      <c r="ANN4" s="65"/>
      <c r="ANO4" s="65"/>
      <c r="ANP4" s="65"/>
      <c r="ANQ4" s="65"/>
      <c r="ANR4" s="65"/>
    </row>
    <row r="5" spans="1:1060" ht="88.8" customHeight="1" thickTop="1" thickBot="1">
      <c r="A5" s="60" t="s">
        <v>612</v>
      </c>
      <c r="B5" s="60" t="s">
        <v>759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513" t="s">
        <v>142</v>
      </c>
      <c r="CC5" s="513"/>
      <c r="CD5" s="513"/>
      <c r="CE5" s="513"/>
      <c r="CF5" s="513"/>
      <c r="CG5" s="513"/>
      <c r="CH5" s="513"/>
      <c r="CI5" s="513"/>
      <c r="CJ5" s="513"/>
      <c r="CK5" s="513"/>
      <c r="CL5" s="513"/>
      <c r="CM5" s="513"/>
      <c r="CN5" s="65"/>
      <c r="CO5" s="65"/>
      <c r="CP5" s="65"/>
      <c r="CQ5" s="514" t="s">
        <v>800</v>
      </c>
      <c r="CR5" s="514"/>
      <c r="CS5" s="514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5"/>
      <c r="HT5" s="65"/>
      <c r="HU5" s="65"/>
      <c r="HV5" s="65"/>
      <c r="HW5" s="65"/>
      <c r="HX5" s="65"/>
      <c r="HY5" s="65"/>
      <c r="HZ5" s="515" t="s">
        <v>782</v>
      </c>
      <c r="IA5" s="515"/>
      <c r="IB5" s="515"/>
      <c r="IC5" s="515"/>
      <c r="ID5" s="515"/>
      <c r="IE5" s="515"/>
      <c r="IF5" s="515"/>
      <c r="IG5" s="515"/>
      <c r="IH5" s="515"/>
      <c r="II5" s="515"/>
      <c r="IJ5" s="515"/>
      <c r="IK5" s="515"/>
      <c r="IL5" s="515"/>
      <c r="IM5" s="515"/>
      <c r="IN5" s="515"/>
      <c r="IO5" s="515"/>
      <c r="IP5" s="515"/>
      <c r="IQ5" s="515"/>
      <c r="IR5" s="515"/>
      <c r="IS5" s="65"/>
      <c r="IT5" s="65"/>
      <c r="IU5" s="516" t="s">
        <v>150</v>
      </c>
      <c r="IV5" s="516"/>
      <c r="IW5" s="516"/>
      <c r="IX5" s="516"/>
      <c r="IY5" s="516"/>
      <c r="IZ5" s="516"/>
      <c r="JA5" s="516"/>
      <c r="JB5" s="516"/>
      <c r="JC5" s="516"/>
      <c r="JD5" s="516"/>
      <c r="JE5" s="516"/>
      <c r="JF5" s="516"/>
      <c r="JG5" s="65"/>
      <c r="JH5" s="65"/>
      <c r="JI5" s="502" t="s">
        <v>154</v>
      </c>
      <c r="JJ5" s="502"/>
      <c r="JK5" s="502"/>
      <c r="JL5" s="65"/>
      <c r="JM5" s="65"/>
      <c r="JN5" s="65"/>
      <c r="JO5" s="65"/>
      <c r="JP5" s="65"/>
      <c r="JQ5" s="65"/>
      <c r="JR5" s="65"/>
      <c r="JS5" s="65"/>
      <c r="JT5" s="65"/>
      <c r="JU5" s="65"/>
      <c r="JV5" s="65"/>
      <c r="JW5" s="65"/>
      <c r="JX5" s="65"/>
      <c r="JY5" s="65"/>
      <c r="JZ5" s="65"/>
      <c r="KA5" s="65"/>
      <c r="KB5" s="65"/>
      <c r="KC5" s="65"/>
      <c r="KD5" s="65"/>
      <c r="KE5" s="65"/>
      <c r="KF5" s="65"/>
      <c r="KG5" s="65"/>
      <c r="KH5" s="65"/>
      <c r="KI5" s="65"/>
      <c r="KJ5" s="65"/>
      <c r="KK5" s="65"/>
      <c r="KL5" s="65"/>
      <c r="KM5" s="65"/>
      <c r="KN5" s="65"/>
      <c r="KO5" s="65"/>
      <c r="KP5" s="65"/>
      <c r="KQ5" s="65"/>
      <c r="KR5" s="65"/>
      <c r="KS5" s="65"/>
      <c r="KT5" s="65"/>
      <c r="KU5" s="65"/>
      <c r="KV5" s="65"/>
      <c r="KW5" s="65"/>
      <c r="KX5" s="65"/>
      <c r="KY5" s="65"/>
      <c r="KZ5" s="65"/>
      <c r="LA5" s="65"/>
      <c r="LB5" s="65"/>
      <c r="LC5" s="65"/>
      <c r="LD5" s="65"/>
      <c r="LE5" s="65"/>
      <c r="LF5" s="65"/>
      <c r="LG5" s="65"/>
      <c r="LH5" s="65"/>
      <c r="LI5" s="65"/>
      <c r="LJ5" s="65"/>
      <c r="LK5" s="65"/>
      <c r="LL5" s="65"/>
      <c r="LM5" s="65"/>
      <c r="LN5" s="65"/>
      <c r="LO5" s="65"/>
      <c r="LP5" s="65"/>
      <c r="LQ5" s="65"/>
      <c r="LR5" s="65"/>
      <c r="LS5" s="65"/>
      <c r="LT5" s="65"/>
      <c r="LU5" s="65"/>
      <c r="LV5" s="65"/>
      <c r="LW5" s="65"/>
      <c r="LX5" s="65"/>
      <c r="LY5" s="65"/>
      <c r="LZ5" s="65"/>
      <c r="MA5" s="65"/>
      <c r="MB5" s="65"/>
      <c r="MC5" s="65"/>
      <c r="MD5" s="65"/>
      <c r="ME5" s="65"/>
      <c r="MF5" s="65"/>
      <c r="MG5" s="65"/>
      <c r="MH5" s="65"/>
      <c r="MI5" s="65"/>
      <c r="MJ5" s="65"/>
      <c r="MK5" s="65"/>
      <c r="ML5" s="65"/>
      <c r="MM5" s="65"/>
      <c r="MN5" s="65"/>
      <c r="MO5" s="65"/>
      <c r="MP5" s="65"/>
      <c r="MQ5" s="65"/>
      <c r="MR5" s="65"/>
      <c r="MS5" s="65"/>
      <c r="MT5" s="65"/>
      <c r="MU5" s="65"/>
      <c r="MV5" s="65"/>
      <c r="MW5" s="65"/>
      <c r="MX5" s="65"/>
      <c r="MY5" s="65"/>
      <c r="MZ5" s="65"/>
      <c r="NA5" s="65"/>
      <c r="NB5" s="65"/>
      <c r="NC5" s="65"/>
      <c r="ND5" s="65"/>
      <c r="NE5" s="65"/>
      <c r="NF5" s="65"/>
      <c r="NG5" s="65"/>
      <c r="NH5" s="65"/>
      <c r="NI5" s="65"/>
      <c r="NJ5" s="65"/>
      <c r="NK5" s="65"/>
      <c r="NL5" s="65"/>
      <c r="NM5" s="65"/>
      <c r="NN5" s="65"/>
      <c r="NO5" s="65"/>
      <c r="NP5" s="65"/>
      <c r="NQ5" s="65"/>
      <c r="NR5" s="65"/>
      <c r="NS5" s="65"/>
      <c r="NT5" s="65"/>
      <c r="NU5" s="65"/>
      <c r="NV5" s="65"/>
      <c r="NW5" s="65"/>
      <c r="NX5" s="65"/>
      <c r="NY5" s="65"/>
      <c r="NZ5" s="65"/>
      <c r="OA5" s="65"/>
      <c r="OB5" s="65"/>
      <c r="OC5" s="65"/>
      <c r="OD5" s="65"/>
      <c r="OE5" s="65"/>
      <c r="OF5" s="65"/>
      <c r="OG5" s="65"/>
      <c r="OH5" s="65"/>
      <c r="OI5" s="65"/>
      <c r="OJ5" s="65"/>
      <c r="OK5" s="65"/>
      <c r="OL5" s="65"/>
      <c r="OM5" s="65"/>
      <c r="ON5" s="65"/>
      <c r="OO5" s="65"/>
      <c r="OP5" s="65"/>
      <c r="OQ5" s="65"/>
      <c r="OR5" s="65"/>
      <c r="OS5" s="65"/>
      <c r="OT5" s="65"/>
      <c r="OU5" s="65"/>
      <c r="OV5" s="65"/>
      <c r="OW5" s="65"/>
      <c r="OX5" s="65"/>
      <c r="OY5" s="65"/>
      <c r="OZ5" s="65"/>
      <c r="PA5" s="65"/>
      <c r="PB5" s="65"/>
      <c r="PC5" s="65"/>
      <c r="PD5" s="65"/>
      <c r="PE5" s="65"/>
      <c r="PF5" s="65"/>
      <c r="PG5" s="65"/>
      <c r="PH5" s="65"/>
      <c r="PI5" s="65"/>
      <c r="PJ5" s="65"/>
      <c r="PK5" s="65"/>
      <c r="PL5" s="65"/>
      <c r="PM5" s="65"/>
      <c r="PN5" s="65"/>
      <c r="PO5" s="65"/>
      <c r="PP5" s="65"/>
      <c r="PQ5" s="65"/>
      <c r="PR5" s="65"/>
      <c r="PS5" s="65"/>
      <c r="PT5" s="65"/>
      <c r="PU5" s="65"/>
      <c r="PV5" s="65"/>
      <c r="PW5" s="65"/>
      <c r="PX5" s="65"/>
      <c r="PY5" s="65"/>
      <c r="PZ5" s="65"/>
      <c r="QA5" s="65"/>
      <c r="QB5" s="65"/>
      <c r="QC5" s="65"/>
      <c r="QD5" s="65"/>
      <c r="QE5" s="65"/>
      <c r="QF5" s="65"/>
      <c r="QG5" s="65"/>
      <c r="QH5" s="65"/>
      <c r="QI5" s="65"/>
      <c r="QJ5" s="65"/>
      <c r="QK5" s="65"/>
      <c r="QL5" s="65"/>
      <c r="QM5" s="65"/>
      <c r="QN5" s="65"/>
      <c r="QO5" s="65"/>
      <c r="QP5" s="65"/>
      <c r="QQ5" s="65"/>
      <c r="QR5" s="65"/>
      <c r="QS5" s="65"/>
      <c r="QT5" s="65"/>
      <c r="QU5" s="65"/>
      <c r="QV5" s="65"/>
      <c r="QW5" s="65"/>
      <c r="QX5" s="65"/>
      <c r="QY5" s="65"/>
      <c r="QZ5" s="65"/>
      <c r="RA5" s="65"/>
      <c r="RB5" s="65"/>
      <c r="RC5" s="65"/>
      <c r="RD5" s="65"/>
      <c r="RE5" s="65"/>
      <c r="RF5" s="65"/>
      <c r="RG5" s="65"/>
      <c r="RH5" s="65"/>
      <c r="RI5" s="65"/>
      <c r="RJ5" s="65"/>
      <c r="RK5" s="65"/>
      <c r="RL5" s="65"/>
      <c r="RM5" s="65"/>
      <c r="RN5" s="65"/>
      <c r="RO5" s="65"/>
      <c r="RP5" s="65"/>
      <c r="RQ5" s="65"/>
      <c r="RR5" s="65"/>
      <c r="RS5" s="65"/>
      <c r="RT5" s="65"/>
      <c r="RU5" s="65"/>
      <c r="RV5" s="65"/>
      <c r="RW5" s="65"/>
      <c r="RX5" s="65"/>
      <c r="RY5" s="65"/>
      <c r="RZ5" s="65"/>
      <c r="SA5" s="65"/>
      <c r="SB5" s="65"/>
      <c r="SC5" s="65"/>
      <c r="SD5" s="65"/>
      <c r="SE5" s="65"/>
      <c r="SF5" s="65"/>
      <c r="SG5" s="65"/>
      <c r="SH5" s="65"/>
      <c r="SI5" s="65"/>
      <c r="SJ5" s="65"/>
      <c r="SK5" s="65"/>
      <c r="SL5" s="65"/>
      <c r="SM5" s="65"/>
      <c r="SN5" s="65"/>
      <c r="SO5" s="65"/>
      <c r="SP5" s="65"/>
      <c r="SQ5" s="65"/>
      <c r="SR5" s="65"/>
      <c r="SS5" s="65"/>
      <c r="ST5" s="65"/>
      <c r="SU5" s="65"/>
      <c r="SV5" s="65"/>
      <c r="SW5" s="65"/>
      <c r="SX5" s="65"/>
      <c r="SY5" s="65"/>
      <c r="SZ5" s="65"/>
      <c r="TA5" s="65"/>
      <c r="TB5" s="65"/>
      <c r="TC5" s="65"/>
      <c r="TD5" s="65"/>
      <c r="TE5" s="65"/>
      <c r="TF5" s="65"/>
      <c r="TG5" s="65"/>
      <c r="TH5" s="65"/>
      <c r="TI5" s="65"/>
      <c r="TJ5" s="65"/>
      <c r="TK5" s="65"/>
      <c r="TL5" s="65"/>
      <c r="TM5" s="65"/>
      <c r="TN5" s="65"/>
      <c r="TO5" s="65"/>
      <c r="TP5" s="65"/>
      <c r="TQ5" s="65"/>
      <c r="TR5" s="65"/>
      <c r="TS5" s="65"/>
      <c r="TT5" s="65"/>
      <c r="TU5" s="65"/>
      <c r="TV5" s="65"/>
      <c r="TW5" s="65"/>
      <c r="TX5" s="65"/>
      <c r="TY5" s="65"/>
      <c r="TZ5" s="65"/>
      <c r="UA5" s="65"/>
      <c r="UB5" s="65"/>
      <c r="UC5" s="65"/>
      <c r="UD5" s="65"/>
      <c r="UE5" s="65"/>
      <c r="UF5" s="65"/>
      <c r="UG5" s="65"/>
      <c r="UH5" s="65"/>
      <c r="UI5" s="65"/>
      <c r="UJ5" s="65"/>
      <c r="UK5" s="65"/>
      <c r="UL5" s="65"/>
      <c r="UM5" s="65"/>
      <c r="UN5" s="65"/>
      <c r="UO5" s="65"/>
      <c r="UP5" s="65"/>
      <c r="UQ5" s="65"/>
      <c r="UR5" s="65"/>
      <c r="US5" s="65"/>
      <c r="UT5" s="65"/>
      <c r="UU5" s="65"/>
      <c r="UV5" s="65"/>
      <c r="UW5" s="65"/>
      <c r="UX5" s="65"/>
      <c r="UY5" s="65"/>
      <c r="UZ5" s="65"/>
      <c r="VA5" s="65"/>
      <c r="VB5" s="65"/>
      <c r="VC5" s="65"/>
      <c r="VD5" s="65"/>
      <c r="VE5" s="65"/>
      <c r="VF5" s="65"/>
      <c r="VG5" s="65"/>
      <c r="VH5" s="65"/>
      <c r="VI5" s="65"/>
      <c r="VJ5" s="65"/>
      <c r="VK5" s="65"/>
      <c r="VL5" s="65"/>
      <c r="VM5" s="65"/>
      <c r="VN5" s="65"/>
      <c r="VO5" s="65"/>
      <c r="VP5" s="65"/>
      <c r="VQ5" s="65"/>
      <c r="VR5" s="65"/>
      <c r="VS5" s="65"/>
      <c r="VT5" s="65"/>
      <c r="VU5" s="65"/>
      <c r="VV5" s="65"/>
      <c r="VW5" s="65"/>
      <c r="VX5" s="65"/>
      <c r="VY5" s="65"/>
      <c r="VZ5" s="65"/>
      <c r="WA5" s="65"/>
      <c r="WB5" s="65"/>
      <c r="WC5" s="65"/>
      <c r="WD5" s="65"/>
      <c r="WE5" s="65"/>
      <c r="WF5" s="65"/>
      <c r="WG5" s="65"/>
      <c r="WH5" s="65"/>
      <c r="WI5" s="65"/>
      <c r="WJ5" s="65"/>
      <c r="WK5" s="65"/>
      <c r="WL5" s="65"/>
      <c r="WM5" s="65"/>
      <c r="WN5" s="65"/>
      <c r="WO5" s="65"/>
      <c r="WP5" s="65"/>
      <c r="WQ5" s="65"/>
      <c r="WR5" s="65"/>
      <c r="WS5" s="65"/>
      <c r="WT5" s="65"/>
      <c r="WU5" s="65"/>
      <c r="WV5" s="65"/>
      <c r="WW5" s="65"/>
      <c r="WX5" s="65"/>
      <c r="WY5" s="65"/>
      <c r="WZ5" s="65"/>
      <c r="XA5" s="65"/>
      <c r="XB5" s="65"/>
      <c r="XC5" s="65"/>
      <c r="XD5" s="65"/>
      <c r="XE5" s="65"/>
      <c r="XF5" s="65"/>
      <c r="XG5" s="65"/>
      <c r="XH5" s="65"/>
      <c r="XI5" s="65"/>
      <c r="XJ5" s="65"/>
      <c r="XK5" s="65"/>
      <c r="XL5" s="65"/>
      <c r="XM5" s="65"/>
      <c r="XN5" s="65"/>
      <c r="XO5" s="65"/>
      <c r="XP5" s="65"/>
      <c r="XQ5" s="65"/>
      <c r="XR5" s="65"/>
      <c r="XS5" s="65"/>
      <c r="XT5" s="65"/>
      <c r="XU5" s="65"/>
      <c r="XV5" s="65"/>
      <c r="XW5" s="65"/>
      <c r="XX5" s="65"/>
      <c r="XY5" s="65"/>
      <c r="XZ5" s="65"/>
      <c r="YA5" s="65"/>
      <c r="YB5" s="65"/>
      <c r="YC5" s="65"/>
      <c r="YD5" s="65"/>
      <c r="YE5" s="65"/>
      <c r="YF5" s="65"/>
      <c r="YG5" s="65"/>
      <c r="YH5" s="65"/>
      <c r="YI5" s="65"/>
      <c r="YJ5" s="65"/>
      <c r="YK5" s="65"/>
      <c r="YL5" s="65"/>
      <c r="YM5" s="65"/>
      <c r="YN5" s="65"/>
      <c r="YO5" s="65"/>
      <c r="YP5" s="65"/>
      <c r="YQ5" s="65"/>
      <c r="YR5" s="65"/>
      <c r="YS5" s="65"/>
      <c r="YT5" s="65"/>
      <c r="YU5" s="65"/>
      <c r="YV5" s="65"/>
      <c r="YW5" s="65"/>
      <c r="YX5" s="65"/>
      <c r="YY5" s="65"/>
      <c r="YZ5" s="65"/>
      <c r="ZA5" s="65"/>
      <c r="ZB5" s="65"/>
      <c r="ZC5" s="65"/>
      <c r="ZD5" s="65"/>
      <c r="ZE5" s="65"/>
      <c r="ZF5" s="65"/>
      <c r="ZG5" s="65"/>
      <c r="ZH5" s="65"/>
      <c r="ZI5" s="65"/>
      <c r="ZJ5" s="65"/>
      <c r="ZK5" s="65"/>
      <c r="ZL5" s="65"/>
      <c r="ZM5" s="65"/>
      <c r="ZN5" s="65"/>
      <c r="ZO5" s="65"/>
      <c r="ZP5" s="65"/>
      <c r="ZQ5" s="65"/>
      <c r="ZR5" s="65"/>
      <c r="ZS5" s="65"/>
      <c r="ZT5" s="65"/>
      <c r="ZU5" s="65"/>
      <c r="ZV5" s="65"/>
      <c r="ZW5" s="65"/>
      <c r="ZX5" s="65"/>
      <c r="ZY5" s="65"/>
      <c r="ZZ5" s="65"/>
      <c r="AAA5" s="65"/>
      <c r="AAB5" s="65"/>
      <c r="AAC5" s="65"/>
      <c r="AAD5" s="65"/>
      <c r="AAE5" s="65"/>
      <c r="AAF5" s="65"/>
      <c r="AAG5" s="65"/>
      <c r="AAH5" s="65"/>
      <c r="AAI5" s="65"/>
      <c r="AAJ5" s="65"/>
      <c r="AAK5" s="65"/>
      <c r="AAL5" s="65"/>
      <c r="AAM5" s="65"/>
      <c r="AAN5" s="65"/>
      <c r="AAO5" s="65"/>
      <c r="AAP5" s="65"/>
      <c r="AAQ5" s="65"/>
      <c r="AAR5" s="65"/>
      <c r="AAS5" s="65"/>
      <c r="AAT5" s="65"/>
      <c r="AAU5" s="65"/>
      <c r="AAV5" s="65"/>
      <c r="AAW5" s="65"/>
      <c r="AAX5" s="65"/>
      <c r="AAY5" s="65"/>
      <c r="AAZ5" s="65"/>
      <c r="ABA5" s="65"/>
      <c r="ABB5" s="65"/>
      <c r="ABC5" s="65"/>
      <c r="ABD5" s="65"/>
      <c r="ABE5" s="65"/>
      <c r="ABF5" s="65"/>
      <c r="ABG5" s="65"/>
      <c r="ABH5" s="65"/>
      <c r="ABI5" s="65"/>
      <c r="ABJ5" s="65"/>
      <c r="ABK5" s="65"/>
      <c r="ABL5" s="65"/>
      <c r="ABM5" s="65"/>
      <c r="ABN5" s="65"/>
      <c r="ABO5" s="65"/>
      <c r="ABP5" s="65"/>
      <c r="ABQ5" s="65"/>
      <c r="ABR5" s="65"/>
      <c r="ABS5" s="65"/>
      <c r="ABT5" s="65"/>
      <c r="ABU5" s="65"/>
      <c r="ABV5" s="65"/>
      <c r="ABW5" s="65"/>
      <c r="ABX5" s="65"/>
      <c r="ABY5" s="65"/>
      <c r="ABZ5" s="65"/>
      <c r="ACA5" s="65"/>
      <c r="ACB5" s="65"/>
      <c r="ACC5" s="65"/>
      <c r="ACD5" s="65"/>
      <c r="ACE5" s="65"/>
      <c r="ACF5" s="65"/>
      <c r="ACG5" s="65"/>
      <c r="ACH5" s="65"/>
      <c r="ACI5" s="65"/>
      <c r="ACJ5" s="65"/>
      <c r="ACK5" s="65"/>
      <c r="ACL5" s="65"/>
      <c r="ACM5" s="65"/>
      <c r="ACN5" s="65"/>
      <c r="ACO5" s="65"/>
      <c r="ACP5" s="65"/>
      <c r="ACQ5" s="65"/>
      <c r="ACR5" s="65"/>
      <c r="ACS5" s="65"/>
      <c r="ACT5" s="65"/>
      <c r="ACU5" s="65"/>
      <c r="ACV5" s="65"/>
      <c r="ACW5" s="65"/>
      <c r="ACX5" s="65"/>
      <c r="ACY5" s="65"/>
      <c r="ACZ5" s="65"/>
      <c r="ADA5" s="65"/>
      <c r="ADB5" s="65"/>
      <c r="ADC5" s="65"/>
      <c r="ADD5" s="65"/>
      <c r="ADE5" s="65"/>
      <c r="ADF5" s="65"/>
      <c r="ADG5" s="65"/>
      <c r="ADH5" s="65"/>
      <c r="ADI5" s="65"/>
      <c r="ADJ5" s="65"/>
      <c r="ADK5" s="65"/>
      <c r="ADL5" s="65"/>
      <c r="ADM5" s="65"/>
      <c r="ADN5" s="65"/>
      <c r="ADO5" s="65"/>
      <c r="ADP5" s="65"/>
      <c r="ADQ5" s="65"/>
      <c r="ADR5" s="65"/>
      <c r="ADS5" s="65"/>
      <c r="ADT5" s="65"/>
      <c r="ADU5" s="65"/>
      <c r="ADV5" s="65"/>
      <c r="ADW5" s="65"/>
      <c r="ADX5" s="65"/>
      <c r="ADY5" s="65"/>
      <c r="ADZ5" s="65"/>
      <c r="AEA5" s="65"/>
      <c r="AEB5" s="65"/>
      <c r="AEC5" s="65"/>
      <c r="AED5" s="65"/>
      <c r="AEE5" s="65"/>
      <c r="AEF5" s="65"/>
      <c r="AEG5" s="65"/>
      <c r="AEH5" s="65"/>
      <c r="AEI5" s="65"/>
      <c r="AEJ5" s="65"/>
      <c r="AEK5" s="65"/>
      <c r="AEL5" s="65"/>
      <c r="AEM5" s="65"/>
      <c r="AEN5" s="65"/>
      <c r="AEO5" s="65"/>
      <c r="AEP5" s="65"/>
      <c r="AEQ5" s="65"/>
      <c r="AER5" s="65"/>
      <c r="AES5" s="65"/>
      <c r="AET5" s="65"/>
      <c r="AEU5" s="65"/>
      <c r="AEV5" s="65"/>
      <c r="AEW5" s="65"/>
      <c r="AEX5" s="65"/>
      <c r="AEY5" s="65"/>
      <c r="AEZ5" s="65"/>
      <c r="AFA5" s="65"/>
      <c r="AFB5" s="65"/>
      <c r="AFC5" s="65"/>
      <c r="AFD5" s="65"/>
      <c r="AFE5" s="65"/>
      <c r="AFF5" s="65"/>
      <c r="AFG5" s="65"/>
      <c r="AFH5" s="65"/>
      <c r="AFI5" s="65"/>
      <c r="AFJ5" s="65"/>
      <c r="AFK5" s="65"/>
      <c r="AFL5" s="65"/>
      <c r="AFM5" s="65"/>
      <c r="AFN5" s="65"/>
      <c r="AFO5" s="65"/>
      <c r="AFP5" s="65"/>
      <c r="AFQ5" s="65"/>
      <c r="AFR5" s="65"/>
      <c r="AFS5" s="65"/>
      <c r="AFT5" s="65"/>
      <c r="AFU5" s="65"/>
      <c r="AFV5" s="65"/>
      <c r="AFW5" s="65"/>
      <c r="AFX5" s="65"/>
      <c r="AFY5" s="65"/>
      <c r="AFZ5" s="65"/>
      <c r="AGA5" s="65"/>
      <c r="AGB5" s="65"/>
      <c r="AGC5" s="65"/>
      <c r="AGD5" s="65"/>
      <c r="AGE5" s="65"/>
      <c r="AGF5" s="65"/>
      <c r="AGG5" s="65"/>
      <c r="AGH5" s="65"/>
      <c r="AGI5" s="65"/>
      <c r="AGJ5" s="65"/>
      <c r="AGK5" s="65"/>
      <c r="AGL5" s="65"/>
      <c r="AGM5" s="65"/>
      <c r="AGN5" s="65"/>
      <c r="AGO5" s="65"/>
      <c r="AGP5" s="65"/>
      <c r="AGQ5" s="65"/>
      <c r="AGR5" s="65"/>
      <c r="AGS5" s="65"/>
      <c r="AGT5" s="65"/>
      <c r="AGU5" s="65"/>
      <c r="AGV5" s="65"/>
      <c r="AGW5" s="65"/>
      <c r="AGX5" s="65"/>
      <c r="AGY5" s="65"/>
      <c r="AGZ5" s="65"/>
      <c r="AHA5" s="65"/>
      <c r="AHB5" s="65"/>
      <c r="AHC5" s="65"/>
      <c r="AHD5" s="65"/>
      <c r="AHE5" s="65"/>
      <c r="AHF5" s="65"/>
      <c r="AHG5" s="65"/>
      <c r="AHH5" s="65"/>
      <c r="AHI5" s="65"/>
      <c r="AHJ5" s="65"/>
      <c r="AHK5" s="65"/>
      <c r="AHL5" s="65"/>
      <c r="AHM5" s="65"/>
      <c r="AHN5" s="65"/>
      <c r="AHO5" s="65"/>
      <c r="AHP5" s="65"/>
      <c r="AHQ5" s="65"/>
      <c r="AHR5" s="65"/>
      <c r="AHS5" s="65"/>
      <c r="AHT5" s="65"/>
      <c r="AHU5" s="65"/>
      <c r="AHV5" s="65"/>
      <c r="AHW5" s="65"/>
      <c r="AHX5" s="65"/>
      <c r="AHY5" s="65"/>
      <c r="AHZ5" s="65"/>
      <c r="AIA5" s="65"/>
      <c r="AIB5" s="65"/>
      <c r="AIC5" s="65"/>
      <c r="AID5" s="65"/>
      <c r="AIE5" s="65"/>
      <c r="AIF5" s="65"/>
      <c r="AIG5" s="65"/>
      <c r="AIH5" s="65"/>
      <c r="AII5" s="65"/>
      <c r="AIJ5" s="65"/>
      <c r="AIK5" s="65"/>
      <c r="AIL5" s="65"/>
      <c r="AIM5" s="65"/>
      <c r="AIN5" s="65"/>
      <c r="AIO5" s="65"/>
      <c r="AIP5" s="65"/>
      <c r="AIQ5" s="65"/>
      <c r="AIR5" s="65"/>
      <c r="AIS5" s="65"/>
      <c r="AIT5" s="65"/>
      <c r="AIU5" s="65"/>
      <c r="AIV5" s="65"/>
      <c r="AIW5" s="65"/>
      <c r="AIX5" s="65"/>
      <c r="AIY5" s="65"/>
      <c r="AIZ5" s="65"/>
      <c r="AJA5" s="65"/>
      <c r="AJB5" s="65"/>
      <c r="AJC5" s="65"/>
      <c r="AJD5" s="65"/>
      <c r="AJE5" s="65"/>
      <c r="AJF5" s="65"/>
      <c r="AJG5" s="65"/>
      <c r="AJH5" s="65"/>
      <c r="AJI5" s="65"/>
      <c r="AJJ5" s="65"/>
      <c r="AJK5" s="65"/>
      <c r="AJL5" s="65"/>
      <c r="AJM5" s="65"/>
      <c r="AJN5" s="65"/>
      <c r="AJO5" s="65"/>
      <c r="AJP5" s="65"/>
      <c r="AJQ5" s="65"/>
      <c r="AJR5" s="65"/>
      <c r="AJS5" s="65"/>
      <c r="AJT5" s="65"/>
      <c r="AJU5" s="65"/>
      <c r="AJV5" s="65"/>
      <c r="AJW5" s="65"/>
      <c r="AJX5" s="65"/>
      <c r="AJY5" s="65"/>
      <c r="AJZ5" s="65"/>
      <c r="AKA5" s="65"/>
      <c r="AKB5" s="65"/>
      <c r="AKC5" s="65"/>
      <c r="AKD5" s="65"/>
      <c r="AKE5" s="65"/>
      <c r="AKF5" s="65"/>
      <c r="AKG5" s="65"/>
      <c r="AKH5" s="65"/>
      <c r="AKI5" s="65"/>
      <c r="AKJ5" s="65"/>
      <c r="AKK5" s="65"/>
      <c r="AKL5" s="65"/>
      <c r="AKM5" s="65"/>
      <c r="AKN5" s="65"/>
      <c r="AKO5" s="65"/>
      <c r="AKP5" s="65"/>
      <c r="AKQ5" s="65"/>
      <c r="AKR5" s="65"/>
      <c r="AKS5" s="65"/>
      <c r="AKT5" s="65"/>
      <c r="AKU5" s="65"/>
      <c r="AKV5" s="65"/>
      <c r="AKW5" s="65"/>
      <c r="AKX5" s="65"/>
      <c r="AKY5" s="65"/>
      <c r="AKZ5" s="65"/>
      <c r="ALA5" s="65"/>
      <c r="ALB5" s="65"/>
      <c r="ALC5" s="65"/>
      <c r="ALD5" s="65"/>
      <c r="ALE5" s="65"/>
      <c r="ALF5" s="65"/>
      <c r="ALG5" s="65"/>
      <c r="ALH5" s="65"/>
      <c r="ALI5" s="65"/>
      <c r="ALJ5" s="65"/>
      <c r="ALK5" s="65"/>
      <c r="ALL5" s="65"/>
      <c r="ALM5" s="65"/>
      <c r="ALN5" s="65"/>
      <c r="ALO5" s="65"/>
      <c r="ALP5" s="65"/>
      <c r="ALQ5" s="65"/>
      <c r="ALR5" s="65"/>
      <c r="ALS5" s="65"/>
      <c r="ALT5" s="65"/>
      <c r="ALU5" s="65"/>
      <c r="ALV5" s="65"/>
      <c r="ALW5" s="65"/>
      <c r="ALX5" s="65"/>
      <c r="ALY5" s="65"/>
      <c r="ALZ5" s="65"/>
      <c r="AMA5" s="65"/>
      <c r="AMB5" s="65"/>
      <c r="AMC5" s="65"/>
      <c r="AMD5" s="65"/>
      <c r="AME5" s="65"/>
      <c r="AMF5" s="65"/>
      <c r="AMG5" s="65"/>
      <c r="AMH5" s="65"/>
      <c r="AMI5" s="65"/>
      <c r="AMJ5" s="65"/>
      <c r="AMK5" s="65"/>
      <c r="AML5" s="65"/>
      <c r="AMM5" s="65"/>
      <c r="AMN5" s="65"/>
      <c r="AMO5" s="65"/>
      <c r="AMP5" s="65"/>
      <c r="AMQ5" s="65"/>
      <c r="AMR5" s="65"/>
      <c r="AMS5" s="65"/>
      <c r="AMT5" s="65"/>
      <c r="AMU5" s="65"/>
      <c r="AMV5" s="65"/>
      <c r="AMW5" s="65"/>
      <c r="AMX5" s="65"/>
      <c r="AMY5" s="65"/>
      <c r="AMZ5" s="65"/>
      <c r="ANA5" s="65"/>
      <c r="ANB5" s="65"/>
      <c r="ANC5" s="65"/>
      <c r="AND5" s="65"/>
      <c r="ANE5" s="65"/>
      <c r="ANF5" s="65"/>
      <c r="ANG5" s="65"/>
      <c r="ANH5" s="65"/>
      <c r="ANI5" s="65"/>
      <c r="ANJ5" s="65"/>
      <c r="ANK5" s="65"/>
      <c r="ANL5" s="65"/>
      <c r="ANM5" s="65"/>
      <c r="ANN5" s="65"/>
      <c r="ANO5" s="65"/>
      <c r="ANP5" s="65"/>
      <c r="ANQ5" s="65"/>
      <c r="ANR5" s="65"/>
    </row>
    <row r="6" spans="1:1060" ht="88.8" customHeight="1" thickTop="1" thickBot="1">
      <c r="A6" s="206" t="s">
        <v>614</v>
      </c>
      <c r="B6" s="206" t="s">
        <v>760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/>
      <c r="IX6" s="65"/>
      <c r="IY6" s="65"/>
      <c r="IZ6" s="65"/>
      <c r="JA6" s="65"/>
      <c r="JB6" s="65"/>
      <c r="JC6" s="65"/>
      <c r="JD6" s="516" t="s">
        <v>715</v>
      </c>
      <c r="JE6" s="516"/>
      <c r="JF6" s="516"/>
      <c r="JG6" s="516"/>
      <c r="JH6" s="516"/>
      <c r="JI6" s="516"/>
      <c r="JJ6" s="516"/>
      <c r="JK6" s="508" t="s">
        <v>796</v>
      </c>
      <c r="JL6" s="508"/>
      <c r="JM6" s="508"/>
      <c r="JN6" s="508"/>
      <c r="JO6" s="508"/>
      <c r="JP6" s="508"/>
      <c r="JQ6" s="508"/>
      <c r="JR6" s="508"/>
      <c r="JS6" s="508"/>
      <c r="JT6" s="508"/>
      <c r="JU6" s="508"/>
      <c r="JV6" s="508"/>
      <c r="JW6" s="508"/>
      <c r="JX6" s="508"/>
      <c r="JY6" s="508"/>
      <c r="JZ6" s="508"/>
      <c r="KA6" s="508"/>
      <c r="KB6" s="508"/>
      <c r="KC6" s="508"/>
      <c r="KD6" s="508"/>
      <c r="KE6" s="508"/>
      <c r="KF6" s="508"/>
      <c r="KG6" s="508"/>
      <c r="KH6" s="508"/>
      <c r="KI6" s="508"/>
      <c r="KJ6" s="508"/>
      <c r="KK6" s="508"/>
      <c r="KL6" s="508"/>
      <c r="KM6" s="508"/>
      <c r="KN6" s="508"/>
      <c r="KO6" s="508"/>
      <c r="KP6" s="508"/>
      <c r="KQ6" s="517" t="s">
        <v>795</v>
      </c>
      <c r="KR6" s="517"/>
      <c r="KS6" s="517"/>
      <c r="KT6" s="517"/>
      <c r="KU6" s="517"/>
      <c r="KV6" s="517"/>
      <c r="KW6" s="517"/>
      <c r="KX6" s="517"/>
      <c r="KY6" s="517"/>
      <c r="KZ6" s="517"/>
      <c r="LA6" s="517"/>
      <c r="LB6" s="517"/>
      <c r="LC6" s="517"/>
      <c r="LD6" s="517"/>
      <c r="LE6" s="65"/>
      <c r="LF6" s="65"/>
      <c r="LG6" s="65"/>
      <c r="LH6" s="65"/>
      <c r="LI6" s="65"/>
      <c r="LJ6" s="65"/>
      <c r="LK6" s="65"/>
      <c r="LL6" s="65"/>
      <c r="LM6" s="65"/>
      <c r="LN6" s="65"/>
      <c r="LO6" s="65"/>
      <c r="LP6" s="65"/>
      <c r="LQ6" s="65"/>
      <c r="LR6" s="65"/>
      <c r="LS6" s="65"/>
      <c r="LT6" s="65"/>
      <c r="LU6" s="65"/>
      <c r="LV6" s="65"/>
      <c r="LW6" s="65"/>
      <c r="LX6" s="65"/>
      <c r="LY6" s="65"/>
      <c r="LZ6" s="65"/>
      <c r="MA6" s="65"/>
      <c r="MB6" s="65"/>
      <c r="MC6" s="65"/>
      <c r="MD6" s="65"/>
      <c r="ME6" s="65"/>
      <c r="MF6" s="65"/>
      <c r="MG6" s="65"/>
      <c r="MH6" s="65"/>
      <c r="MI6" s="65"/>
      <c r="MJ6" s="65"/>
      <c r="MK6" s="65"/>
      <c r="ML6" s="65"/>
      <c r="MM6" s="65"/>
      <c r="MN6" s="65"/>
      <c r="MO6" s="65"/>
      <c r="MP6" s="65"/>
      <c r="MQ6" s="65"/>
      <c r="MR6" s="65"/>
      <c r="MS6" s="65"/>
      <c r="MT6" s="65"/>
      <c r="MU6" s="65"/>
      <c r="MV6" s="65"/>
      <c r="MW6" s="65"/>
      <c r="MX6" s="65"/>
      <c r="MY6" s="65"/>
      <c r="MZ6" s="65"/>
      <c r="NA6" s="65"/>
      <c r="NB6" s="65"/>
      <c r="NC6" s="65"/>
      <c r="ND6" s="65"/>
      <c r="NE6" s="65"/>
      <c r="NF6" s="65"/>
      <c r="NG6" s="65"/>
      <c r="NH6" s="65"/>
      <c r="NI6" s="65"/>
      <c r="NJ6" s="65"/>
      <c r="NK6" s="65"/>
      <c r="NL6" s="65"/>
      <c r="NM6" s="65"/>
      <c r="NN6" s="65"/>
      <c r="NO6" s="65"/>
      <c r="NP6" s="65"/>
      <c r="NQ6" s="65"/>
      <c r="NR6" s="65"/>
      <c r="NS6" s="65"/>
      <c r="NT6" s="65"/>
      <c r="NU6" s="65"/>
      <c r="NV6" s="65"/>
      <c r="NW6" s="65"/>
      <c r="NX6" s="65"/>
      <c r="NY6" s="65"/>
      <c r="NZ6" s="65"/>
      <c r="OA6" s="65"/>
      <c r="OB6" s="65"/>
      <c r="OC6" s="65"/>
      <c r="OD6" s="65"/>
      <c r="OE6" s="65"/>
      <c r="OF6" s="65"/>
      <c r="OG6" s="65"/>
      <c r="OH6" s="65"/>
      <c r="OI6" s="65"/>
      <c r="OJ6" s="65"/>
      <c r="OK6" s="65"/>
      <c r="OL6" s="518" t="s">
        <v>707</v>
      </c>
      <c r="OM6" s="519"/>
      <c r="ON6" s="519"/>
      <c r="OO6" s="519"/>
      <c r="OP6" s="519"/>
      <c r="OQ6" s="519"/>
      <c r="OR6" s="519"/>
      <c r="OS6" s="519"/>
      <c r="OT6" s="519"/>
      <c r="OU6" s="519"/>
      <c r="OV6" s="519"/>
      <c r="OW6" s="519"/>
      <c r="OX6" s="519"/>
      <c r="OY6" s="519"/>
      <c r="OZ6" s="519"/>
      <c r="PA6" s="519"/>
      <c r="PB6" s="519"/>
      <c r="PC6" s="520"/>
      <c r="PD6" s="478" t="s">
        <v>733</v>
      </c>
      <c r="PE6" s="478"/>
      <c r="PF6" s="478"/>
      <c r="PG6" s="478"/>
      <c r="PH6" s="478"/>
      <c r="PI6" s="478"/>
      <c r="PJ6" s="478"/>
      <c r="PK6" s="478"/>
      <c r="PL6" s="478"/>
      <c r="PM6" s="478"/>
      <c r="PN6" s="478"/>
      <c r="PO6" s="478"/>
      <c r="PP6" s="478"/>
      <c r="PQ6" s="494" t="s">
        <v>708</v>
      </c>
      <c r="PR6" s="494"/>
      <c r="PS6" s="494"/>
      <c r="PT6" s="494"/>
      <c r="PU6" s="494"/>
      <c r="PV6" s="494"/>
      <c r="PW6" s="494"/>
      <c r="PX6" s="494"/>
      <c r="PY6" s="65"/>
      <c r="PZ6" s="65"/>
      <c r="QA6" s="65"/>
      <c r="QB6" s="65"/>
      <c r="QC6" s="509" t="s">
        <v>709</v>
      </c>
      <c r="QD6" s="510"/>
      <c r="QE6" s="510"/>
      <c r="QF6" s="510"/>
      <c r="QG6" s="510"/>
      <c r="QH6" s="510"/>
      <c r="QI6" s="510"/>
      <c r="QJ6" s="510"/>
      <c r="QK6" s="510"/>
      <c r="QL6" s="510"/>
      <c r="QM6" s="511"/>
      <c r="QN6" s="65"/>
      <c r="QO6" s="502" t="s">
        <v>710</v>
      </c>
      <c r="QP6" s="502"/>
      <c r="QQ6" s="502"/>
      <c r="QR6" s="65"/>
      <c r="QS6" s="65"/>
      <c r="QT6" s="65"/>
      <c r="QU6" s="65"/>
      <c r="QV6" s="65"/>
      <c r="QW6" s="65"/>
      <c r="QX6" s="65"/>
      <c r="QY6" s="65"/>
      <c r="QZ6" s="65"/>
      <c r="RA6" s="65"/>
      <c r="RB6" s="65"/>
      <c r="RC6" s="65"/>
      <c r="RD6" s="65"/>
      <c r="RE6" s="65"/>
      <c r="RF6" s="65"/>
      <c r="RG6" s="65"/>
      <c r="RH6" s="65"/>
      <c r="RI6" s="499" t="s">
        <v>730</v>
      </c>
      <c r="RJ6" s="500"/>
      <c r="RK6" s="500"/>
      <c r="RL6" s="500"/>
      <c r="RM6" s="500"/>
      <c r="RN6" s="500"/>
      <c r="RO6" s="500"/>
      <c r="RP6" s="500"/>
      <c r="RQ6" s="500"/>
      <c r="RR6" s="500"/>
      <c r="RS6" s="500"/>
      <c r="RT6" s="500"/>
      <c r="RU6" s="500"/>
      <c r="RV6" s="500"/>
      <c r="RW6" s="500"/>
      <c r="RX6" s="500"/>
      <c r="RY6" s="500"/>
      <c r="RZ6" s="500"/>
      <c r="SA6" s="500"/>
      <c r="SB6" s="500"/>
      <c r="SC6" s="500"/>
      <c r="SD6" s="500"/>
      <c r="SE6" s="500"/>
      <c r="SF6" s="500"/>
      <c r="SG6" s="500"/>
      <c r="SH6" s="500"/>
      <c r="SI6" s="500"/>
      <c r="SJ6" s="500"/>
      <c r="SK6" s="500"/>
      <c r="SL6" s="500"/>
      <c r="SM6" s="500"/>
      <c r="SN6" s="500"/>
      <c r="SO6" s="500"/>
      <c r="SP6" s="500"/>
      <c r="SQ6" s="501"/>
      <c r="SR6" s="478" t="s">
        <v>711</v>
      </c>
      <c r="SS6" s="478"/>
      <c r="ST6" s="478"/>
      <c r="SU6" s="478"/>
      <c r="SV6" s="478"/>
      <c r="SW6" s="478"/>
      <c r="SX6" s="65"/>
      <c r="SY6" s="65"/>
      <c r="SZ6" s="502" t="s">
        <v>712</v>
      </c>
      <c r="TA6" s="502"/>
      <c r="TB6" s="502"/>
      <c r="TC6" s="65"/>
      <c r="TD6" s="65"/>
      <c r="TE6" s="503" t="s">
        <v>713</v>
      </c>
      <c r="TF6" s="503"/>
      <c r="TG6" s="503"/>
      <c r="TH6" s="503"/>
      <c r="TI6" s="503"/>
      <c r="TJ6" s="503"/>
      <c r="TK6" s="503"/>
      <c r="TL6" s="503"/>
      <c r="TM6" s="503"/>
      <c r="TN6" s="503"/>
      <c r="TO6" s="503"/>
      <c r="TP6" s="503"/>
      <c r="TQ6" s="503"/>
      <c r="TR6" s="503"/>
      <c r="TS6" s="65"/>
      <c r="TT6" s="65"/>
      <c r="TU6" s="65"/>
      <c r="TV6" s="65"/>
      <c r="TW6" s="65"/>
      <c r="TX6" s="504" t="s">
        <v>720</v>
      </c>
      <c r="TY6" s="505"/>
      <c r="TZ6" s="505"/>
      <c r="UA6" s="505"/>
      <c r="UB6" s="505"/>
      <c r="UC6" s="505"/>
      <c r="UD6" s="505"/>
      <c r="UE6" s="505"/>
      <c r="UF6" s="505"/>
      <c r="UG6" s="505"/>
      <c r="UH6" s="505"/>
      <c r="UI6" s="505"/>
      <c r="UJ6" s="505"/>
      <c r="UK6" s="505"/>
      <c r="UL6" s="505"/>
      <c r="UM6" s="505"/>
      <c r="UN6" s="505"/>
      <c r="UO6" s="505"/>
      <c r="UP6" s="505"/>
      <c r="UQ6" s="505"/>
      <c r="UR6" s="505"/>
      <c r="US6" s="506"/>
      <c r="UT6" s="65"/>
      <c r="UU6" s="495" t="s">
        <v>756</v>
      </c>
      <c r="UV6" s="495"/>
      <c r="UW6" s="495"/>
      <c r="UX6" s="507" t="s">
        <v>714</v>
      </c>
      <c r="UY6" s="507"/>
      <c r="UZ6" s="507"/>
      <c r="VA6" s="65"/>
      <c r="VB6" s="65"/>
      <c r="VC6" s="497" t="s">
        <v>717</v>
      </c>
      <c r="VD6" s="497"/>
      <c r="VE6" s="497"/>
      <c r="VF6" s="497"/>
      <c r="VG6" s="497"/>
      <c r="VH6" s="497"/>
      <c r="VI6" s="497"/>
      <c r="VJ6" s="497"/>
      <c r="VK6" s="497"/>
      <c r="VL6" s="497"/>
      <c r="VM6" s="497"/>
      <c r="VN6" s="497"/>
      <c r="VO6" s="497"/>
      <c r="VP6" s="497"/>
      <c r="VQ6" s="497"/>
      <c r="VR6" s="497"/>
      <c r="VS6" s="497"/>
      <c r="VT6" s="497"/>
      <c r="VU6" s="65"/>
      <c r="VV6" s="65"/>
      <c r="VW6" s="65"/>
      <c r="VX6" s="497" t="s">
        <v>716</v>
      </c>
      <c r="VY6" s="497"/>
      <c r="VZ6" s="497"/>
      <c r="WA6" s="497"/>
      <c r="WB6" s="497"/>
      <c r="WC6" s="497"/>
      <c r="WD6" s="497"/>
      <c r="WE6" s="497"/>
      <c r="WF6" s="497"/>
      <c r="WG6" s="497"/>
      <c r="WH6" s="497"/>
      <c r="WI6" s="497"/>
      <c r="WJ6" s="497"/>
      <c r="WK6" s="497"/>
      <c r="WL6" s="497"/>
      <c r="WM6" s="497"/>
      <c r="WN6" s="497"/>
      <c r="WO6" s="497"/>
      <c r="WP6" s="497"/>
      <c r="WQ6" s="508" t="s">
        <v>796</v>
      </c>
      <c r="WR6" s="508"/>
      <c r="WS6" s="508"/>
      <c r="WT6" s="508"/>
      <c r="WU6" s="508"/>
      <c r="WV6" s="508"/>
      <c r="WW6" s="508"/>
      <c r="WX6" s="508"/>
      <c r="WY6" s="508"/>
      <c r="WZ6" s="508"/>
      <c r="XA6" s="508"/>
      <c r="XB6" s="508"/>
      <c r="XC6" s="508"/>
      <c r="XD6" s="508"/>
      <c r="XE6" s="508"/>
      <c r="XF6" s="508"/>
      <c r="XG6" s="65"/>
      <c r="XH6" s="65"/>
      <c r="XI6" s="65"/>
      <c r="XJ6" s="65"/>
      <c r="XK6" s="65"/>
      <c r="XL6" s="65"/>
      <c r="XM6" s="65"/>
      <c r="XN6" s="65"/>
      <c r="XO6" s="65"/>
      <c r="XP6" s="65"/>
      <c r="XQ6" s="65"/>
      <c r="XR6" s="65"/>
      <c r="XS6" s="65"/>
      <c r="XT6" s="65"/>
      <c r="XU6" s="65"/>
      <c r="XV6" s="65"/>
      <c r="XW6" s="65"/>
      <c r="XX6" s="65"/>
      <c r="XY6" s="65"/>
      <c r="XZ6" s="65"/>
      <c r="YA6" s="65"/>
      <c r="YB6" s="65"/>
      <c r="YC6" s="65"/>
      <c r="YD6" s="65"/>
      <c r="YE6" s="65"/>
      <c r="YF6" s="65"/>
      <c r="YG6" s="65"/>
      <c r="YH6" s="65"/>
      <c r="YI6" s="65"/>
      <c r="YJ6" s="65"/>
      <c r="YK6" s="65"/>
      <c r="YL6" s="65"/>
      <c r="YM6" s="65"/>
      <c r="YN6" s="65"/>
      <c r="YO6" s="65"/>
      <c r="YP6" s="65"/>
      <c r="YQ6" s="65"/>
      <c r="YR6" s="65"/>
      <c r="YS6" s="65"/>
      <c r="YT6" s="65"/>
      <c r="YU6" s="65"/>
      <c r="YV6" s="65"/>
      <c r="YW6" s="65"/>
      <c r="YX6" s="65"/>
      <c r="YY6" s="65"/>
      <c r="YZ6" s="65"/>
      <c r="ZA6" s="65"/>
      <c r="ZB6" s="65"/>
      <c r="ZC6" s="65"/>
      <c r="ZD6" s="65"/>
      <c r="ZE6" s="65"/>
      <c r="ZF6" s="65"/>
      <c r="ZG6" s="65"/>
      <c r="ZH6" s="65"/>
      <c r="ZI6" s="65"/>
      <c r="ZJ6" s="65"/>
      <c r="ZK6" s="65"/>
      <c r="ZL6" s="65"/>
      <c r="ZM6" s="65"/>
      <c r="ZN6" s="65"/>
      <c r="ZO6" s="65"/>
      <c r="ZP6" s="65"/>
      <c r="ZQ6" s="65"/>
      <c r="ZR6" s="65"/>
      <c r="ZS6" s="65"/>
      <c r="ZT6" s="65"/>
      <c r="ZU6" s="65"/>
      <c r="ZV6" s="65"/>
      <c r="ZW6" s="65"/>
      <c r="ZX6" s="65"/>
      <c r="ZY6" s="65"/>
      <c r="ZZ6" s="65"/>
      <c r="AAA6" s="65"/>
      <c r="AAB6" s="65"/>
      <c r="AAC6" s="65"/>
      <c r="AAD6" s="65"/>
      <c r="AAE6" s="65"/>
      <c r="AAF6" s="65"/>
      <c r="AAG6" s="65"/>
      <c r="AAH6" s="65"/>
      <c r="AAI6" s="65"/>
      <c r="AAJ6" s="65"/>
      <c r="AAK6" s="65"/>
      <c r="AAL6" s="65"/>
      <c r="AAM6" s="65"/>
      <c r="AAN6" s="65"/>
      <c r="AAO6" s="65"/>
      <c r="AAP6" s="65"/>
      <c r="AAQ6" s="65"/>
      <c r="AAR6" s="65"/>
      <c r="AAS6" s="65"/>
      <c r="AAT6" s="65"/>
      <c r="AAU6" s="65"/>
      <c r="AAV6" s="65"/>
      <c r="AAW6" s="65"/>
      <c r="AAX6" s="65"/>
      <c r="AAY6" s="65"/>
      <c r="AAZ6" s="65"/>
      <c r="ABA6" s="65"/>
      <c r="ABB6" s="65"/>
      <c r="ABC6" s="65"/>
      <c r="ABD6" s="65"/>
      <c r="ABE6" s="65"/>
      <c r="ABF6" s="65"/>
      <c r="ABG6" s="65"/>
      <c r="ABH6" s="65"/>
      <c r="ABI6" s="65"/>
      <c r="ABJ6" s="65"/>
      <c r="ABK6" s="65"/>
      <c r="ABL6" s="65"/>
      <c r="ABM6" s="65"/>
      <c r="ABN6" s="65"/>
      <c r="ABO6" s="65"/>
      <c r="ABP6" s="65"/>
      <c r="ABQ6" s="65"/>
      <c r="ABR6" s="65"/>
      <c r="ABS6" s="65"/>
      <c r="ABT6" s="65"/>
      <c r="ABU6" s="65"/>
      <c r="ABV6" s="65"/>
      <c r="ABW6" s="65"/>
      <c r="ABX6" s="65"/>
      <c r="ABY6" s="65"/>
      <c r="ABZ6" s="65"/>
      <c r="ACA6" s="65"/>
      <c r="ACB6" s="65"/>
      <c r="ACC6" s="65"/>
      <c r="ACD6" s="65"/>
      <c r="ACE6" s="65"/>
      <c r="ACF6" s="65"/>
      <c r="ACG6" s="65"/>
      <c r="ACH6" s="65"/>
      <c r="ACI6" s="65"/>
      <c r="ACJ6" s="65"/>
      <c r="ACK6" s="65"/>
      <c r="ACL6" s="65"/>
      <c r="ACM6" s="65"/>
      <c r="ACN6" s="65"/>
      <c r="ACO6" s="65"/>
      <c r="ACP6" s="65"/>
      <c r="ACQ6" s="65"/>
      <c r="ACR6" s="65"/>
      <c r="ACS6" s="65"/>
      <c r="ACT6" s="65"/>
      <c r="ACU6" s="65"/>
      <c r="ACV6" s="65"/>
      <c r="ACW6" s="65"/>
      <c r="ACX6" s="65"/>
      <c r="ACY6" s="65"/>
      <c r="ACZ6" s="65"/>
      <c r="ADA6" s="65"/>
      <c r="ADB6" s="65"/>
      <c r="ADC6" s="65"/>
      <c r="ADD6" s="65"/>
      <c r="ADE6" s="65"/>
      <c r="ADF6" s="65"/>
      <c r="ADG6" s="65"/>
      <c r="ADH6" s="65"/>
      <c r="ADI6" s="65"/>
      <c r="ADJ6" s="65"/>
      <c r="ADK6" s="65"/>
      <c r="ADL6" s="65"/>
      <c r="ADM6" s="65"/>
      <c r="ADN6" s="65"/>
      <c r="ADO6" s="65"/>
      <c r="ADP6" s="65"/>
      <c r="ADQ6" s="65"/>
      <c r="ADR6" s="65"/>
      <c r="ADS6" s="65"/>
      <c r="ADT6" s="65"/>
      <c r="ADU6" s="65"/>
      <c r="ADV6" s="65"/>
      <c r="ADW6" s="65"/>
      <c r="ADX6" s="65"/>
      <c r="ADY6" s="65"/>
      <c r="ADZ6" s="65"/>
      <c r="AEA6" s="65"/>
      <c r="AEB6" s="65"/>
      <c r="AEC6" s="65"/>
      <c r="AED6" s="65"/>
      <c r="AEE6" s="65"/>
      <c r="AEF6" s="65"/>
      <c r="AEG6" s="65"/>
      <c r="AEH6" s="65"/>
      <c r="AEI6" s="65"/>
      <c r="AEJ6" s="65"/>
      <c r="AEK6" s="65"/>
      <c r="AEL6" s="65"/>
      <c r="AEM6" s="65"/>
      <c r="AEN6" s="65"/>
      <c r="AEO6" s="65"/>
      <c r="AEP6" s="65"/>
      <c r="AEQ6" s="65"/>
      <c r="AER6" s="65"/>
      <c r="AES6" s="65"/>
      <c r="AET6" s="65"/>
      <c r="AEU6" s="65"/>
      <c r="AEV6" s="65"/>
      <c r="AEW6" s="65"/>
      <c r="AEX6" s="65"/>
      <c r="AEY6" s="65"/>
      <c r="AEZ6" s="65"/>
      <c r="AFA6" s="65"/>
      <c r="AFB6" s="65"/>
      <c r="AFC6" s="65"/>
      <c r="AFD6" s="65"/>
      <c r="AFE6" s="65"/>
      <c r="AFF6" s="65"/>
      <c r="AFG6" s="65"/>
      <c r="AFH6" s="65"/>
      <c r="AFI6" s="65"/>
      <c r="AFJ6" s="65"/>
      <c r="AFK6" s="65"/>
      <c r="AFL6" s="65"/>
      <c r="AFM6" s="65"/>
      <c r="AFN6" s="65"/>
      <c r="AFO6" s="65"/>
      <c r="AFP6" s="65"/>
      <c r="AFQ6" s="65"/>
      <c r="AFR6" s="65"/>
      <c r="AFS6" s="65"/>
      <c r="AFT6" s="65"/>
      <c r="AFU6" s="65"/>
      <c r="AFV6" s="65"/>
      <c r="AFW6" s="65"/>
      <c r="AFX6" s="65"/>
      <c r="AFY6" s="65"/>
      <c r="AFZ6" s="65"/>
      <c r="AGA6" s="65"/>
      <c r="AGB6" s="65"/>
      <c r="AGC6" s="65"/>
      <c r="AGD6" s="65"/>
      <c r="AGE6" s="65"/>
      <c r="AGF6" s="65"/>
      <c r="AGG6" s="65"/>
      <c r="AGH6" s="65"/>
      <c r="AGI6" s="65"/>
      <c r="AGJ6" s="65"/>
      <c r="AGK6" s="65"/>
      <c r="AGL6" s="65"/>
      <c r="AGM6" s="65"/>
      <c r="AGN6" s="65"/>
      <c r="AGO6" s="65"/>
      <c r="AGP6" s="65"/>
      <c r="AGQ6" s="65"/>
      <c r="AGR6" s="65"/>
      <c r="AGS6" s="65"/>
      <c r="AGT6" s="65"/>
      <c r="AGU6" s="65"/>
      <c r="AGV6" s="65"/>
      <c r="AGW6" s="65"/>
      <c r="AGX6" s="65"/>
      <c r="AGY6" s="65"/>
      <c r="AGZ6" s="65"/>
      <c r="AHA6" s="65"/>
      <c r="AHB6" s="65"/>
      <c r="AHC6" s="65"/>
      <c r="AHD6" s="65"/>
      <c r="AHE6" s="65"/>
      <c r="AHF6" s="65"/>
      <c r="AHG6" s="65"/>
      <c r="AHH6" s="65"/>
      <c r="AHI6" s="65"/>
      <c r="AHJ6" s="65"/>
      <c r="AHK6" s="65"/>
      <c r="AHL6" s="65"/>
      <c r="AHM6" s="65"/>
      <c r="AHN6" s="65"/>
      <c r="AHO6" s="65"/>
      <c r="AHP6" s="65"/>
      <c r="AHQ6" s="65"/>
      <c r="AHR6" s="65"/>
      <c r="AHS6" s="65"/>
      <c r="AHT6" s="65"/>
      <c r="AHU6" s="65"/>
      <c r="AHV6" s="65"/>
      <c r="AHW6" s="65"/>
      <c r="AHX6" s="65"/>
      <c r="AHY6" s="65"/>
      <c r="AHZ6" s="65"/>
      <c r="AIA6" s="65"/>
      <c r="AIB6" s="65"/>
      <c r="AIC6" s="65"/>
      <c r="AID6" s="65"/>
      <c r="AIE6" s="65"/>
      <c r="AIF6" s="65"/>
      <c r="AIG6" s="65"/>
      <c r="AIH6" s="65"/>
      <c r="AII6" s="65"/>
      <c r="AIJ6" s="65"/>
      <c r="AIK6" s="65"/>
      <c r="AIL6" s="65"/>
      <c r="AIM6" s="65"/>
      <c r="AIN6" s="65"/>
      <c r="AIO6" s="65"/>
      <c r="AIP6" s="65"/>
      <c r="AIQ6" s="65"/>
      <c r="AIR6" s="65"/>
      <c r="AIS6" s="65"/>
      <c r="AIT6" s="65"/>
      <c r="AIU6" s="65"/>
      <c r="AIV6" s="65"/>
      <c r="AIW6" s="65"/>
      <c r="AIX6" s="65"/>
      <c r="AIY6" s="65"/>
      <c r="AIZ6" s="65"/>
      <c r="AJA6" s="65"/>
      <c r="AJB6" s="65"/>
      <c r="AJC6" s="65"/>
      <c r="AJD6" s="65"/>
      <c r="AJE6" s="65"/>
      <c r="AJF6" s="65"/>
      <c r="AJG6" s="65"/>
      <c r="AJH6" s="65"/>
      <c r="AJI6" s="65"/>
      <c r="AJJ6" s="65"/>
      <c r="AJK6" s="65"/>
      <c r="AJL6" s="65"/>
      <c r="AJM6" s="65"/>
      <c r="AJN6" s="65"/>
      <c r="AJO6" s="65"/>
      <c r="AJP6" s="65"/>
      <c r="AJQ6" s="65"/>
      <c r="AJR6" s="65"/>
      <c r="AJS6" s="65"/>
      <c r="AJT6" s="65"/>
      <c r="AJU6" s="65"/>
      <c r="AJV6" s="65"/>
      <c r="AJW6" s="65"/>
      <c r="AJX6" s="65"/>
      <c r="AJY6" s="65"/>
      <c r="AJZ6" s="65"/>
      <c r="AKA6" s="65"/>
      <c r="AKB6" s="65"/>
      <c r="AKC6" s="65"/>
      <c r="AKD6" s="65"/>
      <c r="AKE6" s="65"/>
      <c r="AKF6" s="65"/>
      <c r="AKG6" s="65"/>
      <c r="AKH6" s="65"/>
      <c r="AKI6" s="65"/>
      <c r="AKJ6" s="65"/>
      <c r="AKK6" s="65"/>
      <c r="AKL6" s="65"/>
      <c r="AKM6" s="65"/>
      <c r="AKN6" s="65"/>
      <c r="AKO6" s="65"/>
      <c r="AKP6" s="65"/>
      <c r="AKQ6" s="65"/>
      <c r="AKR6" s="65"/>
      <c r="AKS6" s="65"/>
      <c r="AKT6" s="65"/>
      <c r="AKU6" s="65"/>
      <c r="AKV6" s="65"/>
      <c r="AKW6" s="65"/>
      <c r="AKX6" s="65"/>
      <c r="AKY6" s="65"/>
      <c r="AKZ6" s="65"/>
      <c r="ALA6" s="65"/>
      <c r="ALB6" s="65"/>
      <c r="ALC6" s="65"/>
      <c r="ALD6" s="65"/>
      <c r="ALE6" s="65"/>
      <c r="ALF6" s="65"/>
      <c r="ALG6" s="65"/>
      <c r="ALH6" s="65"/>
      <c r="ALI6" s="65"/>
      <c r="ALJ6" s="65"/>
      <c r="ALK6" s="65"/>
      <c r="ALL6" s="65"/>
      <c r="ALM6" s="65"/>
      <c r="ALN6" s="65"/>
      <c r="ALO6" s="65"/>
      <c r="ALP6" s="65"/>
      <c r="ALQ6" s="65"/>
      <c r="ALR6" s="65"/>
      <c r="ALS6" s="65"/>
      <c r="ALT6" s="65"/>
      <c r="ALU6" s="65"/>
      <c r="ALV6" s="65"/>
      <c r="ALW6" s="65"/>
      <c r="ALX6" s="65"/>
      <c r="ALY6" s="65"/>
      <c r="ALZ6" s="65"/>
      <c r="AMA6" s="65"/>
      <c r="AMB6" s="65"/>
      <c r="AMC6" s="65"/>
      <c r="AMD6" s="65"/>
      <c r="AME6" s="65"/>
      <c r="AMF6" s="65"/>
      <c r="AMG6" s="65"/>
      <c r="AMH6" s="65"/>
      <c r="AMI6" s="65"/>
      <c r="AMJ6" s="65"/>
      <c r="AMK6" s="65"/>
      <c r="AML6" s="65"/>
      <c r="AMM6" s="65"/>
      <c r="AMN6" s="65"/>
      <c r="AMO6" s="65"/>
      <c r="AMP6" s="65"/>
      <c r="AMQ6" s="65"/>
      <c r="AMR6" s="65"/>
      <c r="AMS6" s="65"/>
      <c r="AMT6" s="65"/>
      <c r="AMU6" s="65"/>
      <c r="AMV6" s="65"/>
      <c r="AMW6" s="65"/>
      <c r="AMX6" s="65"/>
      <c r="AMY6" s="65"/>
      <c r="AMZ6" s="65"/>
      <c r="ANA6" s="65"/>
      <c r="ANB6" s="65"/>
      <c r="ANC6" s="65"/>
      <c r="AND6" s="65"/>
      <c r="ANE6" s="65"/>
      <c r="ANF6" s="65"/>
      <c r="ANG6" s="65"/>
      <c r="ANH6" s="65"/>
      <c r="ANI6" s="65"/>
      <c r="ANJ6" s="65"/>
      <c r="ANK6" s="65"/>
      <c r="ANL6" s="65"/>
      <c r="ANM6" s="65"/>
      <c r="ANN6" s="65"/>
      <c r="ANO6" s="65"/>
      <c r="ANP6" s="65"/>
      <c r="ANQ6" s="65"/>
      <c r="ANR6" s="65"/>
    </row>
    <row r="7" spans="1:1060" ht="88.8" customHeight="1" thickTop="1" thickBot="1">
      <c r="A7" s="206" t="s">
        <v>614</v>
      </c>
      <c r="B7" s="206" t="s">
        <v>761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65"/>
      <c r="JE7" s="65"/>
      <c r="JF7" s="65"/>
      <c r="JG7" s="65"/>
      <c r="JH7" s="65"/>
      <c r="JI7" s="65"/>
      <c r="JJ7" s="65"/>
      <c r="JK7" s="65"/>
      <c r="JL7" s="65"/>
      <c r="JM7" s="65"/>
      <c r="JN7" s="65"/>
      <c r="JO7" s="65"/>
      <c r="JP7" s="65"/>
      <c r="JQ7" s="65"/>
      <c r="JR7" s="65"/>
      <c r="JS7" s="65"/>
      <c r="JT7" s="65"/>
      <c r="JU7" s="65"/>
      <c r="JV7" s="65"/>
      <c r="JW7" s="65"/>
      <c r="JX7" s="65"/>
      <c r="JY7" s="65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65"/>
      <c r="KR7" s="65"/>
      <c r="KS7" s="65"/>
      <c r="KT7" s="65"/>
      <c r="KU7" s="65"/>
      <c r="KV7" s="65"/>
      <c r="KW7" s="65"/>
      <c r="KX7" s="65"/>
      <c r="KY7" s="65"/>
      <c r="KZ7" s="65"/>
      <c r="LA7" s="65"/>
      <c r="LB7" s="65"/>
      <c r="LC7" s="65"/>
      <c r="LD7" s="65"/>
      <c r="LE7" s="65"/>
      <c r="LF7" s="65"/>
      <c r="LG7" s="65"/>
      <c r="LH7" s="65"/>
      <c r="LI7" s="65"/>
      <c r="LJ7" s="65"/>
      <c r="LK7" s="65"/>
      <c r="LL7" s="65"/>
      <c r="LM7" s="65"/>
      <c r="LN7" s="65"/>
      <c r="LO7" s="65"/>
      <c r="LP7" s="65"/>
      <c r="LQ7" s="65"/>
      <c r="LR7" s="65"/>
      <c r="LS7" s="65"/>
      <c r="LT7" s="65"/>
      <c r="LU7" s="65"/>
      <c r="LV7" s="65"/>
      <c r="LW7" s="65"/>
      <c r="LX7" s="65"/>
      <c r="LY7" s="65"/>
      <c r="LZ7" s="65"/>
      <c r="MA7" s="65"/>
      <c r="MB7" s="65"/>
      <c r="MC7" s="65"/>
      <c r="MD7" s="65"/>
      <c r="ME7" s="65"/>
      <c r="MF7" s="65"/>
      <c r="MG7" s="65"/>
      <c r="MH7" s="65"/>
      <c r="MI7" s="65"/>
      <c r="MJ7" s="65"/>
      <c r="MK7" s="65"/>
      <c r="ML7" s="65"/>
      <c r="MM7" s="65"/>
      <c r="MN7" s="65"/>
      <c r="MO7" s="521" t="s">
        <v>608</v>
      </c>
      <c r="MP7" s="521"/>
      <c r="MQ7" s="521"/>
      <c r="MR7" s="521"/>
      <c r="MS7" s="521"/>
      <c r="MT7" s="521"/>
      <c r="MU7" s="521"/>
      <c r="MV7" s="521"/>
      <c r="MW7" s="521"/>
      <c r="MX7" s="521"/>
      <c r="MY7" s="521"/>
      <c r="MZ7" s="521"/>
      <c r="NA7" s="521"/>
      <c r="NB7" s="521"/>
      <c r="NC7" s="521"/>
      <c r="ND7" s="521"/>
      <c r="NE7" s="521"/>
      <c r="NF7" s="521"/>
      <c r="NG7" s="521"/>
      <c r="NH7" s="521"/>
      <c r="NI7" s="521"/>
      <c r="NJ7" s="521"/>
      <c r="NK7" s="521"/>
      <c r="NL7" s="521"/>
      <c r="NM7" s="521"/>
      <c r="NN7" s="521"/>
      <c r="NO7" s="521"/>
      <c r="NP7" s="521"/>
      <c r="NQ7" s="521"/>
      <c r="NR7" s="521"/>
      <c r="NS7" s="521"/>
      <c r="NT7" s="521"/>
      <c r="NU7" s="521"/>
      <c r="NV7" s="521"/>
      <c r="NW7" s="521"/>
      <c r="NX7" s="521"/>
      <c r="NY7" s="521"/>
      <c r="NZ7" s="521"/>
      <c r="OA7" s="521"/>
      <c r="OB7" s="521"/>
      <c r="OC7" s="521"/>
      <c r="OD7" s="65"/>
      <c r="OE7" s="522" t="s">
        <v>752</v>
      </c>
      <c r="OF7" s="522"/>
      <c r="OG7" s="522"/>
      <c r="OH7" s="522"/>
      <c r="OI7" s="522"/>
      <c r="OJ7" s="522"/>
      <c r="OK7" s="522"/>
      <c r="OL7" s="522"/>
      <c r="OM7" s="522"/>
      <c r="ON7" s="522"/>
      <c r="OO7" s="522"/>
      <c r="OP7" s="522"/>
      <c r="OQ7" s="522"/>
      <c r="OR7" s="522"/>
      <c r="OS7" s="522"/>
      <c r="OT7" s="522"/>
      <c r="OU7" s="522"/>
      <c r="OV7" s="522"/>
      <c r="OW7" s="522"/>
      <c r="OX7" s="522"/>
      <c r="OY7" s="522"/>
      <c r="OZ7" s="522"/>
      <c r="PA7" s="522"/>
      <c r="PB7" s="522"/>
      <c r="PC7" s="522"/>
      <c r="PD7" s="522"/>
      <c r="PE7" s="522"/>
      <c r="PF7" s="522"/>
      <c r="PG7" s="522"/>
      <c r="PH7" s="522"/>
      <c r="PI7" s="522"/>
      <c r="PJ7" s="522"/>
      <c r="PK7" s="522"/>
      <c r="PL7" s="522"/>
      <c r="PM7" s="522"/>
      <c r="PN7" s="522"/>
      <c r="PO7" s="522"/>
      <c r="PP7" s="522"/>
      <c r="PQ7" s="522"/>
      <c r="PR7" s="522"/>
      <c r="PS7" s="522"/>
      <c r="PT7" s="522"/>
      <c r="PU7" s="522"/>
      <c r="PV7" s="522"/>
      <c r="PW7" s="522"/>
      <c r="PX7" s="522"/>
      <c r="PY7" s="65"/>
      <c r="PZ7" s="65"/>
      <c r="QA7" s="65"/>
      <c r="QB7" s="65"/>
      <c r="QC7" s="523" t="s">
        <v>707</v>
      </c>
      <c r="QD7" s="523"/>
      <c r="QE7" s="523"/>
      <c r="QF7" s="524" t="s">
        <v>722</v>
      </c>
      <c r="QG7" s="524"/>
      <c r="QH7" s="524"/>
      <c r="QI7" s="524"/>
      <c r="QJ7" s="524"/>
      <c r="QK7" s="524"/>
      <c r="QL7" s="524"/>
      <c r="QM7" s="509" t="s">
        <v>723</v>
      </c>
      <c r="QN7" s="510"/>
      <c r="QO7" s="510"/>
      <c r="QP7" s="510"/>
      <c r="QQ7" s="510"/>
      <c r="QR7" s="510"/>
      <c r="QS7" s="510"/>
      <c r="QT7" s="510"/>
      <c r="QU7" s="510"/>
      <c r="QV7" s="510"/>
      <c r="QW7" s="510"/>
      <c r="QX7" s="511"/>
      <c r="QY7" s="507" t="s">
        <v>606</v>
      </c>
      <c r="QZ7" s="507"/>
      <c r="RA7" s="507"/>
      <c r="RB7" s="507"/>
      <c r="RC7" s="507"/>
      <c r="RD7" s="507"/>
      <c r="RE7" s="507"/>
      <c r="RF7" s="507" t="s">
        <v>742</v>
      </c>
      <c r="RG7" s="507"/>
      <c r="RH7" s="525" t="s">
        <v>784</v>
      </c>
      <c r="RI7" s="525"/>
      <c r="RJ7" s="525"/>
      <c r="RK7" s="525"/>
      <c r="RL7" s="525"/>
      <c r="RM7" s="65"/>
      <c r="RN7" s="65"/>
      <c r="RO7" s="526" t="s">
        <v>725</v>
      </c>
      <c r="RP7" s="526"/>
      <c r="RQ7" s="526"/>
      <c r="RR7" s="526"/>
      <c r="RS7" s="526"/>
      <c r="RT7" s="526"/>
      <c r="RU7" s="526"/>
      <c r="RV7" s="526"/>
      <c r="RW7" s="526"/>
      <c r="RX7" s="526"/>
      <c r="RY7" s="526"/>
      <c r="RZ7" s="526"/>
      <c r="SA7" s="495" t="s">
        <v>785</v>
      </c>
      <c r="SB7" s="495"/>
      <c r="SC7" s="495"/>
      <c r="SD7" s="495"/>
      <c r="SE7" s="495"/>
      <c r="SF7" s="495"/>
      <c r="SG7" s="495"/>
      <c r="SH7" s="495"/>
      <c r="SI7" s="495"/>
      <c r="SJ7" s="495"/>
      <c r="SK7" s="495"/>
      <c r="SL7" s="495"/>
      <c r="SM7" s="495"/>
      <c r="SN7" s="495"/>
      <c r="SO7" s="495"/>
      <c r="SP7" s="495"/>
      <c r="SQ7" s="495"/>
      <c r="SR7" s="495"/>
      <c r="SS7" s="495"/>
      <c r="ST7" s="495"/>
      <c r="SU7" s="495"/>
      <c r="SV7" s="495"/>
      <c r="SW7" s="495"/>
      <c r="SX7" s="495"/>
      <c r="SY7" s="65"/>
      <c r="SZ7" s="65"/>
      <c r="TA7" s="509" t="s">
        <v>724</v>
      </c>
      <c r="TB7" s="510"/>
      <c r="TC7" s="510"/>
      <c r="TD7" s="510"/>
      <c r="TE7" s="510"/>
      <c r="TF7" s="510"/>
      <c r="TG7" s="510"/>
      <c r="TH7" s="510"/>
      <c r="TI7" s="510"/>
      <c r="TJ7" s="510"/>
      <c r="TK7" s="510"/>
      <c r="TL7" s="510"/>
      <c r="TM7" s="510"/>
      <c r="TN7" s="510"/>
      <c r="TO7" s="510"/>
      <c r="TP7" s="511"/>
      <c r="TQ7" s="478" t="s">
        <v>736</v>
      </c>
      <c r="TR7" s="478"/>
      <c r="TS7" s="478"/>
      <c r="TT7" s="478"/>
      <c r="TU7" s="478"/>
      <c r="TV7" s="478"/>
      <c r="TW7" s="478"/>
      <c r="TX7" s="504" t="s">
        <v>727</v>
      </c>
      <c r="TY7" s="505"/>
      <c r="TZ7" s="505"/>
      <c r="UA7" s="505"/>
      <c r="UB7" s="505"/>
      <c r="UC7" s="505"/>
      <c r="UD7" s="506"/>
      <c r="UE7" s="504" t="s">
        <v>744</v>
      </c>
      <c r="UF7" s="505"/>
      <c r="UG7" s="505"/>
      <c r="UH7" s="505"/>
      <c r="UI7" s="505"/>
      <c r="UJ7" s="505"/>
      <c r="UK7" s="505"/>
      <c r="UL7" s="505"/>
      <c r="UM7" s="505"/>
      <c r="UN7" s="506"/>
      <c r="UO7" s="65"/>
      <c r="UP7" s="65"/>
      <c r="UQ7" s="65"/>
      <c r="UR7" s="504" t="s">
        <v>728</v>
      </c>
      <c r="US7" s="505"/>
      <c r="UT7" s="505"/>
      <c r="UU7" s="505"/>
      <c r="UV7" s="505"/>
      <c r="UW7" s="505"/>
      <c r="UX7" s="505"/>
      <c r="UY7" s="505"/>
      <c r="UZ7" s="505"/>
      <c r="VA7" s="505"/>
      <c r="VB7" s="505"/>
      <c r="VC7" s="505"/>
      <c r="VD7" s="505"/>
      <c r="VE7" s="505"/>
      <c r="VF7" s="505"/>
      <c r="VG7" s="505"/>
      <c r="VH7" s="505"/>
      <c r="VI7" s="505"/>
      <c r="VJ7" s="505"/>
      <c r="VK7" s="505"/>
      <c r="VL7" s="505"/>
      <c r="VM7" s="505"/>
      <c r="VN7" s="505"/>
      <c r="VO7" s="505"/>
      <c r="VP7" s="505"/>
      <c r="VQ7" s="65"/>
      <c r="VR7" s="65"/>
      <c r="VS7" s="507" t="s">
        <v>729</v>
      </c>
      <c r="VT7" s="507"/>
      <c r="VU7" s="507"/>
      <c r="VV7" s="507"/>
      <c r="VW7" s="507"/>
      <c r="VX7" s="507"/>
      <c r="VY7" s="507"/>
      <c r="VZ7" s="507"/>
      <c r="WA7" s="507"/>
      <c r="WB7" s="507"/>
      <c r="WC7" s="527" t="s">
        <v>645</v>
      </c>
      <c r="WD7" s="527"/>
      <c r="WE7" s="527"/>
      <c r="WF7" s="527"/>
      <c r="WG7" s="527"/>
      <c r="WH7" s="528" t="s">
        <v>787</v>
      </c>
      <c r="WI7" s="528"/>
      <c r="WJ7" s="528"/>
      <c r="WK7" s="528"/>
      <c r="WL7" s="528"/>
      <c r="WM7" s="528"/>
      <c r="WN7" s="528"/>
      <c r="WO7" s="528"/>
      <c r="WP7" s="528"/>
      <c r="WQ7" s="528"/>
      <c r="WR7" s="528"/>
      <c r="WS7" s="528"/>
      <c r="WT7" s="528"/>
      <c r="WU7" s="528"/>
      <c r="WV7" s="476" t="s">
        <v>640</v>
      </c>
      <c r="WW7" s="476"/>
      <c r="WX7" s="476"/>
      <c r="WY7" s="476"/>
      <c r="WZ7" s="476"/>
      <c r="XA7" s="476"/>
      <c r="XB7" s="476"/>
      <c r="XC7" s="476"/>
      <c r="XD7" s="476"/>
      <c r="XE7" s="476"/>
      <c r="XF7" s="476"/>
      <c r="XG7" s="476"/>
      <c r="XH7" s="476"/>
      <c r="XI7" s="476"/>
      <c r="XJ7" s="476"/>
      <c r="XK7" s="476"/>
      <c r="XL7" s="476"/>
      <c r="XM7" s="476"/>
      <c r="XN7" s="476"/>
      <c r="XO7" s="476"/>
      <c r="XP7" s="476"/>
      <c r="XQ7" s="476"/>
      <c r="XR7" s="476"/>
      <c r="XS7" s="476"/>
      <c r="XT7" s="476"/>
      <c r="XU7" s="476"/>
      <c r="XV7" s="476"/>
      <c r="XW7" s="476"/>
      <c r="XX7" s="476"/>
      <c r="XY7" s="476"/>
      <c r="XZ7" s="476"/>
      <c r="YA7" s="476"/>
      <c r="YB7" s="476"/>
      <c r="YC7" s="476"/>
      <c r="YD7" s="476"/>
      <c r="YE7" s="476"/>
      <c r="YF7" s="476"/>
      <c r="YG7" s="476"/>
      <c r="YH7" s="476"/>
      <c r="YI7" s="476"/>
      <c r="YJ7" s="476"/>
      <c r="YK7" s="476"/>
      <c r="YL7" s="476"/>
      <c r="YM7" s="476"/>
      <c r="YN7" s="476"/>
      <c r="YO7" s="476"/>
      <c r="YP7" s="476"/>
      <c r="YQ7" s="476"/>
      <c r="YR7" s="476"/>
      <c r="YS7" s="476"/>
      <c r="YT7" s="476"/>
      <c r="YU7" s="476"/>
      <c r="YV7" s="476"/>
      <c r="YW7" s="476"/>
      <c r="YX7" s="476"/>
      <c r="YY7" s="476"/>
      <c r="YZ7" s="476"/>
      <c r="ZA7" s="476"/>
      <c r="ZB7" s="476"/>
      <c r="ZC7" s="476"/>
      <c r="ZD7" s="476"/>
      <c r="ZE7" s="476"/>
      <c r="ZF7" s="476"/>
      <c r="ZG7" s="495" t="s">
        <v>788</v>
      </c>
      <c r="ZH7" s="495"/>
      <c r="ZI7" s="495"/>
      <c r="ZJ7" s="495"/>
      <c r="ZK7" s="495"/>
      <c r="ZL7" s="495"/>
      <c r="ZM7" s="495"/>
      <c r="ZN7" s="495"/>
      <c r="ZO7" s="495"/>
      <c r="ZP7" s="495"/>
      <c r="ZQ7" s="495"/>
      <c r="ZR7" s="495"/>
      <c r="ZS7" s="495"/>
      <c r="ZT7" s="495"/>
      <c r="ZU7" s="495"/>
      <c r="ZV7" s="495"/>
      <c r="ZW7" s="65"/>
      <c r="ZX7" s="496" t="s">
        <v>719</v>
      </c>
      <c r="ZY7" s="496"/>
      <c r="ZZ7" s="496"/>
      <c r="AAA7" s="496"/>
      <c r="AAB7" s="204" t="s">
        <v>734</v>
      </c>
      <c r="AAC7" s="497" t="s">
        <v>726</v>
      </c>
      <c r="AAD7" s="497"/>
      <c r="AAE7" s="497"/>
      <c r="AAF7" s="497"/>
      <c r="AAG7" s="497"/>
      <c r="AAH7" s="497"/>
      <c r="AAI7" s="497"/>
      <c r="AAJ7" s="497"/>
      <c r="AAK7" s="497"/>
      <c r="AAL7" s="498" t="s">
        <v>791</v>
      </c>
      <c r="AAM7" s="498"/>
      <c r="AAN7" s="498"/>
      <c r="AAO7" s="498"/>
      <c r="AAP7" s="498"/>
      <c r="AAQ7" s="498"/>
      <c r="AAR7" s="498"/>
      <c r="AAS7" s="476" t="s">
        <v>747</v>
      </c>
      <c r="AAT7" s="476"/>
      <c r="AAU7" s="476"/>
      <c r="AAV7" s="476"/>
      <c r="AAW7" s="476"/>
      <c r="AAX7" s="476"/>
      <c r="AAY7" s="476"/>
      <c r="AAZ7" s="65"/>
      <c r="ABA7" s="65"/>
      <c r="ABB7" s="65"/>
      <c r="ABC7" s="65"/>
      <c r="ABD7" s="65"/>
      <c r="ABE7" s="65"/>
      <c r="ABF7" s="65"/>
      <c r="ABG7" s="65"/>
      <c r="ABH7" s="65"/>
      <c r="ABI7" s="65"/>
      <c r="ABJ7" s="65"/>
      <c r="ABK7" s="65"/>
      <c r="ABL7" s="65"/>
      <c r="ABM7" s="65"/>
      <c r="ABN7" s="65"/>
      <c r="ABO7" s="65"/>
      <c r="ABP7" s="65"/>
      <c r="ABQ7" s="65"/>
      <c r="ABR7" s="65"/>
      <c r="ABS7" s="65"/>
      <c r="ABT7" s="65"/>
      <c r="ABU7" s="65"/>
      <c r="ABV7" s="65"/>
      <c r="ABW7" s="65"/>
      <c r="ABX7" s="65"/>
      <c r="ABY7" s="65"/>
      <c r="ABZ7" s="65"/>
      <c r="ACA7" s="65"/>
      <c r="ACB7" s="65"/>
      <c r="ACC7" s="65"/>
      <c r="ACD7" s="65"/>
      <c r="ACE7" s="65"/>
      <c r="ACF7" s="65"/>
      <c r="ACG7" s="65"/>
      <c r="ACH7" s="65"/>
      <c r="ACI7" s="65"/>
      <c r="ACJ7" s="65"/>
      <c r="ACK7" s="65"/>
      <c r="ACL7" s="65"/>
      <c r="ACM7" s="65"/>
      <c r="ACN7" s="65"/>
      <c r="ACO7" s="65"/>
      <c r="ACP7" s="65"/>
      <c r="ACQ7" s="65"/>
      <c r="ACR7" s="65"/>
      <c r="ACS7" s="65"/>
      <c r="ACT7" s="65"/>
      <c r="ACU7" s="65"/>
      <c r="ACV7" s="65"/>
      <c r="ACW7" s="65"/>
      <c r="ACX7" s="65"/>
      <c r="ACY7" s="65"/>
      <c r="ACZ7" s="65"/>
      <c r="ADA7" s="65"/>
      <c r="ADB7" s="65"/>
      <c r="ADC7" s="65"/>
      <c r="ADD7" s="65"/>
      <c r="ADE7" s="65"/>
      <c r="ADF7" s="65"/>
      <c r="ADG7" s="65"/>
      <c r="ADH7" s="65"/>
      <c r="ADI7" s="65"/>
      <c r="ADJ7" s="65"/>
      <c r="ADK7" s="65"/>
      <c r="ADL7" s="65"/>
      <c r="ADM7" s="65"/>
      <c r="ADN7" s="65"/>
      <c r="ADO7" s="65"/>
      <c r="ADP7" s="65"/>
      <c r="ADQ7" s="65"/>
      <c r="ADR7" s="65"/>
      <c r="ADS7" s="65"/>
      <c r="ADT7" s="65"/>
      <c r="ADU7" s="65"/>
      <c r="ADV7" s="65"/>
      <c r="ADW7" s="65"/>
      <c r="ADX7" s="65"/>
      <c r="ADY7" s="65"/>
      <c r="ADZ7" s="65"/>
      <c r="AEA7" s="65"/>
      <c r="AEB7" s="65"/>
      <c r="AEC7" s="65"/>
      <c r="AED7" s="65"/>
      <c r="AEE7" s="65"/>
      <c r="AEF7" s="65"/>
      <c r="AEG7" s="65"/>
      <c r="AEH7" s="65"/>
      <c r="AEI7" s="65"/>
      <c r="AEJ7" s="65"/>
      <c r="AEK7" s="65"/>
      <c r="AEL7" s="65"/>
      <c r="AEM7" s="65"/>
      <c r="AEN7" s="65"/>
      <c r="AEO7" s="65"/>
      <c r="AEP7" s="65"/>
      <c r="AEQ7" s="65"/>
      <c r="AER7" s="65"/>
      <c r="AES7" s="65"/>
      <c r="AET7" s="65"/>
      <c r="AEU7" s="65"/>
      <c r="AEV7" s="65"/>
      <c r="AEW7" s="65"/>
      <c r="AEX7" s="65"/>
      <c r="AEY7" s="65"/>
      <c r="AEZ7" s="65"/>
      <c r="AFA7" s="65"/>
      <c r="AFB7" s="65"/>
      <c r="AFC7" s="65"/>
      <c r="AFD7" s="65"/>
      <c r="AFE7" s="65"/>
      <c r="AFF7" s="65"/>
      <c r="AFG7" s="65"/>
      <c r="AFH7" s="65"/>
      <c r="AFI7" s="65"/>
      <c r="AFJ7" s="65"/>
      <c r="AFK7" s="65"/>
      <c r="AFL7" s="65"/>
      <c r="AFM7" s="65"/>
      <c r="AFN7" s="65"/>
      <c r="AFO7" s="65"/>
      <c r="AFP7" s="65"/>
      <c r="AFQ7" s="65"/>
      <c r="AFR7" s="65"/>
      <c r="AFS7" s="65"/>
      <c r="AFT7" s="65"/>
      <c r="AFU7" s="65"/>
      <c r="AFV7" s="65"/>
      <c r="AFW7" s="65"/>
      <c r="AFX7" s="65"/>
      <c r="AFY7" s="65"/>
      <c r="AFZ7" s="65"/>
      <c r="AGA7" s="65"/>
      <c r="AGB7" s="65"/>
      <c r="AGC7" s="65"/>
      <c r="AGD7" s="65"/>
      <c r="AGE7" s="65"/>
      <c r="AGF7" s="65"/>
      <c r="AGG7" s="65"/>
      <c r="AGH7" s="65"/>
      <c r="AGI7" s="65"/>
      <c r="AGJ7" s="65"/>
      <c r="AGK7" s="65"/>
      <c r="AGL7" s="65"/>
      <c r="AGM7" s="65"/>
      <c r="AGN7" s="65"/>
      <c r="AGO7" s="65"/>
      <c r="AGP7" s="65"/>
      <c r="AGQ7" s="65"/>
      <c r="AGR7" s="65"/>
      <c r="AGS7" s="65"/>
      <c r="AGT7" s="65"/>
      <c r="AGU7" s="65"/>
      <c r="AGV7" s="65"/>
      <c r="AGW7" s="65"/>
      <c r="AGX7" s="65"/>
      <c r="AGY7" s="65"/>
      <c r="AGZ7" s="65"/>
      <c r="AHA7" s="65"/>
      <c r="AHB7" s="65"/>
      <c r="AHC7" s="65"/>
      <c r="AHD7" s="65"/>
      <c r="AHE7" s="65"/>
      <c r="AHF7" s="65"/>
      <c r="AHG7" s="65"/>
      <c r="AHH7" s="65"/>
      <c r="AHI7" s="65"/>
      <c r="AHJ7" s="65"/>
      <c r="AHK7" s="65"/>
      <c r="AHL7" s="65"/>
      <c r="AHM7" s="65"/>
      <c r="AHN7" s="65"/>
      <c r="AHO7" s="65"/>
      <c r="AHP7" s="65"/>
      <c r="AHQ7" s="65"/>
      <c r="AHR7" s="65"/>
      <c r="AHS7" s="65"/>
      <c r="AHT7" s="65"/>
      <c r="AHU7" s="65"/>
      <c r="AHV7" s="65"/>
      <c r="AHW7" s="65"/>
      <c r="AHX7" s="65"/>
      <c r="AHY7" s="65"/>
      <c r="AHZ7" s="65"/>
      <c r="AIA7" s="65"/>
      <c r="AIB7" s="65"/>
      <c r="AIC7" s="65"/>
      <c r="AID7" s="65"/>
      <c r="AIE7" s="65"/>
      <c r="AIF7" s="65"/>
      <c r="AIG7" s="65"/>
      <c r="AIH7" s="65"/>
      <c r="AII7" s="65"/>
      <c r="AIJ7" s="65"/>
      <c r="AIK7" s="65"/>
      <c r="AIL7" s="65"/>
      <c r="AIM7" s="65"/>
      <c r="AIN7" s="65"/>
      <c r="AIO7" s="65"/>
      <c r="AIP7" s="65"/>
      <c r="AIQ7" s="65"/>
      <c r="AIR7" s="65"/>
      <c r="AIS7" s="65"/>
      <c r="AIT7" s="65"/>
      <c r="AIU7" s="65"/>
      <c r="AIV7" s="65"/>
      <c r="AIW7" s="65"/>
      <c r="AIX7" s="65"/>
      <c r="AIY7" s="65"/>
      <c r="AIZ7" s="65"/>
      <c r="AJA7" s="65"/>
      <c r="AJB7" s="65"/>
      <c r="AJC7" s="65"/>
      <c r="AJD7" s="65"/>
      <c r="AJE7" s="65"/>
      <c r="AJF7" s="65"/>
      <c r="AJG7" s="65"/>
      <c r="AJH7" s="65"/>
      <c r="AJI7" s="65"/>
      <c r="AJJ7" s="65"/>
      <c r="AJK7" s="65"/>
      <c r="AJL7" s="65"/>
      <c r="AJM7" s="65"/>
      <c r="AJN7" s="65"/>
      <c r="AJO7" s="65"/>
      <c r="AJP7" s="65"/>
      <c r="AJQ7" s="65"/>
      <c r="AJR7" s="65"/>
      <c r="AJS7" s="65"/>
      <c r="AJT7" s="65"/>
      <c r="AJU7" s="65"/>
      <c r="AJV7" s="65"/>
      <c r="AJW7" s="65"/>
      <c r="AJX7" s="65"/>
      <c r="AJY7" s="65"/>
      <c r="AJZ7" s="65"/>
      <c r="AKA7" s="65"/>
      <c r="AKB7" s="65"/>
      <c r="AKC7" s="65"/>
      <c r="AKD7" s="65"/>
      <c r="AKE7" s="65"/>
      <c r="AKF7" s="65"/>
      <c r="AKG7" s="65"/>
      <c r="AKH7" s="65"/>
      <c r="AKI7" s="65"/>
      <c r="AKJ7" s="65"/>
      <c r="AKK7" s="65"/>
      <c r="AKL7" s="65"/>
      <c r="AKM7" s="65"/>
      <c r="AKN7" s="65"/>
      <c r="AKO7" s="65"/>
      <c r="AKP7" s="65"/>
      <c r="AKQ7" s="65"/>
      <c r="AKR7" s="65"/>
      <c r="AKS7" s="65"/>
      <c r="AKT7" s="65"/>
      <c r="AKU7" s="65"/>
      <c r="AKV7" s="65"/>
      <c r="AKW7" s="65"/>
      <c r="AKX7" s="65"/>
      <c r="AKY7" s="65"/>
      <c r="AKZ7" s="65"/>
      <c r="ALA7" s="65"/>
      <c r="ALB7" s="65"/>
      <c r="ALC7" s="65"/>
      <c r="ALD7" s="65"/>
      <c r="ALE7" s="65"/>
      <c r="ALF7" s="65"/>
      <c r="ALG7" s="65"/>
      <c r="ALH7" s="65"/>
      <c r="ALI7" s="65"/>
      <c r="ALJ7" s="65"/>
      <c r="ALK7" s="65"/>
      <c r="ALL7" s="65"/>
      <c r="ALM7" s="65"/>
      <c r="ALN7" s="65"/>
      <c r="ALO7" s="65"/>
      <c r="ALP7" s="65"/>
      <c r="ALQ7" s="65"/>
      <c r="ALR7" s="65"/>
      <c r="ALS7" s="65"/>
      <c r="ALT7" s="65"/>
      <c r="ALU7" s="65"/>
      <c r="ALV7" s="65"/>
      <c r="ALW7" s="65"/>
      <c r="ALX7" s="65"/>
      <c r="ALY7" s="65"/>
      <c r="ALZ7" s="65"/>
      <c r="AMA7" s="65"/>
      <c r="AMB7" s="65"/>
      <c r="AMC7" s="65"/>
      <c r="AMD7" s="65"/>
      <c r="AME7" s="65"/>
      <c r="AMF7" s="65"/>
      <c r="AMG7" s="65"/>
      <c r="AMH7" s="65"/>
      <c r="AMI7" s="65"/>
      <c r="AMJ7" s="65"/>
      <c r="AMK7" s="65"/>
      <c r="AML7" s="65"/>
      <c r="AMM7" s="65"/>
      <c r="AMN7" s="65"/>
      <c r="AMO7" s="65"/>
      <c r="AMP7" s="65"/>
      <c r="AMQ7" s="65"/>
      <c r="AMR7" s="65"/>
      <c r="AMS7" s="65"/>
      <c r="AMT7" s="65"/>
      <c r="AMU7" s="65"/>
      <c r="AMV7" s="65"/>
      <c r="AMW7" s="65"/>
      <c r="AMX7" s="65"/>
      <c r="AMY7" s="65"/>
      <c r="AMZ7" s="65"/>
      <c r="ANA7" s="65"/>
      <c r="ANB7" s="65"/>
      <c r="ANC7" s="65"/>
      <c r="AND7" s="65"/>
      <c r="ANE7" s="65"/>
      <c r="ANF7" s="65"/>
      <c r="ANG7" s="65"/>
      <c r="ANH7" s="65"/>
      <c r="ANI7" s="65"/>
      <c r="ANJ7" s="65"/>
      <c r="ANK7" s="65"/>
      <c r="ANL7" s="65"/>
      <c r="ANM7" s="65"/>
      <c r="ANN7" s="65"/>
      <c r="ANO7" s="65"/>
      <c r="ANP7" s="65"/>
      <c r="ANQ7" s="65"/>
      <c r="ANR7" s="65"/>
    </row>
    <row r="8" spans="1:1060" ht="88.8" customHeight="1" thickTop="1" thickBot="1">
      <c r="A8" s="206" t="s">
        <v>614</v>
      </c>
      <c r="B8" s="206" t="s">
        <v>792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  <c r="JM8" s="65"/>
      <c r="JN8" s="65"/>
      <c r="JO8" s="65"/>
      <c r="JP8" s="65"/>
      <c r="JQ8" s="65"/>
      <c r="JR8" s="65"/>
      <c r="JS8" s="65"/>
      <c r="JT8" s="65"/>
      <c r="JU8" s="65"/>
      <c r="JV8" s="65"/>
      <c r="JW8" s="65"/>
      <c r="JX8" s="65"/>
      <c r="JY8" s="65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5"/>
      <c r="KM8" s="65"/>
      <c r="KN8" s="65"/>
      <c r="KO8" s="65"/>
      <c r="KP8" s="65"/>
      <c r="KQ8" s="65"/>
      <c r="KR8" s="65"/>
      <c r="KS8" s="65"/>
      <c r="KT8" s="65"/>
      <c r="KU8" s="65"/>
      <c r="KV8" s="65"/>
      <c r="KW8" s="65"/>
      <c r="KX8" s="65"/>
      <c r="KY8" s="65"/>
      <c r="KZ8" s="65"/>
      <c r="LA8" s="65"/>
      <c r="LB8" s="65"/>
      <c r="LC8" s="65"/>
      <c r="LD8" s="65"/>
      <c r="LE8" s="65"/>
      <c r="LF8" s="65"/>
      <c r="LG8" s="65"/>
      <c r="LH8" s="65"/>
      <c r="LI8" s="65"/>
      <c r="LJ8" s="65"/>
      <c r="LK8" s="65"/>
      <c r="LL8" s="65"/>
      <c r="LM8" s="65"/>
      <c r="LN8" s="65"/>
      <c r="LO8" s="65"/>
      <c r="LP8" s="65"/>
      <c r="LQ8" s="65"/>
      <c r="LR8" s="65"/>
      <c r="LS8" s="65"/>
      <c r="LT8" s="65"/>
      <c r="LU8" s="65"/>
      <c r="LV8" s="65"/>
      <c r="LW8" s="65"/>
      <c r="LX8" s="65"/>
      <c r="LY8" s="65"/>
      <c r="LZ8" s="65"/>
      <c r="MA8" s="65"/>
      <c r="MB8" s="65"/>
      <c r="MC8" s="65"/>
      <c r="MD8" s="65"/>
      <c r="ME8" s="65"/>
      <c r="MF8" s="65"/>
      <c r="MG8" s="65"/>
      <c r="MH8" s="65"/>
      <c r="MI8" s="65"/>
      <c r="MJ8" s="65"/>
      <c r="MK8" s="65"/>
      <c r="ML8" s="65"/>
      <c r="MM8" s="65"/>
      <c r="MN8" s="65"/>
      <c r="MO8" s="513" t="s">
        <v>608</v>
      </c>
      <c r="MP8" s="513"/>
      <c r="MQ8" s="513"/>
      <c r="MR8" s="513"/>
      <c r="MS8" s="513"/>
      <c r="MT8" s="513"/>
      <c r="MU8" s="513"/>
      <c r="MV8" s="513"/>
      <c r="MW8" s="513"/>
      <c r="MX8" s="513"/>
      <c r="MY8" s="513"/>
      <c r="MZ8" s="513"/>
      <c r="NA8" s="513"/>
      <c r="NB8" s="513"/>
      <c r="NC8" s="513"/>
      <c r="ND8" s="513"/>
      <c r="NE8" s="513"/>
      <c r="NF8" s="513"/>
      <c r="NG8" s="513"/>
      <c r="NH8" s="513"/>
      <c r="NI8" s="513"/>
      <c r="NJ8" s="513"/>
      <c r="NK8" s="513"/>
      <c r="NL8" s="513"/>
      <c r="NM8" s="513"/>
      <c r="NN8" s="513"/>
      <c r="NO8" s="513"/>
      <c r="NP8" s="513"/>
      <c r="NQ8" s="513"/>
      <c r="NR8" s="513"/>
      <c r="NS8" s="513"/>
      <c r="NT8" s="513"/>
      <c r="NU8" s="513"/>
      <c r="NV8" s="513"/>
      <c r="NW8" s="513"/>
      <c r="NX8" s="513"/>
      <c r="NY8" s="513"/>
      <c r="NZ8" s="513"/>
      <c r="OA8" s="513"/>
      <c r="OB8" s="513"/>
      <c r="OC8" s="513"/>
      <c r="OD8" s="65"/>
      <c r="OE8" s="65"/>
      <c r="OF8" s="65"/>
      <c r="OG8" s="522" t="s">
        <v>752</v>
      </c>
      <c r="OH8" s="522"/>
      <c r="OI8" s="522"/>
      <c r="OJ8" s="522"/>
      <c r="OK8" s="522"/>
      <c r="OL8" s="522"/>
      <c r="OM8" s="522"/>
      <c r="ON8" s="522"/>
      <c r="OO8" s="522"/>
      <c r="OP8" s="522"/>
      <c r="OQ8" s="522"/>
      <c r="OR8" s="522"/>
      <c r="OS8" s="522"/>
      <c r="OT8" s="522"/>
      <c r="OU8" s="522"/>
      <c r="OV8" s="522"/>
      <c r="OW8" s="522"/>
      <c r="OX8" s="522"/>
      <c r="OY8" s="522"/>
      <c r="OZ8" s="522"/>
      <c r="PA8" s="522"/>
      <c r="PB8" s="522"/>
      <c r="PC8" s="522"/>
      <c r="PD8" s="522"/>
      <c r="PE8" s="522"/>
      <c r="PF8" s="522"/>
      <c r="PG8" s="522"/>
      <c r="PH8" s="522"/>
      <c r="PI8" s="522"/>
      <c r="PJ8" s="522"/>
      <c r="PK8" s="522"/>
      <c r="PL8" s="522"/>
      <c r="PM8" s="522"/>
      <c r="PN8" s="522"/>
      <c r="PO8" s="522"/>
      <c r="PP8" s="522"/>
      <c r="PQ8" s="522"/>
      <c r="PR8" s="522"/>
      <c r="PS8" s="522"/>
      <c r="PT8" s="522"/>
      <c r="PU8" s="522"/>
      <c r="PV8" s="522"/>
      <c r="PW8" s="522"/>
      <c r="PX8" s="522"/>
      <c r="PY8" s="522"/>
      <c r="PZ8" s="522"/>
      <c r="QA8" s="65"/>
      <c r="QB8" s="65"/>
      <c r="QC8" s="65"/>
      <c r="QD8" s="65"/>
      <c r="QE8" s="65"/>
      <c r="QF8" s="523" t="s">
        <v>707</v>
      </c>
      <c r="QG8" s="523"/>
      <c r="QH8" s="523"/>
      <c r="QI8" s="523"/>
      <c r="QJ8" s="523"/>
      <c r="QK8" s="476" t="s">
        <v>739</v>
      </c>
      <c r="QL8" s="476"/>
      <c r="QM8" s="476"/>
      <c r="QN8" s="476"/>
      <c r="QO8" s="476"/>
      <c r="QP8" s="476"/>
      <c r="QQ8" s="476"/>
      <c r="QR8" s="476"/>
      <c r="QS8" s="524" t="s">
        <v>722</v>
      </c>
      <c r="QT8" s="524"/>
      <c r="QU8" s="524"/>
      <c r="QV8" s="524"/>
      <c r="QW8" s="524"/>
      <c r="QX8" s="524"/>
      <c r="QY8" s="524"/>
      <c r="QZ8" s="476" t="s">
        <v>723</v>
      </c>
      <c r="RA8" s="476"/>
      <c r="RB8" s="476"/>
      <c r="RC8" s="476"/>
      <c r="RD8" s="476"/>
      <c r="RE8" s="476"/>
      <c r="RF8" s="476"/>
      <c r="RG8" s="476"/>
      <c r="RH8" s="476"/>
      <c r="RI8" s="65"/>
      <c r="RJ8" s="65"/>
      <c r="RK8" s="507" t="s">
        <v>606</v>
      </c>
      <c r="RL8" s="507"/>
      <c r="RM8" s="507"/>
      <c r="RN8" s="507"/>
      <c r="RO8" s="507"/>
      <c r="RP8" s="65"/>
      <c r="RQ8" s="65"/>
      <c r="RR8" s="65"/>
      <c r="RS8" s="65"/>
      <c r="RT8" s="526" t="s">
        <v>725</v>
      </c>
      <c r="RU8" s="526"/>
      <c r="RV8" s="526"/>
      <c r="RW8" s="526"/>
      <c r="RX8" s="526"/>
      <c r="RY8" s="526"/>
      <c r="RZ8" s="526"/>
      <c r="SA8" s="526"/>
      <c r="SB8" s="526"/>
      <c r="SC8" s="65"/>
      <c r="SD8" s="65"/>
      <c r="SE8" s="65"/>
      <c r="SF8" s="65"/>
      <c r="SG8" s="495" t="s">
        <v>785</v>
      </c>
      <c r="SH8" s="495"/>
      <c r="SI8" s="495"/>
      <c r="SJ8" s="495"/>
      <c r="SK8" s="495"/>
      <c r="SL8" s="495"/>
      <c r="SM8" s="495"/>
      <c r="SN8" s="495"/>
      <c r="SO8" s="495"/>
      <c r="SP8" s="495"/>
      <c r="SQ8" s="495"/>
      <c r="SR8" s="495"/>
      <c r="SS8" s="495"/>
      <c r="ST8" s="495"/>
      <c r="SU8" s="495"/>
      <c r="SV8" s="65"/>
      <c r="SW8" s="509" t="s">
        <v>724</v>
      </c>
      <c r="SX8" s="510"/>
      <c r="SY8" s="510"/>
      <c r="SZ8" s="510"/>
      <c r="TA8" s="510"/>
      <c r="TB8" s="510"/>
      <c r="TC8" s="510"/>
      <c r="TD8" s="510"/>
      <c r="TE8" s="510"/>
      <c r="TF8" s="510"/>
      <c r="TG8" s="510"/>
      <c r="TH8" s="510"/>
      <c r="TI8" s="510"/>
      <c r="TJ8" s="510"/>
      <c r="TK8" s="510"/>
      <c r="TL8" s="510"/>
      <c r="TM8" s="511"/>
      <c r="TN8" s="65"/>
      <c r="TO8" s="529" t="s">
        <v>763</v>
      </c>
      <c r="TP8" s="530"/>
      <c r="TQ8" s="530"/>
      <c r="TR8" s="530"/>
      <c r="TS8" s="530"/>
      <c r="TT8" s="530"/>
      <c r="TU8" s="530"/>
      <c r="TV8" s="530"/>
      <c r="TW8" s="530"/>
      <c r="TX8" s="530"/>
      <c r="TY8" s="530"/>
      <c r="TZ8" s="530"/>
      <c r="UA8" s="530"/>
      <c r="UB8" s="530"/>
      <c r="UC8" s="530"/>
      <c r="UD8" s="530"/>
      <c r="UE8" s="530"/>
      <c r="UF8" s="530"/>
      <c r="UG8" s="530"/>
      <c r="UH8" s="530"/>
      <c r="UI8" s="530"/>
      <c r="UJ8" s="530"/>
      <c r="UK8" s="530"/>
      <c r="UL8" s="530"/>
      <c r="UM8" s="530"/>
      <c r="UN8" s="530"/>
      <c r="UO8" s="530"/>
      <c r="UP8" s="530"/>
      <c r="UQ8" s="530"/>
      <c r="UR8" s="530"/>
      <c r="US8" s="530"/>
      <c r="UT8" s="530"/>
      <c r="UU8" s="530"/>
      <c r="UV8" s="530"/>
      <c r="UW8" s="530"/>
      <c r="UX8" s="530"/>
      <c r="UY8" s="530"/>
      <c r="UZ8" s="530"/>
      <c r="VA8" s="484"/>
      <c r="VB8" s="484"/>
      <c r="VC8" s="484"/>
      <c r="VD8" s="484"/>
      <c r="VE8" s="530"/>
      <c r="VF8" s="530"/>
      <c r="VG8" s="530"/>
      <c r="VH8" s="530"/>
      <c r="VI8" s="530"/>
      <c r="VJ8" s="530"/>
      <c r="VK8" s="530"/>
      <c r="VL8" s="530"/>
      <c r="VM8" s="530"/>
      <c r="VN8" s="530"/>
      <c r="VO8" s="530"/>
      <c r="VP8" s="530"/>
      <c r="VQ8" s="530"/>
      <c r="VR8" s="530"/>
      <c r="VS8" s="530"/>
      <c r="VT8" s="530"/>
      <c r="VU8" s="530"/>
      <c r="VV8" s="530"/>
      <c r="VW8" s="531"/>
      <c r="VX8" s="65"/>
      <c r="VY8" s="65"/>
      <c r="VZ8" s="515" t="s">
        <v>737</v>
      </c>
      <c r="WA8" s="515"/>
      <c r="WB8" s="515"/>
      <c r="WC8" s="515"/>
      <c r="WD8" s="515"/>
      <c r="WE8" s="515"/>
      <c r="WF8" s="515"/>
      <c r="WG8" s="515"/>
      <c r="WH8" s="515"/>
      <c r="WI8" s="515"/>
      <c r="WJ8" s="515"/>
      <c r="WK8" s="515"/>
      <c r="WL8" s="515"/>
      <c r="WM8" s="515"/>
      <c r="WN8" s="515"/>
      <c r="WO8" s="515"/>
      <c r="WP8" s="515"/>
      <c r="WQ8" s="515"/>
      <c r="WR8" s="515"/>
      <c r="WS8" s="515"/>
      <c r="WT8" s="515"/>
      <c r="WU8" s="515"/>
      <c r="WV8" s="515"/>
      <c r="WW8" s="515"/>
      <c r="WX8" s="515"/>
      <c r="WY8" s="515"/>
      <c r="WZ8" s="515"/>
      <c r="XA8" s="515"/>
      <c r="XB8" s="515"/>
      <c r="XC8" s="515"/>
      <c r="XD8" s="515"/>
      <c r="XE8" s="498" t="s">
        <v>741</v>
      </c>
      <c r="XF8" s="498"/>
      <c r="XG8" s="498"/>
      <c r="XH8" s="498"/>
      <c r="XI8" s="498"/>
      <c r="XJ8" s="498"/>
      <c r="XK8" s="498"/>
      <c r="XL8" s="65"/>
      <c r="XM8" s="65"/>
      <c r="XN8" s="65"/>
      <c r="XO8" s="65"/>
      <c r="XP8" s="65"/>
      <c r="XQ8" s="65"/>
      <c r="XR8" s="65"/>
      <c r="XS8" s="65"/>
      <c r="XT8" s="65"/>
      <c r="XU8" s="65"/>
      <c r="XV8" s="65"/>
      <c r="XW8" s="65"/>
      <c r="XX8" s="65"/>
      <c r="XY8" s="65"/>
      <c r="XZ8" s="65"/>
      <c r="YA8" s="65"/>
      <c r="YB8" s="65"/>
      <c r="YC8" s="65"/>
      <c r="YD8" s="65"/>
      <c r="YE8" s="65"/>
      <c r="YF8" s="65"/>
      <c r="YG8" s="65"/>
      <c r="YH8" s="65"/>
      <c r="YI8" s="65"/>
      <c r="YJ8" s="65"/>
      <c r="YK8" s="65"/>
      <c r="YL8" s="65"/>
      <c r="YM8" s="65"/>
      <c r="YN8" s="65"/>
      <c r="YO8" s="65"/>
      <c r="YP8" s="65"/>
      <c r="YQ8" s="65"/>
      <c r="YR8" s="65"/>
      <c r="YS8" s="65"/>
      <c r="YT8" s="65"/>
      <c r="YU8" s="65"/>
      <c r="YV8" s="65"/>
      <c r="YW8" s="65"/>
      <c r="YX8" s="65"/>
      <c r="YY8" s="65"/>
      <c r="YZ8" s="65"/>
      <c r="ZA8" s="65"/>
      <c r="ZB8" s="65"/>
      <c r="ZC8" s="65"/>
      <c r="ZD8" s="65"/>
      <c r="ZE8" s="65"/>
      <c r="ZF8" s="65"/>
      <c r="ZG8" s="65"/>
      <c r="ZH8" s="65"/>
      <c r="ZI8" s="65"/>
      <c r="ZJ8" s="65"/>
      <c r="ZK8" s="65"/>
      <c r="ZL8" s="65"/>
      <c r="ZM8" s="65"/>
      <c r="ZN8" s="65"/>
      <c r="ZO8" s="65"/>
      <c r="ZP8" s="65"/>
      <c r="ZQ8" s="65"/>
      <c r="ZR8" s="65"/>
      <c r="ZS8" s="65"/>
      <c r="ZT8" s="65"/>
      <c r="ZU8" s="65"/>
      <c r="ZV8" s="65"/>
      <c r="ZW8" s="65"/>
      <c r="ZX8" s="65"/>
      <c r="ZY8" s="65"/>
      <c r="ZZ8" s="65"/>
      <c r="AAA8" s="65"/>
      <c r="AAB8" s="65"/>
      <c r="AAC8" s="65"/>
      <c r="AAD8" s="65"/>
      <c r="AAE8" s="65"/>
      <c r="AAF8" s="65"/>
      <c r="AAG8" s="65"/>
      <c r="AAH8" s="65"/>
      <c r="AAI8" s="65"/>
      <c r="AAJ8" s="65"/>
      <c r="AAK8" s="65"/>
      <c r="AAL8" s="65"/>
      <c r="AAM8" s="65"/>
      <c r="AAN8" s="65"/>
      <c r="AAO8" s="65"/>
      <c r="AAP8" s="65"/>
      <c r="AAQ8" s="65"/>
      <c r="AAR8" s="65"/>
      <c r="AAS8" s="65"/>
      <c r="AAT8" s="65"/>
      <c r="AAU8" s="65"/>
      <c r="AAV8" s="65"/>
      <c r="AAW8" s="65"/>
      <c r="AAX8" s="65"/>
      <c r="AAY8" s="65"/>
      <c r="AAZ8" s="65"/>
      <c r="ABA8" s="65"/>
      <c r="ABB8" s="65"/>
      <c r="ABC8" s="65"/>
      <c r="ABD8" s="65"/>
      <c r="ABE8" s="65"/>
      <c r="ABF8" s="65"/>
      <c r="ABG8" s="65"/>
      <c r="ABH8" s="65"/>
      <c r="ABI8" s="65"/>
      <c r="ABJ8" s="65"/>
      <c r="ABK8" s="65"/>
      <c r="ABL8" s="65"/>
      <c r="ABM8" s="65"/>
      <c r="ABN8" s="65"/>
      <c r="ABO8" s="65"/>
      <c r="ABP8" s="65"/>
      <c r="ABQ8" s="65"/>
      <c r="ABR8" s="65"/>
      <c r="ABS8" s="65"/>
      <c r="ABT8" s="65"/>
      <c r="ABU8" s="65"/>
      <c r="ABV8" s="65"/>
      <c r="ABW8" s="65"/>
      <c r="ABX8" s="65"/>
      <c r="ABY8" s="65"/>
      <c r="ABZ8" s="65"/>
      <c r="ACA8" s="65"/>
      <c r="ACB8" s="65"/>
      <c r="ACC8" s="65"/>
      <c r="ACD8" s="65"/>
      <c r="ACE8" s="65"/>
      <c r="ACF8" s="65"/>
      <c r="ACG8" s="65"/>
      <c r="ACH8" s="65"/>
      <c r="ACI8" s="65"/>
      <c r="ACJ8" s="65"/>
      <c r="ACK8" s="65"/>
      <c r="ACL8" s="65"/>
      <c r="ACM8" s="65"/>
      <c r="ACN8" s="65"/>
      <c r="ACO8" s="65"/>
      <c r="ACP8" s="65"/>
      <c r="ACQ8" s="65"/>
      <c r="ACR8" s="65"/>
      <c r="ACS8" s="65"/>
      <c r="ACT8" s="65"/>
      <c r="ACU8" s="65"/>
      <c r="ACV8" s="65"/>
      <c r="ACW8" s="65"/>
      <c r="ACX8" s="65"/>
      <c r="ACY8" s="65"/>
      <c r="ACZ8" s="65"/>
      <c r="ADA8" s="65"/>
      <c r="ADB8" s="65"/>
      <c r="ADC8" s="65"/>
      <c r="ADD8" s="65"/>
      <c r="ADE8" s="65"/>
      <c r="ADF8" s="65"/>
      <c r="ADG8" s="65"/>
      <c r="ADH8" s="65"/>
      <c r="ADI8" s="65"/>
      <c r="ADJ8" s="65"/>
      <c r="ADK8" s="65"/>
      <c r="ADL8" s="65"/>
      <c r="ADM8" s="65"/>
      <c r="ADN8" s="65"/>
      <c r="ADO8" s="65"/>
      <c r="ADP8" s="65"/>
      <c r="ADQ8" s="65"/>
      <c r="ADR8" s="65"/>
      <c r="ADS8" s="65"/>
      <c r="ADT8" s="65"/>
      <c r="ADU8" s="65"/>
      <c r="ADV8" s="65"/>
      <c r="ADW8" s="65"/>
      <c r="ADX8" s="65"/>
      <c r="ADY8" s="65"/>
      <c r="ADZ8" s="65"/>
      <c r="AEA8" s="65"/>
      <c r="AEB8" s="65"/>
      <c r="AEC8" s="65"/>
      <c r="AED8" s="65"/>
      <c r="AEE8" s="65"/>
      <c r="AEF8" s="65"/>
      <c r="AEG8" s="65"/>
      <c r="AEH8" s="65"/>
      <c r="AEI8" s="65"/>
      <c r="AEJ8" s="65"/>
      <c r="AEK8" s="65"/>
      <c r="AEL8" s="65"/>
      <c r="AEM8" s="65"/>
      <c r="AEN8" s="65"/>
      <c r="AEO8" s="65"/>
      <c r="AEP8" s="65"/>
      <c r="AEQ8" s="65"/>
      <c r="AER8" s="65"/>
      <c r="AES8" s="65"/>
      <c r="AET8" s="65"/>
      <c r="AEU8" s="65"/>
      <c r="AEV8" s="476" t="s">
        <v>798</v>
      </c>
      <c r="AEW8" s="476"/>
      <c r="AEX8" s="476"/>
      <c r="AEY8" s="476"/>
      <c r="AEZ8" s="476"/>
      <c r="AFA8" s="476"/>
      <c r="AFB8" s="476"/>
      <c r="AFC8" s="476"/>
      <c r="AFD8" s="476"/>
      <c r="AFE8" s="476"/>
      <c r="AFF8" s="476"/>
      <c r="AFG8" s="476"/>
      <c r="AFH8" s="476"/>
      <c r="AFI8" s="476"/>
      <c r="AFJ8" s="476"/>
      <c r="AFK8" s="476"/>
      <c r="AFL8" s="476"/>
      <c r="AFM8" s="476"/>
      <c r="AFN8" s="476"/>
      <c r="AFO8" s="476"/>
      <c r="AFP8" s="476"/>
      <c r="AFQ8" s="476"/>
      <c r="AFR8" s="476"/>
      <c r="AFS8" s="476"/>
      <c r="AFT8" s="476"/>
      <c r="AFU8" s="476"/>
      <c r="AFV8" s="476"/>
      <c r="AFW8" s="476"/>
      <c r="AFX8" s="476"/>
      <c r="AFY8" s="476"/>
      <c r="AFZ8" s="476"/>
      <c r="AGA8" s="476"/>
      <c r="AGB8" s="476"/>
      <c r="AGC8" s="476"/>
      <c r="AGD8" s="65"/>
      <c r="AGE8" s="65"/>
      <c r="AGF8" s="65"/>
      <c r="AGG8" s="65"/>
      <c r="AGH8" s="65"/>
      <c r="AGI8" s="65"/>
      <c r="AGJ8" s="65"/>
      <c r="AGK8" s="65"/>
      <c r="AGL8" s="65"/>
      <c r="AGM8" s="65"/>
      <c r="AGN8" s="65"/>
      <c r="AGO8" s="65"/>
      <c r="AGP8" s="65"/>
      <c r="AGQ8" s="65"/>
      <c r="AGR8" s="65"/>
      <c r="AGS8" s="65"/>
      <c r="AGT8" s="65"/>
      <c r="AGU8" s="65"/>
      <c r="AGV8" s="65"/>
      <c r="AGW8" s="65"/>
      <c r="AGX8" s="65"/>
      <c r="AGY8" s="65"/>
      <c r="AGZ8" s="65"/>
      <c r="AHA8" s="65"/>
      <c r="AHB8" s="65"/>
      <c r="AHC8" s="65"/>
      <c r="AHD8" s="65"/>
      <c r="AHE8" s="65"/>
      <c r="AHF8" s="65"/>
      <c r="AHG8" s="65"/>
      <c r="AHH8" s="65"/>
      <c r="AHI8" s="65"/>
      <c r="AHJ8" s="65"/>
      <c r="AHK8" s="65"/>
      <c r="AHL8" s="65"/>
      <c r="AHM8" s="65"/>
      <c r="AHN8" s="65"/>
      <c r="AHO8" s="65"/>
      <c r="AHP8" s="65"/>
      <c r="AHQ8" s="65"/>
      <c r="AHR8" s="65"/>
      <c r="AHS8" s="65"/>
      <c r="AHT8" s="65"/>
      <c r="AHU8" s="65"/>
      <c r="AHV8" s="65"/>
      <c r="AHW8" s="65"/>
      <c r="AHX8" s="65"/>
      <c r="AHY8" s="65"/>
      <c r="AHZ8" s="65"/>
      <c r="AIA8" s="65"/>
      <c r="AIB8" s="65"/>
      <c r="AIC8" s="65"/>
      <c r="AID8" s="65"/>
      <c r="AIE8" s="65"/>
      <c r="AIF8" s="65"/>
      <c r="AIG8" s="65"/>
      <c r="AIH8" s="65"/>
      <c r="AII8" s="65"/>
      <c r="AIJ8" s="65"/>
      <c r="AIK8" s="65"/>
      <c r="AIL8" s="65"/>
      <c r="AIM8" s="65"/>
      <c r="AIN8" s="65"/>
      <c r="AIO8" s="65"/>
      <c r="AIP8" s="65"/>
      <c r="AIQ8" s="65"/>
      <c r="AIR8" s="65"/>
      <c r="AIS8" s="65"/>
      <c r="AIT8" s="65"/>
      <c r="AIU8" s="65"/>
      <c r="AIV8" s="65"/>
      <c r="AIW8" s="65"/>
      <c r="AIX8" s="65"/>
      <c r="AIY8" s="65"/>
      <c r="AIZ8" s="65"/>
      <c r="AJA8" s="65"/>
      <c r="AJB8" s="65"/>
      <c r="AJC8" s="65"/>
      <c r="AJD8" s="65"/>
      <c r="AJE8" s="65"/>
      <c r="AJF8" s="65"/>
      <c r="AJG8" s="65"/>
      <c r="AJH8" s="65"/>
      <c r="AJI8" s="65"/>
      <c r="AJJ8" s="65"/>
      <c r="AJK8" s="65"/>
      <c r="AJL8" s="65"/>
      <c r="AJM8" s="65"/>
      <c r="AJN8" s="65"/>
      <c r="AJO8" s="65"/>
      <c r="AJP8" s="65"/>
      <c r="AJQ8" s="65"/>
      <c r="AJR8" s="65"/>
      <c r="AJS8" s="65"/>
      <c r="AJT8" s="65"/>
      <c r="AJU8" s="65"/>
      <c r="AJV8" s="65"/>
      <c r="AJW8" s="65"/>
      <c r="AJX8" s="65"/>
      <c r="AJY8" s="65"/>
      <c r="AJZ8" s="65"/>
      <c r="AKA8" s="65"/>
      <c r="AKB8" s="65"/>
      <c r="AKC8" s="65"/>
      <c r="AKD8" s="65"/>
      <c r="AKE8" s="65"/>
      <c r="AKF8" s="65"/>
      <c r="AKG8" s="65"/>
      <c r="AKH8" s="65"/>
      <c r="AKI8" s="65"/>
      <c r="AKJ8" s="65"/>
      <c r="AKK8" s="65"/>
      <c r="AKL8" s="65"/>
      <c r="AKM8" s="65"/>
      <c r="AKN8" s="65"/>
      <c r="AKO8" s="65"/>
      <c r="AKP8" s="65"/>
      <c r="AKQ8" s="65"/>
      <c r="AKR8" s="65"/>
      <c r="AKS8" s="65"/>
      <c r="AKT8" s="65"/>
      <c r="AKU8" s="65"/>
      <c r="AKV8" s="65"/>
      <c r="AKW8" s="65"/>
      <c r="AKX8" s="65"/>
      <c r="AKY8" s="65"/>
      <c r="AKZ8" s="65"/>
      <c r="ALA8" s="65"/>
      <c r="ALB8" s="65"/>
      <c r="ALC8" s="65"/>
      <c r="ALD8" s="65"/>
      <c r="ALE8" s="65"/>
      <c r="ALF8" s="65"/>
      <c r="ALG8" s="65"/>
      <c r="ALH8" s="65"/>
      <c r="ALI8" s="65"/>
      <c r="ALJ8" s="65"/>
      <c r="ALK8" s="65"/>
      <c r="ALL8" s="65"/>
      <c r="ALM8" s="65"/>
      <c r="ALN8" s="65"/>
      <c r="ALO8" s="65"/>
      <c r="ALP8" s="65"/>
      <c r="ALQ8" s="65"/>
      <c r="ALR8" s="65"/>
      <c r="ALS8" s="65"/>
      <c r="ALT8" s="65"/>
      <c r="ALU8" s="65"/>
      <c r="ALV8" s="65"/>
      <c r="ALW8" s="65"/>
      <c r="ALX8" s="65"/>
      <c r="ALY8" s="65"/>
      <c r="ALZ8" s="65"/>
      <c r="AMA8" s="65"/>
      <c r="AMB8" s="65"/>
      <c r="AMC8" s="65"/>
      <c r="AMD8" s="65"/>
      <c r="AME8" s="65"/>
      <c r="AMF8" s="65"/>
      <c r="AMG8" s="65"/>
      <c r="AMH8" s="65"/>
      <c r="AMI8" s="65"/>
      <c r="AMJ8" s="65"/>
      <c r="AMK8" s="65"/>
      <c r="AML8" s="65"/>
      <c r="AMM8" s="65"/>
      <c r="AMN8" s="65"/>
      <c r="AMO8" s="65"/>
      <c r="AMP8" s="65"/>
      <c r="AMQ8" s="65"/>
      <c r="AMR8" s="65"/>
      <c r="AMS8" s="65"/>
      <c r="AMT8" s="65"/>
      <c r="AMU8" s="65"/>
      <c r="AMV8" s="65"/>
      <c r="AMW8" s="65"/>
      <c r="AMX8" s="65"/>
      <c r="AMY8" s="65"/>
      <c r="AMZ8" s="65"/>
      <c r="ANA8" s="65"/>
      <c r="ANB8" s="65"/>
      <c r="ANC8" s="65"/>
      <c r="AND8" s="65"/>
      <c r="ANE8" s="65"/>
      <c r="ANF8" s="65"/>
      <c r="ANG8" s="65"/>
      <c r="ANH8" s="65"/>
      <c r="ANI8" s="65"/>
      <c r="ANJ8" s="65"/>
      <c r="ANK8" s="65"/>
      <c r="ANL8" s="65"/>
      <c r="ANM8" s="65"/>
      <c r="ANN8" s="65"/>
      <c r="ANO8" s="65"/>
      <c r="ANP8" s="65"/>
      <c r="ANQ8" s="65"/>
      <c r="ANR8" s="65"/>
    </row>
    <row r="9" spans="1:1060" ht="88.8" customHeight="1" thickTop="1" thickBot="1">
      <c r="A9" s="207" t="s">
        <v>614</v>
      </c>
      <c r="B9" s="207" t="s">
        <v>762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/>
      <c r="IK9" s="65"/>
      <c r="IL9" s="65"/>
      <c r="IM9" s="65"/>
      <c r="IN9" s="65"/>
      <c r="IO9" s="65"/>
      <c r="IP9" s="65"/>
      <c r="IQ9" s="65"/>
      <c r="IR9" s="65"/>
      <c r="IS9" s="65"/>
      <c r="IT9" s="65"/>
      <c r="IU9" s="65"/>
      <c r="IV9" s="65"/>
      <c r="IW9" s="65"/>
      <c r="IX9" s="65"/>
      <c r="IY9" s="65"/>
      <c r="IZ9" s="65"/>
      <c r="JA9" s="65"/>
      <c r="JB9" s="65"/>
      <c r="JC9" s="65"/>
      <c r="JD9" s="65"/>
      <c r="JE9" s="65"/>
      <c r="JF9" s="65"/>
      <c r="JG9" s="65"/>
      <c r="JH9" s="65"/>
      <c r="JI9" s="65"/>
      <c r="JJ9" s="65"/>
      <c r="JK9" s="65"/>
      <c r="JL9" s="65"/>
      <c r="JM9" s="65"/>
      <c r="JN9" s="65"/>
      <c r="JO9" s="65"/>
      <c r="JP9" s="65"/>
      <c r="JQ9" s="65"/>
      <c r="JR9" s="65"/>
      <c r="JS9" s="65"/>
      <c r="JT9" s="65"/>
      <c r="JU9" s="65"/>
      <c r="JV9" s="65"/>
      <c r="JW9" s="65"/>
      <c r="JX9" s="65"/>
      <c r="JY9" s="65"/>
      <c r="JZ9" s="65"/>
      <c r="KA9" s="65"/>
      <c r="KB9" s="65"/>
      <c r="KC9" s="65"/>
      <c r="KD9" s="65"/>
      <c r="KE9" s="65"/>
      <c r="KF9" s="65"/>
      <c r="KG9" s="65"/>
      <c r="KH9" s="65"/>
      <c r="KI9" s="65"/>
      <c r="KJ9" s="65"/>
      <c r="KK9" s="65"/>
      <c r="KL9" s="65"/>
      <c r="KM9" s="65"/>
      <c r="KN9" s="65"/>
      <c r="KO9" s="65"/>
      <c r="KP9" s="65"/>
      <c r="KQ9" s="65"/>
      <c r="KR9" s="65"/>
      <c r="KS9" s="65"/>
      <c r="KT9" s="65"/>
      <c r="KU9" s="65"/>
      <c r="KV9" s="65"/>
      <c r="KW9" s="65"/>
      <c r="KX9" s="65"/>
      <c r="KY9" s="65"/>
      <c r="KZ9" s="65"/>
      <c r="LA9" s="65"/>
      <c r="LB9" s="65"/>
      <c r="LC9" s="65"/>
      <c r="LD9" s="65"/>
      <c r="LE9" s="65"/>
      <c r="LF9" s="65"/>
      <c r="LG9" s="65"/>
      <c r="LH9" s="65"/>
      <c r="LI9" s="65"/>
      <c r="LJ9" s="65"/>
      <c r="LK9" s="65"/>
      <c r="LL9" s="65"/>
      <c r="LM9" s="65"/>
      <c r="LN9" s="65"/>
      <c r="LO9" s="65"/>
      <c r="LP9" s="65"/>
      <c r="LQ9" s="65"/>
      <c r="LR9" s="65"/>
      <c r="LS9" s="65"/>
      <c r="LT9" s="65"/>
      <c r="LU9" s="65"/>
      <c r="LV9" s="65"/>
      <c r="LW9" s="65"/>
      <c r="LX9" s="65"/>
      <c r="LY9" s="65"/>
      <c r="LZ9" s="65"/>
      <c r="MA9" s="65"/>
      <c r="MB9" s="65"/>
      <c r="MC9" s="65"/>
      <c r="MD9" s="65"/>
      <c r="ME9" s="65"/>
      <c r="MF9" s="65"/>
      <c r="MG9" s="65"/>
      <c r="MH9" s="65"/>
      <c r="MI9" s="65"/>
      <c r="MJ9" s="65"/>
      <c r="MK9" s="65"/>
      <c r="ML9" s="65"/>
      <c r="MM9" s="65"/>
      <c r="MN9" s="65"/>
      <c r="MO9" s="65"/>
      <c r="MP9" s="65"/>
      <c r="MQ9" s="65"/>
      <c r="MR9" s="65"/>
      <c r="MS9" s="65"/>
      <c r="MT9" s="65"/>
      <c r="MU9" s="65"/>
      <c r="MV9" s="65"/>
      <c r="MW9" s="65"/>
      <c r="MX9" s="65"/>
      <c r="MY9" s="65"/>
      <c r="MZ9" s="65"/>
      <c r="NA9" s="65"/>
      <c r="NB9" s="65"/>
      <c r="NC9" s="65"/>
      <c r="ND9" s="65"/>
      <c r="NE9" s="65"/>
      <c r="NF9" s="65"/>
      <c r="NG9" s="65"/>
      <c r="NH9" s="65"/>
      <c r="NI9" s="65"/>
      <c r="NJ9" s="65"/>
      <c r="NK9" s="65"/>
      <c r="NL9" s="65"/>
      <c r="NM9" s="65"/>
      <c r="NN9" s="65"/>
      <c r="NO9" s="65"/>
      <c r="NP9" s="65"/>
      <c r="NQ9" s="65"/>
      <c r="NR9" s="65"/>
      <c r="NS9" s="65"/>
      <c r="NT9" s="65"/>
      <c r="NU9" s="65"/>
      <c r="NV9" s="65"/>
      <c r="NW9" s="65"/>
      <c r="NX9" s="65"/>
      <c r="NY9" s="65"/>
      <c r="NZ9" s="65"/>
      <c r="OA9" s="65"/>
      <c r="OB9" s="65"/>
      <c r="OC9" s="65"/>
      <c r="OD9" s="65"/>
      <c r="OE9" s="65"/>
      <c r="OF9" s="65"/>
      <c r="OG9" s="65"/>
      <c r="OH9" s="65"/>
      <c r="OI9" s="65"/>
      <c r="OJ9" s="65"/>
      <c r="OK9" s="65"/>
      <c r="OL9" s="65"/>
      <c r="OM9" s="65"/>
      <c r="ON9" s="65"/>
      <c r="OO9" s="65"/>
      <c r="OP9" s="65"/>
      <c r="OQ9" s="65"/>
      <c r="OR9" s="65"/>
      <c r="OS9" s="65"/>
      <c r="OT9" s="65"/>
      <c r="OU9" s="65"/>
      <c r="OV9" s="65"/>
      <c r="OW9" s="65"/>
      <c r="OX9" s="65"/>
      <c r="OY9" s="65"/>
      <c r="OZ9" s="65"/>
      <c r="PA9" s="65"/>
      <c r="PB9" s="65"/>
      <c r="PC9" s="65"/>
      <c r="PD9" s="65"/>
      <c r="PE9" s="65"/>
      <c r="PF9" s="65"/>
      <c r="PG9" s="65"/>
      <c r="PH9" s="65"/>
      <c r="PI9" s="65"/>
      <c r="PJ9" s="65"/>
      <c r="PK9" s="65"/>
      <c r="PL9" s="65"/>
      <c r="PM9" s="65"/>
      <c r="PN9" s="65"/>
      <c r="PO9" s="65"/>
      <c r="PP9" s="65"/>
      <c r="PQ9" s="65"/>
      <c r="PR9" s="65"/>
      <c r="PS9" s="65"/>
      <c r="PT9" s="65"/>
      <c r="PU9" s="65"/>
      <c r="PV9" s="65"/>
      <c r="PW9" s="65"/>
      <c r="PX9" s="65"/>
      <c r="PY9" s="65"/>
      <c r="PZ9" s="65"/>
      <c r="QA9" s="65"/>
      <c r="QB9" s="65"/>
      <c r="QC9" s="65"/>
      <c r="QD9" s="65"/>
      <c r="QE9" s="65"/>
      <c r="QF9" s="65"/>
      <c r="QG9" s="65"/>
      <c r="QH9" s="65"/>
      <c r="QI9" s="65"/>
      <c r="QJ9" s="65"/>
      <c r="QK9" s="65"/>
      <c r="QL9" s="65"/>
      <c r="QM9" s="65"/>
      <c r="QN9" s="65"/>
      <c r="QO9" s="65"/>
      <c r="QP9" s="65"/>
      <c r="QQ9" s="65"/>
      <c r="QR9" s="65"/>
      <c r="QS9" s="65"/>
      <c r="QT9" s="65"/>
      <c r="QU9" s="65"/>
      <c r="QV9" s="65"/>
      <c r="QW9" s="65"/>
      <c r="QX9" s="65"/>
      <c r="QY9" s="65"/>
      <c r="QZ9" s="65"/>
      <c r="RA9" s="65"/>
      <c r="RB9" s="65"/>
      <c r="RC9" s="65"/>
      <c r="RD9" s="65"/>
      <c r="RE9" s="65"/>
      <c r="RF9" s="65"/>
      <c r="RG9" s="65"/>
      <c r="RH9" s="65"/>
      <c r="RI9" s="65"/>
      <c r="RJ9" s="65"/>
      <c r="RK9" s="65"/>
      <c r="RL9" s="65"/>
      <c r="RM9" s="65"/>
      <c r="RN9" s="65"/>
      <c r="RO9" s="65"/>
      <c r="RP9" s="65"/>
      <c r="RQ9" s="65"/>
      <c r="RR9" s="65"/>
      <c r="RS9" s="65"/>
      <c r="RT9" s="65"/>
      <c r="RU9" s="65"/>
      <c r="RV9" s="65"/>
      <c r="RW9" s="65"/>
      <c r="RX9" s="65"/>
      <c r="RY9" s="65"/>
      <c r="RZ9" s="65"/>
      <c r="SA9" s="65"/>
      <c r="SB9" s="65"/>
      <c r="SC9" s="65"/>
      <c r="SD9" s="65"/>
      <c r="SE9" s="65"/>
      <c r="SF9" s="65"/>
      <c r="SG9" s="65"/>
      <c r="SH9" s="65"/>
      <c r="SI9" s="65"/>
      <c r="SJ9" s="65"/>
      <c r="SK9" s="65"/>
      <c r="SL9" s="65"/>
      <c r="SM9" s="65"/>
      <c r="SN9" s="65"/>
      <c r="SO9" s="65"/>
      <c r="SP9" s="65"/>
      <c r="SQ9" s="65"/>
      <c r="SR9" s="65"/>
      <c r="SS9" s="65"/>
      <c r="ST9" s="65"/>
      <c r="SU9" s="65"/>
      <c r="SV9" s="65"/>
      <c r="SW9" s="65"/>
      <c r="SX9" s="65"/>
      <c r="SY9" s="65"/>
      <c r="SZ9" s="65"/>
      <c r="TA9" s="65"/>
      <c r="TB9" s="65"/>
      <c r="TC9" s="65"/>
      <c r="TD9" s="65"/>
      <c r="TE9" s="65"/>
      <c r="TF9" s="65"/>
      <c r="TG9" s="65"/>
      <c r="TH9" s="65"/>
      <c r="TI9" s="65"/>
      <c r="TJ9" s="65"/>
      <c r="TK9" s="65"/>
      <c r="TL9" s="65"/>
      <c r="TM9" s="65"/>
      <c r="TN9" s="65"/>
      <c r="TO9" s="65"/>
      <c r="TP9" s="65"/>
      <c r="TQ9" s="65"/>
      <c r="TR9" s="65"/>
      <c r="TS9" s="65"/>
      <c r="TT9" s="65"/>
      <c r="TU9" s="65"/>
      <c r="TV9" s="65"/>
      <c r="TW9" s="65"/>
      <c r="TX9" s="65"/>
      <c r="TY9" s="65"/>
      <c r="TZ9" s="65"/>
      <c r="UA9" s="65"/>
      <c r="UB9" s="65"/>
      <c r="UC9" s="65"/>
      <c r="UD9" s="65"/>
      <c r="UE9" s="65"/>
      <c r="UF9" s="65"/>
      <c r="UG9" s="65"/>
      <c r="UH9" s="65"/>
      <c r="UI9" s="65"/>
      <c r="UJ9" s="65"/>
      <c r="UK9" s="65"/>
      <c r="UL9" s="65"/>
      <c r="UM9" s="65"/>
      <c r="UN9" s="65"/>
      <c r="UO9" s="65"/>
      <c r="UP9" s="65"/>
      <c r="UQ9" s="65"/>
      <c r="UR9" s="65"/>
      <c r="US9" s="65"/>
      <c r="UT9" s="65"/>
      <c r="UU9" s="65"/>
      <c r="UV9" s="65"/>
      <c r="UW9" s="65"/>
      <c r="UX9" s="65"/>
      <c r="UY9" s="65"/>
      <c r="UZ9" s="65"/>
      <c r="VA9" s="65"/>
      <c r="VB9" s="65"/>
      <c r="VC9" s="65"/>
      <c r="VD9" s="65"/>
      <c r="VE9" s="65"/>
      <c r="VF9" s="65"/>
      <c r="VG9" s="65"/>
      <c r="VH9" s="65"/>
      <c r="VI9" s="65"/>
      <c r="VJ9" s="65"/>
      <c r="VK9" s="65"/>
      <c r="VL9" s="65"/>
      <c r="VM9" s="65"/>
      <c r="VN9" s="65"/>
      <c r="VO9" s="65"/>
      <c r="VP9" s="65"/>
      <c r="VQ9" s="65"/>
      <c r="VR9" s="65"/>
      <c r="VS9" s="65"/>
      <c r="VT9" s="65"/>
      <c r="VU9" s="65"/>
      <c r="VV9" s="65"/>
      <c r="VW9" s="65"/>
      <c r="VX9" s="65"/>
      <c r="VY9" s="65"/>
      <c r="VZ9" s="65"/>
      <c r="WA9" s="65"/>
      <c r="WB9" s="65"/>
      <c r="WC9" s="65"/>
      <c r="WD9" s="65"/>
      <c r="WE9" s="65"/>
      <c r="WF9" s="65"/>
      <c r="WG9" s="65"/>
      <c r="WH9" s="65"/>
      <c r="WI9" s="65"/>
      <c r="WJ9" s="65"/>
      <c r="WK9" s="65"/>
      <c r="WL9" s="65"/>
      <c r="WM9" s="65"/>
      <c r="WN9" s="65"/>
      <c r="WO9" s="65"/>
      <c r="WP9" s="65"/>
      <c r="WQ9" s="65"/>
      <c r="WR9" s="65"/>
      <c r="WS9" s="65"/>
      <c r="WT9" s="65"/>
      <c r="WU9" s="65"/>
      <c r="WV9" s="65"/>
      <c r="WW9" s="65"/>
      <c r="WX9" s="65"/>
      <c r="WY9" s="65"/>
      <c r="WZ9" s="65"/>
      <c r="XA9" s="65"/>
      <c r="XB9" s="65"/>
      <c r="XC9" s="65"/>
      <c r="XD9" s="65"/>
      <c r="XE9" s="65"/>
      <c r="XF9" s="65"/>
      <c r="XG9" s="65"/>
      <c r="XH9" s="65"/>
      <c r="XI9" s="65"/>
      <c r="XJ9" s="65"/>
      <c r="XK9" s="65"/>
      <c r="XL9" s="65"/>
      <c r="XM9" s="65"/>
      <c r="XN9" s="65"/>
      <c r="XO9" s="65"/>
      <c r="XP9" s="65"/>
      <c r="XQ9" s="65"/>
      <c r="XR9" s="65"/>
      <c r="XS9" s="65"/>
      <c r="XT9" s="65"/>
      <c r="XU9" s="65"/>
      <c r="XV9" s="65"/>
      <c r="XW9" s="65"/>
      <c r="XX9" s="65"/>
      <c r="XY9" s="65"/>
      <c r="XZ9" s="65"/>
      <c r="YA9" s="65"/>
      <c r="YB9" s="65"/>
      <c r="YC9" s="65"/>
      <c r="YD9" s="65"/>
      <c r="YE9" s="65"/>
      <c r="YF9" s="65"/>
      <c r="YG9" s="65"/>
      <c r="YH9" s="65"/>
      <c r="YI9" s="65"/>
      <c r="YJ9" s="65"/>
      <c r="YK9" s="65"/>
      <c r="YL9" s="65"/>
      <c r="YM9" s="65"/>
      <c r="YN9" s="65"/>
      <c r="YO9" s="65"/>
      <c r="YP9" s="65"/>
      <c r="YQ9" s="65"/>
      <c r="YR9" s="65"/>
      <c r="YS9" s="65"/>
      <c r="YT9" s="65"/>
      <c r="YU9" s="65"/>
      <c r="YV9" s="65"/>
      <c r="YW9" s="65"/>
      <c r="YX9" s="65"/>
      <c r="YY9" s="65"/>
      <c r="YZ9" s="65"/>
      <c r="ZA9" s="65"/>
      <c r="ZB9" s="65"/>
      <c r="ZC9" s="65"/>
      <c r="ZD9" s="65"/>
      <c r="ZE9" s="65"/>
      <c r="ZF9" s="65"/>
      <c r="ZG9" s="65"/>
      <c r="ZH9" s="65"/>
      <c r="ZI9" s="65"/>
      <c r="ZJ9" s="65"/>
      <c r="ZK9" s="65"/>
      <c r="ZL9" s="65"/>
      <c r="ZM9" s="65"/>
      <c r="ZN9" s="65"/>
      <c r="ZO9" s="65"/>
      <c r="ZP9" s="65"/>
      <c r="ZQ9" s="65"/>
      <c r="ZR9" s="65"/>
      <c r="ZS9" s="65"/>
      <c r="ZT9" s="65"/>
      <c r="ZU9" s="65"/>
      <c r="ZV9" s="65"/>
      <c r="ZW9" s="65"/>
      <c r="ZX9" s="65"/>
      <c r="ZY9" s="65"/>
      <c r="ZZ9" s="65"/>
      <c r="AAA9" s="65"/>
      <c r="AAB9" s="65"/>
      <c r="AAC9" s="65"/>
      <c r="AAD9" s="65"/>
      <c r="AAE9" s="65"/>
      <c r="AAF9" s="477" t="s">
        <v>147</v>
      </c>
      <c r="AAG9" s="477"/>
      <c r="AAH9" s="477"/>
      <c r="AAI9" s="477"/>
      <c r="AAJ9" s="477"/>
      <c r="AAK9" s="478" t="s">
        <v>371</v>
      </c>
      <c r="AAL9" s="478"/>
      <c r="AAM9" s="478"/>
      <c r="AAN9" s="478"/>
      <c r="AAO9" s="478"/>
      <c r="AAP9" s="478"/>
      <c r="AAQ9" s="478"/>
      <c r="AAR9" s="478"/>
      <c r="AAS9" s="478"/>
      <c r="AAT9" s="478"/>
      <c r="AAU9" s="479"/>
      <c r="AAV9" s="480" t="s">
        <v>746</v>
      </c>
      <c r="AAW9" s="481"/>
      <c r="AAX9" s="481"/>
      <c r="AAY9" s="481"/>
      <c r="AAZ9" s="481"/>
      <c r="ABA9" s="482"/>
      <c r="ABB9" s="65"/>
      <c r="ABC9" s="476" t="s">
        <v>735</v>
      </c>
      <c r="ABD9" s="476"/>
      <c r="ABE9" s="476"/>
      <c r="ABF9" s="476"/>
      <c r="ABG9" s="476"/>
      <c r="ABH9" s="476"/>
      <c r="ABI9" s="483" t="s">
        <v>194</v>
      </c>
      <c r="ABJ9" s="483"/>
      <c r="ABK9" s="483"/>
      <c r="ABL9" s="483"/>
      <c r="ABM9" s="478" t="s">
        <v>376</v>
      </c>
      <c r="ABN9" s="478"/>
      <c r="ABO9" s="478"/>
      <c r="ABP9" s="478"/>
      <c r="ABQ9" s="478"/>
      <c r="ABR9" s="478"/>
      <c r="ABS9" s="483" t="s">
        <v>209</v>
      </c>
      <c r="ABT9" s="483"/>
      <c r="ABU9" s="483"/>
      <c r="ABV9" s="483"/>
      <c r="ABW9" s="65"/>
      <c r="ABX9" s="65"/>
      <c r="ABY9" s="484" t="s">
        <v>799</v>
      </c>
      <c r="ABZ9" s="484"/>
      <c r="ACA9" s="484"/>
      <c r="ACB9" s="484"/>
      <c r="ACC9" s="484"/>
      <c r="ACD9" s="484"/>
      <c r="ACE9" s="484"/>
      <c r="ACF9" s="484"/>
      <c r="ACG9" s="484"/>
      <c r="ACH9" s="484"/>
      <c r="ACI9" s="484"/>
      <c r="ACJ9" s="484"/>
      <c r="ACK9" s="484"/>
      <c r="ACL9" s="484"/>
      <c r="ACM9" s="484"/>
      <c r="ACN9" s="484"/>
      <c r="ACO9" s="484"/>
      <c r="ACP9" s="484"/>
      <c r="ACQ9" s="484"/>
      <c r="ACR9" s="484"/>
      <c r="ACS9" s="484"/>
      <c r="ACT9" s="484"/>
      <c r="ACU9" s="484"/>
      <c r="ACV9" s="484"/>
      <c r="ACW9" s="484"/>
      <c r="ACX9" s="484"/>
      <c r="ACY9" s="484"/>
      <c r="ACZ9" s="484"/>
      <c r="ADA9" s="484"/>
      <c r="ADB9" s="484"/>
      <c r="ADC9" s="484"/>
      <c r="ADD9" s="484"/>
      <c r="ADE9" s="484"/>
      <c r="ADF9" s="484"/>
      <c r="ADG9" s="484"/>
      <c r="ADH9" s="478" t="s">
        <v>236</v>
      </c>
      <c r="ADI9" s="478"/>
      <c r="ADJ9" s="478"/>
      <c r="ADK9" s="478"/>
      <c r="ADL9" s="478"/>
      <c r="ADM9" s="478"/>
      <c r="ADN9" s="497" t="s">
        <v>790</v>
      </c>
      <c r="ADO9" s="497"/>
      <c r="ADP9" s="497"/>
      <c r="ADQ9" s="497"/>
      <c r="ADR9" s="497"/>
      <c r="ADS9" s="497"/>
      <c r="ADT9" s="497"/>
      <c r="ADU9" s="497"/>
      <c r="ADV9" s="497"/>
      <c r="ADW9" s="497"/>
      <c r="ADX9" s="549" t="s">
        <v>789</v>
      </c>
      <c r="ADY9" s="549"/>
      <c r="ADZ9" s="549"/>
      <c r="AEA9" s="549"/>
      <c r="AEB9" s="549"/>
      <c r="AEC9" s="549"/>
      <c r="AED9" s="549"/>
      <c r="AEE9" s="549"/>
      <c r="AEF9" s="549"/>
      <c r="AEG9" s="549"/>
      <c r="AEH9" s="549"/>
      <c r="AEI9" s="549"/>
      <c r="AEJ9" s="549"/>
      <c r="AEK9" s="549"/>
      <c r="AEL9" s="549"/>
      <c r="AEM9" s="65"/>
      <c r="AEN9" s="65"/>
      <c r="AEO9" s="65"/>
      <c r="AEP9" s="65"/>
      <c r="AEQ9" s="65"/>
      <c r="AER9" s="65"/>
      <c r="AES9" s="65"/>
      <c r="AET9" s="65"/>
      <c r="AEU9" s="65"/>
      <c r="AEV9" s="65"/>
      <c r="AEW9" s="65"/>
      <c r="AEX9" s="65"/>
      <c r="AEY9" s="65"/>
      <c r="AEZ9" s="65"/>
      <c r="AFA9" s="65"/>
      <c r="AFB9" s="65"/>
      <c r="AFC9" s="65"/>
      <c r="AFD9" s="65"/>
      <c r="AFE9" s="65"/>
      <c r="AFF9" s="65"/>
      <c r="AFG9" s="65"/>
      <c r="AFH9" s="65"/>
      <c r="AFI9" s="65"/>
      <c r="AFJ9" s="65"/>
      <c r="AFK9" s="65"/>
      <c r="AFL9" s="65"/>
      <c r="AFM9" s="65"/>
      <c r="AFN9" s="65"/>
      <c r="AFO9" s="65"/>
      <c r="AFP9" s="65"/>
      <c r="AFQ9" s="65"/>
      <c r="AFR9" s="65"/>
      <c r="AFS9" s="65"/>
      <c r="AFT9" s="65"/>
      <c r="AFU9" s="65"/>
      <c r="AFV9" s="65"/>
      <c r="AFW9" s="65"/>
      <c r="AFX9" s="65"/>
      <c r="AFY9" s="65"/>
      <c r="AFZ9" s="65"/>
      <c r="AGA9" s="65"/>
      <c r="AGB9" s="65"/>
      <c r="AGC9" s="65"/>
      <c r="AGD9" s="65"/>
      <c r="AGE9" s="65"/>
      <c r="AGF9" s="65"/>
      <c r="AGG9" s="65"/>
      <c r="AGH9" s="65"/>
      <c r="AGI9" s="65"/>
      <c r="AGJ9" s="65"/>
      <c r="AGK9" s="65"/>
      <c r="AGL9" s="65"/>
      <c r="AGM9" s="65"/>
      <c r="AGN9" s="65"/>
      <c r="AGO9" s="65"/>
      <c r="AGP9" s="65"/>
      <c r="AGQ9" s="65"/>
      <c r="AGR9" s="65"/>
      <c r="AGS9" s="65"/>
      <c r="AGT9" s="65"/>
      <c r="AGU9" s="65"/>
      <c r="AGV9" s="65"/>
      <c r="AGW9" s="65"/>
      <c r="AGX9" s="65"/>
      <c r="AGY9" s="65"/>
      <c r="AGZ9" s="65"/>
      <c r="AHA9" s="65"/>
      <c r="AHB9" s="65"/>
      <c r="AHC9" s="65"/>
      <c r="AHD9" s="65"/>
      <c r="AHE9" s="65"/>
      <c r="AHF9" s="65"/>
      <c r="AHG9" s="65"/>
      <c r="AHH9" s="65"/>
      <c r="AHI9" s="65"/>
      <c r="AHJ9" s="65"/>
      <c r="AHK9" s="65"/>
      <c r="AHL9" s="65"/>
      <c r="AHM9" s="65"/>
      <c r="AHN9" s="65"/>
      <c r="AHO9" s="65"/>
      <c r="AHP9" s="65"/>
      <c r="AHQ9" s="65"/>
      <c r="AHR9" s="65"/>
      <c r="AHS9" s="65"/>
      <c r="AHT9" s="65"/>
      <c r="AHU9" s="65"/>
      <c r="AHV9" s="65"/>
      <c r="AHW9" s="65"/>
      <c r="AHX9" s="65"/>
      <c r="AHY9" s="65"/>
      <c r="AHZ9" s="65"/>
      <c r="AIA9" s="65"/>
      <c r="AIB9" s="65"/>
      <c r="AIC9" s="65"/>
      <c r="AID9" s="65"/>
      <c r="AIE9" s="65"/>
      <c r="AIF9" s="65"/>
      <c r="AIG9" s="65"/>
      <c r="AIH9" s="65"/>
      <c r="AII9" s="65"/>
      <c r="AIJ9" s="65"/>
      <c r="AIK9" s="65"/>
      <c r="AIL9" s="65"/>
      <c r="AIM9" s="65"/>
      <c r="AIN9" s="65"/>
      <c r="AIO9" s="65"/>
      <c r="AIP9" s="65"/>
      <c r="AIQ9" s="65"/>
      <c r="AIR9" s="65"/>
      <c r="AIS9" s="65"/>
      <c r="AIT9" s="65"/>
      <c r="AIU9" s="65"/>
      <c r="AIV9" s="65"/>
      <c r="AIW9" s="65"/>
      <c r="AIX9" s="65"/>
      <c r="AIY9" s="65"/>
      <c r="AIZ9" s="65"/>
      <c r="AJA9" s="65"/>
      <c r="AJB9" s="65"/>
      <c r="AJC9" s="65"/>
      <c r="AJD9" s="65"/>
      <c r="AJE9" s="65"/>
      <c r="AJF9" s="65"/>
      <c r="AJG9" s="65"/>
      <c r="AJH9" s="65"/>
      <c r="AJI9" s="65"/>
      <c r="AJJ9" s="65"/>
      <c r="AJK9" s="65"/>
      <c r="AJL9" s="65"/>
      <c r="AJM9" s="65"/>
      <c r="AJN9" s="65"/>
      <c r="AJO9" s="65"/>
      <c r="AJP9" s="65"/>
      <c r="AJQ9" s="65"/>
      <c r="AJR9" s="65"/>
      <c r="AJS9" s="65"/>
      <c r="AJT9" s="65"/>
      <c r="AJU9" s="65"/>
      <c r="AJV9" s="65"/>
      <c r="AJW9" s="65"/>
      <c r="AJX9" s="65"/>
      <c r="AJY9" s="65"/>
      <c r="AJZ9" s="65"/>
      <c r="AKA9" s="65"/>
      <c r="AKB9" s="65"/>
      <c r="AKC9" s="65"/>
      <c r="AKD9" s="65"/>
      <c r="AKE9" s="65"/>
      <c r="AKF9" s="65"/>
      <c r="AKG9" s="65"/>
      <c r="AKH9" s="65"/>
      <c r="AKI9" s="65"/>
      <c r="AKJ9" s="65"/>
      <c r="AKK9" s="65"/>
      <c r="AKL9" s="65"/>
      <c r="AKM9" s="65"/>
      <c r="AKN9" s="65"/>
      <c r="AKO9" s="65"/>
      <c r="AKP9" s="65"/>
      <c r="AKQ9" s="65"/>
      <c r="AKR9" s="65"/>
      <c r="AKS9" s="65"/>
      <c r="AKT9" s="65"/>
      <c r="AKU9" s="65"/>
      <c r="AKV9" s="65"/>
      <c r="AKW9" s="65"/>
      <c r="AKX9" s="65"/>
      <c r="AKY9" s="65"/>
      <c r="AKZ9" s="65"/>
      <c r="ALA9" s="65"/>
      <c r="ALB9" s="65"/>
      <c r="ALC9" s="65"/>
      <c r="ALD9" s="65"/>
      <c r="ALE9" s="65"/>
      <c r="ALF9" s="65"/>
      <c r="ALG9" s="65"/>
      <c r="ALH9" s="65"/>
      <c r="ALI9" s="65"/>
      <c r="ALJ9" s="65"/>
      <c r="ALK9" s="65"/>
      <c r="ALL9" s="65"/>
      <c r="ALM9" s="65"/>
      <c r="ALN9" s="65"/>
      <c r="ALO9" s="65"/>
      <c r="ALP9" s="65"/>
      <c r="ALQ9" s="65"/>
      <c r="ALR9" s="65"/>
      <c r="ALS9" s="65"/>
      <c r="ALT9" s="65"/>
      <c r="ALU9" s="65"/>
      <c r="ALV9" s="65"/>
      <c r="ALW9" s="65"/>
      <c r="ALX9" s="65"/>
      <c r="ALY9" s="65"/>
      <c r="ALZ9" s="65"/>
      <c r="AMA9" s="65"/>
      <c r="AMB9" s="65"/>
      <c r="AMC9" s="65"/>
      <c r="AMD9" s="65"/>
      <c r="AME9" s="65"/>
      <c r="AMF9" s="65"/>
      <c r="AMG9" s="65"/>
      <c r="AMH9" s="65"/>
      <c r="AMI9" s="65"/>
      <c r="AMJ9" s="65"/>
      <c r="AMK9" s="65"/>
      <c r="AML9" s="65"/>
      <c r="AMM9" s="65"/>
      <c r="AMN9" s="65"/>
      <c r="AMO9" s="65"/>
      <c r="AMP9" s="65"/>
      <c r="AMQ9" s="65"/>
      <c r="AMR9" s="65"/>
      <c r="AMS9" s="65"/>
      <c r="AMT9" s="65"/>
      <c r="AMU9" s="65"/>
      <c r="AMV9" s="65"/>
      <c r="AMW9" s="65"/>
      <c r="AMX9" s="65"/>
      <c r="AMY9" s="65"/>
      <c r="AMZ9" s="65"/>
      <c r="ANA9" s="65"/>
      <c r="ANB9" s="65"/>
      <c r="ANC9" s="65"/>
      <c r="AND9" s="65"/>
      <c r="ANE9" s="65"/>
      <c r="ANF9" s="65"/>
      <c r="ANG9" s="65"/>
      <c r="ANH9" s="65"/>
      <c r="ANI9" s="65"/>
      <c r="ANJ9" s="65"/>
      <c r="ANK9" s="65"/>
      <c r="ANL9" s="65"/>
      <c r="ANM9" s="65"/>
      <c r="ANN9" s="65"/>
      <c r="ANO9" s="65"/>
      <c r="ANP9" s="65"/>
      <c r="ANQ9" s="65"/>
      <c r="ANR9" s="65"/>
    </row>
    <row r="10" spans="1:1060" ht="88.8" customHeight="1" thickTop="1" thickBot="1">
      <c r="A10" s="207" t="s">
        <v>614</v>
      </c>
      <c r="B10" s="207" t="s">
        <v>665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65"/>
      <c r="IP10" s="65"/>
      <c r="IQ10" s="65"/>
      <c r="IR10" s="65"/>
      <c r="IS10" s="65"/>
      <c r="IT10" s="65"/>
      <c r="IU10" s="65"/>
      <c r="IV10" s="65"/>
      <c r="IW10" s="65"/>
      <c r="IX10" s="65"/>
      <c r="IY10" s="65"/>
      <c r="IZ10" s="65"/>
      <c r="JA10" s="65"/>
      <c r="JB10" s="65"/>
      <c r="JC10" s="65"/>
      <c r="JD10" s="65"/>
      <c r="JE10" s="65"/>
      <c r="JF10" s="65"/>
      <c r="JG10" s="65"/>
      <c r="JH10" s="65"/>
      <c r="JI10" s="65"/>
      <c r="JJ10" s="65"/>
      <c r="JK10" s="65"/>
      <c r="JL10" s="65"/>
      <c r="JM10" s="65"/>
      <c r="JN10" s="65"/>
      <c r="JO10" s="65"/>
      <c r="JP10" s="65"/>
      <c r="JQ10" s="65"/>
      <c r="JR10" s="65"/>
      <c r="JS10" s="65"/>
      <c r="JT10" s="65"/>
      <c r="JU10" s="65"/>
      <c r="JV10" s="65"/>
      <c r="JW10" s="65"/>
      <c r="JX10" s="65"/>
      <c r="JY10" s="65"/>
      <c r="JZ10" s="65"/>
      <c r="KA10" s="65"/>
      <c r="KB10" s="65"/>
      <c r="KC10" s="65"/>
      <c r="KD10" s="65"/>
      <c r="KE10" s="65"/>
      <c r="KF10" s="65"/>
      <c r="KG10" s="65"/>
      <c r="KH10" s="65"/>
      <c r="KI10" s="65"/>
      <c r="KJ10" s="65"/>
      <c r="KK10" s="65"/>
      <c r="KL10" s="65"/>
      <c r="KM10" s="65"/>
      <c r="KN10" s="65"/>
      <c r="KO10" s="65"/>
      <c r="KP10" s="65"/>
      <c r="KQ10" s="65"/>
      <c r="KR10" s="65"/>
      <c r="KS10" s="65"/>
      <c r="KT10" s="65"/>
      <c r="KU10" s="65"/>
      <c r="KV10" s="65"/>
      <c r="KW10" s="65"/>
      <c r="KX10" s="65"/>
      <c r="KY10" s="65"/>
      <c r="KZ10" s="65"/>
      <c r="LA10" s="65"/>
      <c r="LB10" s="65"/>
      <c r="LC10" s="65"/>
      <c r="LD10" s="65"/>
      <c r="LE10" s="65"/>
      <c r="LF10" s="65"/>
      <c r="LG10" s="65"/>
      <c r="LH10" s="65"/>
      <c r="LI10" s="65"/>
      <c r="LJ10" s="65"/>
      <c r="LK10" s="65"/>
      <c r="LL10" s="65"/>
      <c r="LM10" s="65"/>
      <c r="LN10" s="65"/>
      <c r="LO10" s="65"/>
      <c r="LP10" s="65"/>
      <c r="LQ10" s="65"/>
      <c r="LR10" s="65"/>
      <c r="LS10" s="65"/>
      <c r="LT10" s="65"/>
      <c r="LU10" s="65"/>
      <c r="LV10" s="65"/>
      <c r="LW10" s="65"/>
      <c r="LX10" s="65"/>
      <c r="LY10" s="65"/>
      <c r="LZ10" s="65"/>
      <c r="MA10" s="65"/>
      <c r="MB10" s="65"/>
      <c r="MC10" s="65"/>
      <c r="MD10" s="65"/>
      <c r="ME10" s="65"/>
      <c r="MF10" s="65"/>
      <c r="MG10" s="65"/>
      <c r="MH10" s="65"/>
      <c r="MI10" s="65"/>
      <c r="MJ10" s="65"/>
      <c r="MK10" s="65"/>
      <c r="ML10" s="65"/>
      <c r="MM10" s="65"/>
      <c r="MN10" s="65"/>
      <c r="MO10" s="65"/>
      <c r="MP10" s="65"/>
      <c r="MQ10" s="65"/>
      <c r="MR10" s="65"/>
      <c r="MS10" s="65"/>
      <c r="MT10" s="65"/>
      <c r="MU10" s="65"/>
      <c r="MV10" s="65"/>
      <c r="MW10" s="65"/>
      <c r="MX10" s="65"/>
      <c r="MY10" s="65"/>
      <c r="MZ10" s="65"/>
      <c r="NA10" s="65"/>
      <c r="NB10" s="65"/>
      <c r="NC10" s="65"/>
      <c r="ND10" s="65"/>
      <c r="NE10" s="65"/>
      <c r="NF10" s="65"/>
      <c r="NG10" s="65"/>
      <c r="NH10" s="65"/>
      <c r="NI10" s="65"/>
      <c r="NJ10" s="65"/>
      <c r="NK10" s="65"/>
      <c r="NL10" s="65"/>
      <c r="NM10" s="65"/>
      <c r="NN10" s="65"/>
      <c r="NO10" s="65"/>
      <c r="NP10" s="65"/>
      <c r="NQ10" s="65"/>
      <c r="NR10" s="65"/>
      <c r="NS10" s="65"/>
      <c r="NT10" s="65"/>
      <c r="NU10" s="65"/>
      <c r="NV10" s="65"/>
      <c r="NW10" s="65"/>
      <c r="NX10" s="65"/>
      <c r="NY10" s="65"/>
      <c r="NZ10" s="65"/>
      <c r="OA10" s="65"/>
      <c r="OB10" s="65"/>
      <c r="OC10" s="65"/>
      <c r="OD10" s="65"/>
      <c r="OE10" s="65"/>
      <c r="OF10" s="65"/>
      <c r="OG10" s="65"/>
      <c r="OH10" s="65"/>
      <c r="OI10" s="65"/>
      <c r="OJ10" s="65"/>
      <c r="OK10" s="65"/>
      <c r="OL10" s="65"/>
      <c r="OM10" s="65"/>
      <c r="ON10" s="65"/>
      <c r="OO10" s="65"/>
      <c r="OP10" s="65"/>
      <c r="OQ10" s="65"/>
      <c r="OR10" s="65"/>
      <c r="OS10" s="65"/>
      <c r="OT10" s="65"/>
      <c r="OU10" s="65"/>
      <c r="OV10" s="65"/>
      <c r="OW10" s="65"/>
      <c r="OX10" s="65"/>
      <c r="OY10" s="65"/>
      <c r="OZ10" s="65"/>
      <c r="PA10" s="65"/>
      <c r="PB10" s="65"/>
      <c r="PC10" s="65"/>
      <c r="PD10" s="65"/>
      <c r="PE10" s="65"/>
      <c r="PF10" s="65"/>
      <c r="PG10" s="65"/>
      <c r="PH10" s="65"/>
      <c r="PI10" s="65"/>
      <c r="PJ10" s="65"/>
      <c r="PK10" s="65"/>
      <c r="PL10" s="65"/>
      <c r="PM10" s="65"/>
      <c r="PN10" s="65"/>
      <c r="PO10" s="65"/>
      <c r="PP10" s="65"/>
      <c r="PQ10" s="65"/>
      <c r="PR10" s="65"/>
      <c r="PS10" s="65"/>
      <c r="PT10" s="65"/>
      <c r="PU10" s="65"/>
      <c r="PV10" s="65"/>
      <c r="PW10" s="65"/>
      <c r="PX10" s="65"/>
      <c r="PY10" s="65"/>
      <c r="PZ10" s="65"/>
      <c r="QA10" s="65"/>
      <c r="QB10" s="65"/>
      <c r="QC10" s="65"/>
      <c r="QD10" s="65"/>
      <c r="QE10" s="65"/>
      <c r="QF10" s="65"/>
      <c r="QG10" s="65"/>
      <c r="QH10" s="65"/>
      <c r="QI10" s="65"/>
      <c r="QJ10" s="65"/>
      <c r="QK10" s="65"/>
      <c r="QL10" s="65"/>
      <c r="QM10" s="65"/>
      <c r="QN10" s="65"/>
      <c r="QO10" s="65"/>
      <c r="QP10" s="65"/>
      <c r="QQ10" s="65"/>
      <c r="QR10" s="65"/>
      <c r="QS10" s="65"/>
      <c r="QT10" s="65"/>
      <c r="QU10" s="65"/>
      <c r="QV10" s="65"/>
      <c r="QW10" s="65"/>
      <c r="QX10" s="65"/>
      <c r="QY10" s="65"/>
      <c r="QZ10" s="65"/>
      <c r="RA10" s="65"/>
      <c r="RB10" s="65"/>
      <c r="RC10" s="65"/>
      <c r="RD10" s="65"/>
      <c r="RE10" s="65"/>
      <c r="RF10" s="65"/>
      <c r="RG10" s="65"/>
      <c r="RH10" s="65"/>
      <c r="RI10" s="65"/>
      <c r="RJ10" s="65"/>
      <c r="RK10" s="65"/>
      <c r="RL10" s="65"/>
      <c r="RM10" s="65"/>
      <c r="RN10" s="65"/>
      <c r="RO10" s="65"/>
      <c r="RP10" s="65"/>
      <c r="RQ10" s="65"/>
      <c r="RR10" s="65"/>
      <c r="RS10" s="65"/>
      <c r="RT10" s="65"/>
      <c r="RU10" s="65"/>
      <c r="RV10" s="65"/>
      <c r="RW10" s="65"/>
      <c r="RX10" s="65"/>
      <c r="RY10" s="65"/>
      <c r="RZ10" s="65"/>
      <c r="SA10" s="65"/>
      <c r="SB10" s="65"/>
      <c r="SC10" s="65"/>
      <c r="SD10" s="65"/>
      <c r="SE10" s="65"/>
      <c r="SF10" s="65"/>
      <c r="SG10" s="65"/>
      <c r="SH10" s="65"/>
      <c r="SI10" s="65"/>
      <c r="SJ10" s="65"/>
      <c r="SK10" s="65"/>
      <c r="SL10" s="65"/>
      <c r="SM10" s="65"/>
      <c r="SN10" s="65"/>
      <c r="SO10" s="65"/>
      <c r="SP10" s="65"/>
      <c r="SQ10" s="65"/>
      <c r="SR10" s="65"/>
      <c r="SS10" s="65"/>
      <c r="ST10" s="65"/>
      <c r="SU10" s="65"/>
      <c r="SV10" s="65"/>
      <c r="SW10" s="65"/>
      <c r="SX10" s="65"/>
      <c r="SY10" s="65"/>
      <c r="SZ10" s="65"/>
      <c r="TA10" s="65"/>
      <c r="TB10" s="65"/>
      <c r="TC10" s="65"/>
      <c r="TD10" s="65"/>
      <c r="TE10" s="65"/>
      <c r="TF10" s="65"/>
      <c r="TG10" s="65"/>
      <c r="TH10" s="65"/>
      <c r="TI10" s="65"/>
      <c r="TJ10" s="65"/>
      <c r="TK10" s="65"/>
      <c r="TL10" s="65"/>
      <c r="TM10" s="65"/>
      <c r="TN10" s="65"/>
      <c r="TO10" s="65"/>
      <c r="TP10" s="65"/>
      <c r="TQ10" s="65"/>
      <c r="TR10" s="65"/>
      <c r="TS10" s="65"/>
      <c r="TT10" s="65"/>
      <c r="TU10" s="65"/>
      <c r="TV10" s="65"/>
      <c r="TW10" s="65"/>
      <c r="TX10" s="65"/>
      <c r="TY10" s="65"/>
      <c r="TZ10" s="65"/>
      <c r="UA10" s="65"/>
      <c r="UB10" s="65"/>
      <c r="UC10" s="65"/>
      <c r="UD10" s="65"/>
      <c r="UE10" s="65"/>
      <c r="UF10" s="65"/>
      <c r="UG10" s="65"/>
      <c r="UH10" s="65"/>
      <c r="UI10" s="65"/>
      <c r="UJ10" s="65"/>
      <c r="UK10" s="65"/>
      <c r="UL10" s="65"/>
      <c r="UM10" s="65"/>
      <c r="UN10" s="65"/>
      <c r="UO10" s="65"/>
      <c r="UP10" s="65"/>
      <c r="UQ10" s="65"/>
      <c r="UR10" s="65"/>
      <c r="US10" s="65"/>
      <c r="UT10" s="65"/>
      <c r="UU10" s="65"/>
      <c r="UV10" s="65"/>
      <c r="UW10" s="65"/>
      <c r="UX10" s="65"/>
      <c r="UY10" s="65"/>
      <c r="UZ10" s="65"/>
      <c r="VA10" s="65"/>
      <c r="VB10" s="65"/>
      <c r="VC10" s="65"/>
      <c r="VD10" s="65"/>
      <c r="VE10" s="65"/>
      <c r="VF10" s="65"/>
      <c r="VG10" s="65"/>
      <c r="VH10" s="65"/>
      <c r="VI10" s="65"/>
      <c r="VJ10" s="65"/>
      <c r="VK10" s="65"/>
      <c r="VL10" s="65"/>
      <c r="VM10" s="65"/>
      <c r="VN10" s="65"/>
      <c r="VO10" s="65"/>
      <c r="VP10" s="65"/>
      <c r="VQ10" s="65"/>
      <c r="VR10" s="65"/>
      <c r="VS10" s="65"/>
      <c r="VT10" s="65"/>
      <c r="VU10" s="65"/>
      <c r="VV10" s="65"/>
      <c r="VW10" s="65"/>
      <c r="VX10" s="65"/>
      <c r="VY10" s="65"/>
      <c r="VZ10" s="65"/>
      <c r="WA10" s="65"/>
      <c r="WB10" s="65"/>
      <c r="WC10" s="65"/>
      <c r="WD10" s="65"/>
      <c r="WE10" s="65"/>
      <c r="WF10" s="65"/>
      <c r="WG10" s="65"/>
      <c r="WH10" s="65"/>
      <c r="WI10" s="65"/>
      <c r="WJ10" s="65"/>
      <c r="WK10" s="65"/>
      <c r="WL10" s="65"/>
      <c r="WM10" s="65"/>
      <c r="WN10" s="65"/>
      <c r="WO10" s="65"/>
      <c r="WP10" s="65"/>
      <c r="WQ10" s="65"/>
      <c r="WR10" s="65"/>
      <c r="WS10" s="65"/>
      <c r="WT10" s="65"/>
      <c r="WU10" s="65"/>
      <c r="WV10" s="65"/>
      <c r="WW10" s="65"/>
      <c r="WX10" s="65"/>
      <c r="WY10" s="65"/>
      <c r="WZ10" s="65"/>
      <c r="XA10" s="65"/>
      <c r="XB10" s="65"/>
      <c r="XC10" s="65"/>
      <c r="XD10" s="65"/>
      <c r="XE10" s="65"/>
      <c r="XF10" s="65"/>
      <c r="XG10" s="65"/>
      <c r="XH10" s="65"/>
      <c r="XI10" s="65"/>
      <c r="XJ10" s="65"/>
      <c r="XK10" s="65"/>
      <c r="XL10" s="65"/>
      <c r="XM10" s="65"/>
      <c r="XN10" s="65"/>
      <c r="XO10" s="65"/>
      <c r="XP10" s="65"/>
      <c r="XQ10" s="65"/>
      <c r="XR10" s="65"/>
      <c r="XS10" s="65"/>
      <c r="XT10" s="65"/>
      <c r="XU10" s="65"/>
      <c r="XV10" s="65"/>
      <c r="XW10" s="65"/>
      <c r="XX10" s="65"/>
      <c r="XY10" s="65"/>
      <c r="XZ10" s="65"/>
      <c r="YA10" s="65"/>
      <c r="YB10" s="65"/>
      <c r="YC10" s="65"/>
      <c r="YD10" s="65"/>
      <c r="YE10" s="65"/>
      <c r="YF10" s="65"/>
      <c r="YG10" s="65"/>
      <c r="YH10" s="65"/>
      <c r="YI10" s="65"/>
      <c r="YJ10" s="65"/>
      <c r="YK10" s="65"/>
      <c r="YL10" s="65"/>
      <c r="YM10" s="65"/>
      <c r="YN10" s="65"/>
      <c r="YO10" s="65"/>
      <c r="YP10" s="65"/>
      <c r="YQ10" s="65"/>
      <c r="YR10" s="65"/>
      <c r="YS10" s="65"/>
      <c r="YT10" s="65"/>
      <c r="YU10" s="65"/>
      <c r="YV10" s="65"/>
      <c r="YW10" s="65"/>
      <c r="YX10" s="65"/>
      <c r="YY10" s="65"/>
      <c r="YZ10" s="65"/>
      <c r="ZA10" s="65"/>
      <c r="ZB10" s="65"/>
      <c r="ZC10" s="65"/>
      <c r="ZD10" s="65"/>
      <c r="ZE10" s="65"/>
      <c r="ZF10" s="65"/>
      <c r="ZG10" s="65"/>
      <c r="ZH10" s="65"/>
      <c r="ZI10" s="65"/>
      <c r="ZJ10" s="65"/>
      <c r="ZK10" s="65"/>
      <c r="ZL10" s="65"/>
      <c r="ZM10" s="65"/>
      <c r="ZN10" s="65"/>
      <c r="ZO10" s="65"/>
      <c r="ZP10" s="65"/>
      <c r="ZQ10" s="477" t="s">
        <v>147</v>
      </c>
      <c r="ZR10" s="477"/>
      <c r="ZS10" s="477"/>
      <c r="ZT10" s="477"/>
      <c r="ZU10" s="477"/>
      <c r="ZV10" s="477"/>
      <c r="ZW10" s="478" t="s">
        <v>417</v>
      </c>
      <c r="ZX10" s="478"/>
      <c r="ZY10" s="478"/>
      <c r="ZZ10" s="478"/>
      <c r="AAA10" s="478"/>
      <c r="AAB10" s="478"/>
      <c r="AAC10" s="497" t="s">
        <v>596</v>
      </c>
      <c r="AAD10" s="497"/>
      <c r="AAE10" s="497"/>
      <c r="AAF10" s="497"/>
      <c r="AAG10" s="497"/>
      <c r="AAH10" s="497"/>
      <c r="AAI10" s="497"/>
      <c r="AAJ10" s="497"/>
      <c r="AAK10" s="497"/>
      <c r="AAL10" s="497"/>
      <c r="AAM10" s="497"/>
      <c r="AAN10" s="497"/>
      <c r="AAO10" s="497"/>
      <c r="AAP10" s="497"/>
      <c r="AAQ10" s="497" t="s">
        <v>597</v>
      </c>
      <c r="AAR10" s="497"/>
      <c r="AAS10" s="497"/>
      <c r="AAT10" s="497"/>
      <c r="AAU10" s="497"/>
      <c r="AAV10" s="550"/>
      <c r="AAW10" s="550"/>
      <c r="AAX10" s="550"/>
      <c r="AAY10" s="550"/>
      <c r="AAZ10" s="550"/>
      <c r="ABA10" s="550"/>
      <c r="ABB10" s="497"/>
      <c r="ABC10" s="497"/>
      <c r="ABD10" s="497"/>
      <c r="ABE10" s="497"/>
      <c r="ABF10" s="497" t="s">
        <v>658</v>
      </c>
      <c r="ABG10" s="497"/>
      <c r="ABH10" s="497"/>
      <c r="ABI10" s="497"/>
      <c r="ABJ10" s="497"/>
      <c r="ABK10" s="497"/>
      <c r="ABL10" s="497"/>
      <c r="ABM10" s="497"/>
      <c r="ABN10" s="497"/>
      <c r="ABO10" s="497"/>
      <c r="ABP10" s="497"/>
      <c r="ABQ10" s="497"/>
      <c r="ABR10" s="497"/>
      <c r="ABS10" s="497"/>
      <c r="ABT10" s="497"/>
      <c r="ABU10" s="497"/>
      <c r="ABV10" s="497"/>
      <c r="ABW10" s="497"/>
      <c r="ABX10" s="497"/>
      <c r="ABY10" s="497"/>
      <c r="ABZ10" s="497"/>
      <c r="ACA10" s="497"/>
      <c r="ACB10" s="497"/>
      <c r="ACC10" s="497"/>
      <c r="ACD10" s="515" t="s">
        <v>595</v>
      </c>
      <c r="ACE10" s="515"/>
      <c r="ACF10" s="515"/>
      <c r="ACG10" s="515"/>
      <c r="ACH10" s="515"/>
      <c r="ACI10" s="515"/>
      <c r="ACJ10" s="515"/>
      <c r="ACK10" s="515"/>
      <c r="ACL10" s="515"/>
      <c r="ACM10" s="515"/>
      <c r="ACN10" s="515"/>
      <c r="ACO10" s="515"/>
      <c r="ACP10" s="515"/>
      <c r="ACQ10" s="515"/>
      <c r="ACR10" s="515"/>
      <c r="ACS10" s="515"/>
      <c r="ACT10" s="515"/>
      <c r="ACU10" s="515"/>
      <c r="ACV10" s="515"/>
      <c r="ACW10" s="515"/>
      <c r="ACX10" s="515"/>
      <c r="ACY10" s="515"/>
      <c r="ACZ10" s="515"/>
      <c r="ADA10" s="515"/>
      <c r="ADB10" s="515"/>
      <c r="ADC10" s="515"/>
      <c r="ADD10" s="497" t="s">
        <v>702</v>
      </c>
      <c r="ADE10" s="497"/>
      <c r="ADF10" s="497"/>
      <c r="ADG10" s="497"/>
      <c r="ADH10" s="497"/>
      <c r="ADI10" s="497"/>
      <c r="ADJ10" s="497"/>
      <c r="ADK10" s="497" t="s">
        <v>703</v>
      </c>
      <c r="ADL10" s="497"/>
      <c r="ADM10" s="497"/>
      <c r="ADN10" s="497"/>
      <c r="ADO10" s="497" t="s">
        <v>706</v>
      </c>
      <c r="ADP10" s="497"/>
      <c r="ADQ10" s="497"/>
      <c r="ADR10" s="497"/>
      <c r="ADS10" s="497"/>
      <c r="ADT10" s="497"/>
      <c r="ADU10" s="65"/>
      <c r="ADV10" s="65"/>
      <c r="ADW10" s="65"/>
      <c r="ADX10" s="65"/>
      <c r="ADY10" s="65"/>
      <c r="ADZ10" s="65"/>
      <c r="AEA10" s="65"/>
      <c r="AEB10" s="65"/>
      <c r="AEC10" s="65"/>
      <c r="AED10" s="65"/>
      <c r="AEE10" s="65"/>
      <c r="AEF10" s="65"/>
      <c r="AEG10" s="65"/>
      <c r="AEH10" s="65"/>
      <c r="AEI10" s="65"/>
      <c r="AEJ10" s="65"/>
      <c r="AEK10" s="65"/>
      <c r="AEL10" s="65"/>
      <c r="AEM10" s="65"/>
      <c r="AEN10" s="65"/>
      <c r="AEO10" s="65"/>
      <c r="AEP10" s="65"/>
      <c r="AEQ10" s="65"/>
      <c r="AER10" s="65"/>
      <c r="AES10" s="65"/>
      <c r="AET10" s="65"/>
      <c r="AEU10" s="65"/>
      <c r="AEV10" s="65"/>
      <c r="AEW10" s="65"/>
      <c r="AEX10" s="65"/>
      <c r="AEY10" s="65"/>
      <c r="AEZ10" s="65"/>
      <c r="AFA10" s="65"/>
      <c r="AFB10" s="65"/>
      <c r="AFC10" s="65"/>
      <c r="AFD10" s="65"/>
      <c r="AFE10" s="65"/>
      <c r="AFF10" s="65"/>
      <c r="AFG10" s="65"/>
      <c r="AFH10" s="65"/>
      <c r="AFI10" s="65"/>
      <c r="AFJ10" s="65"/>
      <c r="AFK10" s="65"/>
      <c r="AFL10" s="65"/>
      <c r="AFM10" s="65"/>
      <c r="AFN10" s="65"/>
      <c r="AFO10" s="65"/>
      <c r="AFP10" s="65"/>
      <c r="AFQ10" s="65"/>
      <c r="AFR10" s="65"/>
      <c r="AFS10" s="65"/>
      <c r="AFT10" s="65"/>
      <c r="AFU10" s="65"/>
      <c r="AFV10" s="65"/>
      <c r="AFW10" s="65"/>
      <c r="AFX10" s="65"/>
      <c r="AFY10" s="65"/>
      <c r="AFZ10" s="65"/>
      <c r="AGA10" s="65"/>
      <c r="AGB10" s="65"/>
      <c r="AGC10" s="65"/>
      <c r="AGD10" s="65"/>
      <c r="AGE10" s="65"/>
      <c r="AGF10" s="65"/>
      <c r="AGG10" s="65"/>
      <c r="AGH10" s="65"/>
      <c r="AGI10" s="65"/>
      <c r="AGJ10" s="65"/>
      <c r="AGK10" s="65"/>
      <c r="AGL10" s="65"/>
      <c r="AGM10" s="65"/>
      <c r="AGN10" s="65"/>
      <c r="AGO10" s="65"/>
      <c r="AGP10" s="65"/>
      <c r="AGQ10" s="65"/>
      <c r="AGR10" s="65"/>
      <c r="AGS10" s="65"/>
      <c r="AGT10" s="65"/>
      <c r="AGU10" s="65"/>
      <c r="AGV10" s="65"/>
      <c r="AGW10" s="65"/>
      <c r="AGX10" s="65"/>
      <c r="AGY10" s="65"/>
      <c r="AGZ10" s="65"/>
      <c r="AHA10" s="65"/>
      <c r="AHB10" s="65"/>
      <c r="AHC10" s="65"/>
      <c r="AHD10" s="65"/>
      <c r="AHE10" s="65"/>
      <c r="AHF10" s="65"/>
      <c r="AHG10" s="65"/>
      <c r="AHH10" s="65"/>
      <c r="AHI10" s="65"/>
      <c r="AHJ10" s="65"/>
      <c r="AHK10" s="65"/>
      <c r="AHL10" s="65"/>
      <c r="AHM10" s="65"/>
      <c r="AHN10" s="65"/>
      <c r="AHO10" s="65"/>
      <c r="AHP10" s="65"/>
      <c r="AHQ10" s="65"/>
      <c r="AHR10" s="65"/>
      <c r="AHS10" s="65"/>
      <c r="AHT10" s="65"/>
      <c r="AHU10" s="65"/>
      <c r="AHV10" s="65"/>
      <c r="AHW10" s="65"/>
      <c r="AHX10" s="65"/>
      <c r="AHY10" s="65"/>
      <c r="AHZ10" s="65"/>
      <c r="AIA10" s="65"/>
      <c r="AIB10" s="65"/>
      <c r="AIC10" s="65"/>
      <c r="AID10" s="65"/>
      <c r="AIE10" s="65"/>
      <c r="AIF10" s="65"/>
      <c r="AIG10" s="65"/>
      <c r="AIH10" s="65"/>
      <c r="AII10" s="65"/>
      <c r="AIJ10" s="65"/>
      <c r="AIK10" s="65"/>
      <c r="AIL10" s="65"/>
      <c r="AIM10" s="65"/>
      <c r="AIN10" s="65"/>
      <c r="AIO10" s="65"/>
      <c r="AIP10" s="65"/>
      <c r="AIQ10" s="65"/>
      <c r="AIR10" s="65"/>
      <c r="AIS10" s="65"/>
      <c r="AIT10" s="65"/>
      <c r="AIU10" s="65"/>
      <c r="AIV10" s="65"/>
      <c r="AIW10" s="65"/>
      <c r="AIX10" s="65"/>
      <c r="AIY10" s="65"/>
      <c r="AIZ10" s="65"/>
      <c r="AJA10" s="65"/>
      <c r="AJB10" s="65"/>
      <c r="AJC10" s="65"/>
      <c r="AJD10" s="65"/>
      <c r="AJE10" s="65"/>
      <c r="AJF10" s="65"/>
      <c r="AJG10" s="65"/>
      <c r="AJH10" s="65"/>
      <c r="AJI10" s="65"/>
      <c r="AJJ10" s="65"/>
      <c r="AJK10" s="65"/>
      <c r="AJL10" s="65"/>
      <c r="AJM10" s="65"/>
      <c r="AJN10" s="65"/>
      <c r="AJO10" s="65"/>
      <c r="AJP10" s="65"/>
      <c r="AJQ10" s="65"/>
      <c r="AJR10" s="65"/>
      <c r="AJS10" s="65"/>
      <c r="AJT10" s="65"/>
      <c r="AJU10" s="65"/>
      <c r="AJV10" s="65"/>
      <c r="AJW10" s="65"/>
      <c r="AJX10" s="65"/>
      <c r="AJY10" s="65"/>
      <c r="AJZ10" s="65"/>
      <c r="AKA10" s="65"/>
      <c r="AKB10" s="65"/>
      <c r="AKC10" s="65"/>
      <c r="AKD10" s="65"/>
      <c r="AKE10" s="65"/>
      <c r="AKF10" s="65"/>
      <c r="AKG10" s="65"/>
      <c r="AKH10" s="65"/>
      <c r="AKI10" s="65"/>
      <c r="AKJ10" s="65"/>
      <c r="AKK10" s="65"/>
      <c r="AKL10" s="65"/>
      <c r="AKM10" s="65"/>
      <c r="AKN10" s="65"/>
      <c r="AKO10" s="65"/>
      <c r="AKP10" s="65"/>
      <c r="AKQ10" s="65"/>
      <c r="AKR10" s="65"/>
      <c r="AKS10" s="65"/>
      <c r="AKT10" s="65"/>
      <c r="AKU10" s="65"/>
      <c r="AKV10" s="65"/>
      <c r="AKW10" s="65"/>
      <c r="AKX10" s="65"/>
      <c r="AKY10" s="65"/>
      <c r="AKZ10" s="65"/>
      <c r="ALA10" s="65"/>
      <c r="ALB10" s="65"/>
      <c r="ALC10" s="65"/>
      <c r="ALD10" s="65"/>
      <c r="ALE10" s="65"/>
      <c r="ALF10" s="65"/>
      <c r="ALG10" s="65"/>
      <c r="ALH10" s="65"/>
      <c r="ALI10" s="65"/>
      <c r="ALJ10" s="65"/>
      <c r="ALK10" s="65"/>
      <c r="ALL10" s="65"/>
      <c r="ALM10" s="65"/>
      <c r="ALN10" s="65"/>
      <c r="ALO10" s="65"/>
      <c r="ALP10" s="65"/>
      <c r="ALQ10" s="65"/>
      <c r="ALR10" s="65"/>
      <c r="ALS10" s="65"/>
      <c r="ALT10" s="65"/>
      <c r="ALU10" s="65"/>
      <c r="ALV10" s="65"/>
      <c r="ALW10" s="65"/>
      <c r="ALX10" s="65"/>
      <c r="ALY10" s="65"/>
      <c r="ALZ10" s="65"/>
      <c r="AMA10" s="65"/>
      <c r="AMB10" s="65"/>
      <c r="AMC10" s="65"/>
      <c r="AMD10" s="65"/>
      <c r="AME10" s="65"/>
      <c r="AMF10" s="65"/>
      <c r="AMG10" s="65"/>
      <c r="AMH10" s="65"/>
      <c r="AMI10" s="65"/>
      <c r="AMJ10" s="65"/>
      <c r="AMK10" s="65"/>
      <c r="AML10" s="65"/>
      <c r="AMM10" s="65"/>
      <c r="AMN10" s="65"/>
      <c r="AMO10" s="65"/>
      <c r="AMP10" s="65"/>
      <c r="AMQ10" s="65"/>
      <c r="AMR10" s="65"/>
      <c r="AMS10" s="65"/>
      <c r="AMT10" s="65"/>
      <c r="AMU10" s="65"/>
      <c r="AMV10" s="65"/>
      <c r="AMW10" s="65"/>
      <c r="AMX10" s="65"/>
      <c r="AMY10" s="65"/>
      <c r="AMZ10" s="65"/>
      <c r="ANA10" s="65"/>
      <c r="ANB10" s="65"/>
      <c r="ANC10" s="65"/>
      <c r="AND10" s="65"/>
      <c r="ANE10" s="65"/>
      <c r="ANF10" s="65"/>
      <c r="ANG10" s="65"/>
      <c r="ANH10" s="65"/>
      <c r="ANI10" s="65"/>
      <c r="ANJ10" s="65"/>
      <c r="ANK10" s="65"/>
      <c r="ANL10" s="65"/>
      <c r="ANM10" s="65"/>
      <c r="ANN10" s="65"/>
      <c r="ANO10" s="65"/>
      <c r="ANP10" s="65"/>
      <c r="ANQ10" s="65"/>
      <c r="ANR10" s="65"/>
    </row>
    <row r="11" spans="1:1060" ht="88.8" customHeight="1" thickTop="1" thickBot="1">
      <c r="A11" s="207" t="s">
        <v>614</v>
      </c>
      <c r="B11" s="207" t="s">
        <v>793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65"/>
      <c r="IP11" s="65"/>
      <c r="IQ11" s="65"/>
      <c r="IR11" s="65"/>
      <c r="IS11" s="65"/>
      <c r="IT11" s="65"/>
      <c r="IU11" s="65"/>
      <c r="IV11" s="65"/>
      <c r="IW11" s="65"/>
      <c r="IX11" s="65"/>
      <c r="IY11" s="65"/>
      <c r="IZ11" s="65"/>
      <c r="JA11" s="65"/>
      <c r="JB11" s="65"/>
      <c r="JC11" s="65"/>
      <c r="JD11" s="65"/>
      <c r="JE11" s="65"/>
      <c r="JF11" s="65"/>
      <c r="JG11" s="65"/>
      <c r="JH11" s="65"/>
      <c r="JI11" s="65"/>
      <c r="JJ11" s="65"/>
      <c r="JK11" s="65"/>
      <c r="JL11" s="65"/>
      <c r="JM11" s="65"/>
      <c r="JN11" s="65"/>
      <c r="JO11" s="65"/>
      <c r="JP11" s="65"/>
      <c r="JQ11" s="65"/>
      <c r="JR11" s="65"/>
      <c r="JS11" s="65"/>
      <c r="JT11" s="65"/>
      <c r="JU11" s="65"/>
      <c r="JV11" s="65"/>
      <c r="JW11" s="65"/>
      <c r="JX11" s="65"/>
      <c r="JY11" s="65"/>
      <c r="JZ11" s="65"/>
      <c r="KA11" s="65"/>
      <c r="KB11" s="65"/>
      <c r="KC11" s="65"/>
      <c r="KD11" s="65"/>
      <c r="KE11" s="65"/>
      <c r="KF11" s="65"/>
      <c r="KG11" s="65"/>
      <c r="KH11" s="65"/>
      <c r="KI11" s="65"/>
      <c r="KJ11" s="65"/>
      <c r="KK11" s="65"/>
      <c r="KL11" s="65"/>
      <c r="KM11" s="65"/>
      <c r="KN11" s="65"/>
      <c r="KO11" s="65"/>
      <c r="KP11" s="65"/>
      <c r="KQ11" s="65"/>
      <c r="KR11" s="65"/>
      <c r="KS11" s="65"/>
      <c r="KT11" s="65"/>
      <c r="KU11" s="65"/>
      <c r="KV11" s="65"/>
      <c r="KW11" s="65"/>
      <c r="KX11" s="65"/>
      <c r="KY11" s="65"/>
      <c r="KZ11" s="65"/>
      <c r="LA11" s="65"/>
      <c r="LB11" s="65"/>
      <c r="LC11" s="65"/>
      <c r="LD11" s="65"/>
      <c r="LE11" s="65"/>
      <c r="LF11" s="65"/>
      <c r="LG11" s="65"/>
      <c r="LH11" s="65"/>
      <c r="LI11" s="65"/>
      <c r="LJ11" s="65"/>
      <c r="LK11" s="65"/>
      <c r="LL11" s="65"/>
      <c r="LM11" s="65"/>
      <c r="LN11" s="65"/>
      <c r="LO11" s="65"/>
      <c r="LP11" s="65"/>
      <c r="LQ11" s="65"/>
      <c r="LR11" s="65"/>
      <c r="LS11" s="65"/>
      <c r="LT11" s="65"/>
      <c r="LU11" s="65"/>
      <c r="LV11" s="65"/>
      <c r="LW11" s="65"/>
      <c r="LX11" s="65"/>
      <c r="LY11" s="65"/>
      <c r="LZ11" s="65"/>
      <c r="MA11" s="65"/>
      <c r="MB11" s="65"/>
      <c r="MC11" s="65"/>
      <c r="MD11" s="65"/>
      <c r="ME11" s="65"/>
      <c r="MF11" s="65"/>
      <c r="MG11" s="65"/>
      <c r="MH11" s="65"/>
      <c r="MI11" s="65"/>
      <c r="MJ11" s="65"/>
      <c r="MK11" s="65"/>
      <c r="ML11" s="65"/>
      <c r="MM11" s="65"/>
      <c r="MN11" s="65"/>
      <c r="MO11" s="65"/>
      <c r="MP11" s="65"/>
      <c r="MQ11" s="65"/>
      <c r="MR11" s="65"/>
      <c r="MS11" s="65"/>
      <c r="MT11" s="65"/>
      <c r="MU11" s="65"/>
      <c r="MV11" s="65"/>
      <c r="MW11" s="65"/>
      <c r="MX11" s="65"/>
      <c r="MY11" s="65"/>
      <c r="MZ11" s="65"/>
      <c r="NA11" s="65"/>
      <c r="NB11" s="65"/>
      <c r="NC11" s="65"/>
      <c r="ND11" s="65"/>
      <c r="NE11" s="65"/>
      <c r="NF11" s="65"/>
      <c r="NG11" s="65"/>
      <c r="NH11" s="65"/>
      <c r="NI11" s="65"/>
      <c r="NJ11" s="65"/>
      <c r="NK11" s="65"/>
      <c r="NL11" s="65"/>
      <c r="NM11" s="65"/>
      <c r="NN11" s="65"/>
      <c r="NO11" s="65"/>
      <c r="NP11" s="65"/>
      <c r="NQ11" s="65"/>
      <c r="NR11" s="65"/>
      <c r="NS11" s="65"/>
      <c r="NT11" s="65"/>
      <c r="NU11" s="65"/>
      <c r="NV11" s="65"/>
      <c r="NW11" s="65"/>
      <c r="NX11" s="65"/>
      <c r="NY11" s="65"/>
      <c r="NZ11" s="65"/>
      <c r="OA11" s="65"/>
      <c r="OB11" s="65"/>
      <c r="OC11" s="65"/>
      <c r="OD11" s="65"/>
      <c r="OE11" s="65"/>
      <c r="OF11" s="65"/>
      <c r="OG11" s="65"/>
      <c r="OH11" s="65"/>
      <c r="OI11" s="65"/>
      <c r="OJ11" s="65"/>
      <c r="OK11" s="65"/>
      <c r="OL11" s="65"/>
      <c r="OM11" s="65"/>
      <c r="ON11" s="65"/>
      <c r="OO11" s="65"/>
      <c r="OP11" s="65"/>
      <c r="OQ11" s="65"/>
      <c r="OR11" s="65"/>
      <c r="OS11" s="65"/>
      <c r="OT11" s="65"/>
      <c r="OU11" s="65"/>
      <c r="OV11" s="65"/>
      <c r="OW11" s="65"/>
      <c r="OX11" s="65"/>
      <c r="OY11" s="65"/>
      <c r="OZ11" s="65"/>
      <c r="PA11" s="65"/>
      <c r="PB11" s="65"/>
      <c r="PC11" s="65"/>
      <c r="PD11" s="65"/>
      <c r="PE11" s="65"/>
      <c r="PF11" s="65"/>
      <c r="PG11" s="65"/>
      <c r="PH11" s="65"/>
      <c r="PI11" s="65"/>
      <c r="PJ11" s="65"/>
      <c r="PK11" s="65"/>
      <c r="PL11" s="65"/>
      <c r="PM11" s="65"/>
      <c r="PN11" s="65"/>
      <c r="PO11" s="65"/>
      <c r="PP11" s="65"/>
      <c r="PQ11" s="65"/>
      <c r="PR11" s="65"/>
      <c r="PS11" s="65"/>
      <c r="PT11" s="65"/>
      <c r="PU11" s="65"/>
      <c r="PV11" s="65"/>
      <c r="PW11" s="65"/>
      <c r="PX11" s="65"/>
      <c r="PY11" s="65"/>
      <c r="PZ11" s="65"/>
      <c r="QA11" s="65"/>
      <c r="QB11" s="65"/>
      <c r="QC11" s="65"/>
      <c r="QD11" s="65"/>
      <c r="QE11" s="65"/>
      <c r="QF11" s="65"/>
      <c r="QG11" s="65"/>
      <c r="QH11" s="65"/>
      <c r="QI11" s="65"/>
      <c r="QJ11" s="65"/>
      <c r="QK11" s="65"/>
      <c r="QL11" s="65"/>
      <c r="QM11" s="65"/>
      <c r="QN11" s="65"/>
      <c r="QO11" s="65"/>
      <c r="QP11" s="65"/>
      <c r="QQ11" s="65"/>
      <c r="QR11" s="65"/>
      <c r="QS11" s="65"/>
      <c r="QT11" s="65"/>
      <c r="QU11" s="65"/>
      <c r="QV11" s="65"/>
      <c r="QW11" s="65"/>
      <c r="QX11" s="65"/>
      <c r="QY11" s="65"/>
      <c r="QZ11" s="65"/>
      <c r="RA11" s="65"/>
      <c r="RB11" s="65"/>
      <c r="RC11" s="65"/>
      <c r="RD11" s="65"/>
      <c r="RE11" s="65"/>
      <c r="RF11" s="65"/>
      <c r="RG11" s="65"/>
      <c r="RH11" s="65"/>
      <c r="RI11" s="65"/>
      <c r="RJ11" s="65"/>
      <c r="RK11" s="65"/>
      <c r="RL11" s="65"/>
      <c r="RM11" s="65"/>
      <c r="RN11" s="65"/>
      <c r="RO11" s="65"/>
      <c r="RP11" s="65"/>
      <c r="RQ11" s="65"/>
      <c r="RR11" s="65"/>
      <c r="RS11" s="65"/>
      <c r="RT11" s="65"/>
      <c r="RU11" s="65"/>
      <c r="RV11" s="65"/>
      <c r="RW11" s="65"/>
      <c r="RX11" s="65"/>
      <c r="RY11" s="65"/>
      <c r="RZ11" s="65"/>
      <c r="SA11" s="65"/>
      <c r="SB11" s="65"/>
      <c r="SC11" s="65"/>
      <c r="SD11" s="65"/>
      <c r="SE11" s="65"/>
      <c r="SF11" s="65"/>
      <c r="SG11" s="65"/>
      <c r="SH11" s="65"/>
      <c r="SI11" s="65"/>
      <c r="SJ11" s="65"/>
      <c r="SK11" s="65"/>
      <c r="SL11" s="65"/>
      <c r="SM11" s="65"/>
      <c r="SN11" s="65"/>
      <c r="SO11" s="65"/>
      <c r="SP11" s="65"/>
      <c r="SQ11" s="65"/>
      <c r="SR11" s="65"/>
      <c r="SS11" s="65"/>
      <c r="ST11" s="65"/>
      <c r="SU11" s="65"/>
      <c r="SV11" s="65"/>
      <c r="SW11" s="65"/>
      <c r="SX11" s="65"/>
      <c r="SY11" s="65"/>
      <c r="SZ11" s="65"/>
      <c r="TA11" s="65"/>
      <c r="TB11" s="65"/>
      <c r="TC11" s="65"/>
      <c r="TD11" s="65"/>
      <c r="TE11" s="65"/>
      <c r="TF11" s="65"/>
      <c r="TG11" s="65"/>
      <c r="TH11" s="65"/>
      <c r="TI11" s="65"/>
      <c r="TJ11" s="65"/>
      <c r="TK11" s="65"/>
      <c r="TL11" s="65"/>
      <c r="TM11" s="65"/>
      <c r="TN11" s="65"/>
      <c r="TO11" s="65"/>
      <c r="TP11" s="65"/>
      <c r="TQ11" s="65"/>
      <c r="TR11" s="65"/>
      <c r="TS11" s="65"/>
      <c r="TT11" s="65"/>
      <c r="TU11" s="65"/>
      <c r="TV11" s="65"/>
      <c r="TW11" s="65"/>
      <c r="TX11" s="65"/>
      <c r="TY11" s="65"/>
      <c r="TZ11" s="65"/>
      <c r="UA11" s="65"/>
      <c r="UB11" s="65"/>
      <c r="UC11" s="65"/>
      <c r="UD11" s="65"/>
      <c r="UE11" s="65"/>
      <c r="UF11" s="65"/>
      <c r="UG11" s="65"/>
      <c r="UH11" s="65"/>
      <c r="UI11" s="65"/>
      <c r="UJ11" s="65"/>
      <c r="UK11" s="65"/>
      <c r="UL11" s="65"/>
      <c r="UM11" s="65"/>
      <c r="UN11" s="65"/>
      <c r="UO11" s="65"/>
      <c r="UP11" s="65"/>
      <c r="UQ11" s="65"/>
      <c r="UR11" s="65"/>
      <c r="US11" s="65"/>
      <c r="UT11" s="65"/>
      <c r="UU11" s="65"/>
      <c r="UV11" s="65"/>
      <c r="UW11" s="65"/>
      <c r="UX11" s="65"/>
      <c r="UY11" s="65"/>
      <c r="UZ11" s="65"/>
      <c r="VA11" s="65"/>
      <c r="VB11" s="65"/>
      <c r="VC11" s="65"/>
      <c r="VD11" s="65"/>
      <c r="VE11" s="65"/>
      <c r="VF11" s="65"/>
      <c r="VG11" s="65"/>
      <c r="VH11" s="65"/>
      <c r="VI11" s="65"/>
      <c r="VJ11" s="65"/>
      <c r="VK11" s="65"/>
      <c r="VL11" s="65"/>
      <c r="VM11" s="65"/>
      <c r="VN11" s="65"/>
      <c r="VO11" s="65"/>
      <c r="VP11" s="65"/>
      <c r="VQ11" s="65"/>
      <c r="VR11" s="65"/>
      <c r="VS11" s="65"/>
      <c r="VT11" s="65"/>
      <c r="VU11" s="65"/>
      <c r="VV11" s="65"/>
      <c r="VW11" s="65"/>
      <c r="VX11" s="65"/>
      <c r="VY11" s="65"/>
      <c r="VZ11" s="65"/>
      <c r="WA11" s="65"/>
      <c r="WB11" s="65"/>
      <c r="WC11" s="65"/>
      <c r="WD11" s="65"/>
      <c r="WE11" s="65"/>
      <c r="WF11" s="65"/>
      <c r="WG11" s="65"/>
      <c r="WH11" s="65"/>
      <c r="WI11" s="65"/>
      <c r="WJ11" s="65"/>
      <c r="WK11" s="65"/>
      <c r="WL11" s="65"/>
      <c r="WM11" s="65"/>
      <c r="WN11" s="65"/>
      <c r="WO11" s="65"/>
      <c r="WP11" s="65"/>
      <c r="WQ11" s="65"/>
      <c r="WR11" s="65"/>
      <c r="WS11" s="65"/>
      <c r="WT11" s="65"/>
      <c r="WU11" s="65"/>
      <c r="WV11" s="65"/>
      <c r="WW11" s="65"/>
      <c r="WX11" s="65"/>
      <c r="WY11" s="65"/>
      <c r="WZ11" s="65"/>
      <c r="XA11" s="65"/>
      <c r="XB11" s="65"/>
      <c r="XC11" s="65"/>
      <c r="XD11" s="65"/>
      <c r="XE11" s="65"/>
      <c r="XF11" s="65"/>
      <c r="XG11" s="65"/>
      <c r="XH11" s="65"/>
      <c r="XI11" s="65"/>
      <c r="XJ11" s="65"/>
      <c r="XK11" s="65"/>
      <c r="XL11" s="65"/>
      <c r="XM11" s="65"/>
      <c r="XN11" s="65"/>
      <c r="XO11" s="65"/>
      <c r="XP11" s="65"/>
      <c r="XQ11" s="65"/>
      <c r="XR11" s="65"/>
      <c r="XS11" s="65"/>
      <c r="XT11" s="65"/>
      <c r="XU11" s="65"/>
      <c r="XV11" s="65"/>
      <c r="XW11" s="65"/>
      <c r="XX11" s="65"/>
      <c r="XY11" s="65"/>
      <c r="XZ11" s="65"/>
      <c r="YA11" s="65"/>
      <c r="YB11" s="65"/>
      <c r="YC11" s="65"/>
      <c r="YD11" s="65"/>
      <c r="YE11" s="65"/>
      <c r="YF11" s="65"/>
      <c r="YG11" s="65"/>
      <c r="YH11" s="65"/>
      <c r="YI11" s="65"/>
      <c r="YJ11" s="65"/>
      <c r="YK11" s="65"/>
      <c r="YL11" s="65"/>
      <c r="YM11" s="65"/>
      <c r="YN11" s="65"/>
      <c r="YO11" s="65"/>
      <c r="YP11" s="65"/>
      <c r="YQ11" s="65"/>
      <c r="YR11" s="65"/>
      <c r="YS11" s="65"/>
      <c r="YT11" s="65"/>
      <c r="YU11" s="65"/>
      <c r="YV11" s="65"/>
      <c r="YW11" s="65"/>
      <c r="YX11" s="65"/>
      <c r="YY11" s="65"/>
      <c r="YZ11" s="65"/>
      <c r="ZA11" s="65"/>
      <c r="ZB11" s="65"/>
      <c r="ZC11" s="65"/>
      <c r="ZD11" s="65"/>
      <c r="ZE11" s="65"/>
      <c r="ZF11" s="65"/>
      <c r="ZG11" s="65"/>
      <c r="ZH11" s="65"/>
      <c r="ZI11" s="65"/>
      <c r="ZJ11" s="65"/>
      <c r="ZK11" s="65"/>
      <c r="ZL11" s="65"/>
      <c r="ZM11" s="65"/>
      <c r="ZN11" s="65"/>
      <c r="ZO11" s="65"/>
      <c r="ZP11" s="65"/>
      <c r="ZQ11" s="65"/>
      <c r="ZR11" s="65"/>
      <c r="ZS11" s="65"/>
      <c r="ZT11" s="65"/>
      <c r="ZU11" s="65"/>
      <c r="ZV11" s="65"/>
      <c r="ZW11" s="65"/>
      <c r="ZX11" s="65"/>
      <c r="ZY11" s="65"/>
      <c r="ZZ11" s="65"/>
      <c r="AAA11" s="65"/>
      <c r="AAB11" s="65"/>
      <c r="AAC11" s="65"/>
      <c r="AAD11" s="65"/>
      <c r="AAE11" s="65"/>
      <c r="AAF11" s="65"/>
      <c r="AAG11" s="65"/>
      <c r="AAH11" s="65"/>
      <c r="AAI11" s="65"/>
      <c r="AAJ11" s="65"/>
      <c r="AAK11" s="65"/>
      <c r="AAL11" s="65"/>
      <c r="AAM11" s="65"/>
      <c r="AAN11" s="65"/>
      <c r="AAO11" s="65"/>
      <c r="AAP11" s="65"/>
      <c r="AAQ11" s="65"/>
      <c r="AAR11" s="65"/>
      <c r="AAS11" s="65"/>
      <c r="AAT11" s="65"/>
      <c r="AAU11" s="65"/>
      <c r="AAV11" s="65"/>
      <c r="AAW11" s="65"/>
      <c r="AAX11" s="65"/>
      <c r="AAY11" s="65"/>
      <c r="AAZ11" s="65"/>
      <c r="ABA11" s="65"/>
      <c r="ABB11" s="65"/>
      <c r="ABC11" s="65"/>
      <c r="ABD11" s="65"/>
      <c r="ABE11" s="65"/>
      <c r="ABF11" s="65"/>
      <c r="ABG11" s="65"/>
      <c r="ABH11" s="65"/>
      <c r="ABI11" s="65"/>
      <c r="ABJ11" s="65"/>
      <c r="ABK11" s="65"/>
      <c r="ABL11" s="65"/>
      <c r="ABM11" s="65"/>
      <c r="ABN11" s="65"/>
      <c r="ABO11" s="65"/>
      <c r="ABP11" s="65"/>
      <c r="ABQ11" s="65"/>
      <c r="ABR11" s="65"/>
      <c r="ABS11" s="65"/>
      <c r="ABT11" s="65"/>
      <c r="ABU11" s="65"/>
      <c r="ABV11" s="65"/>
      <c r="ABW11" s="65"/>
      <c r="ABX11" s="65"/>
      <c r="ABY11" s="65"/>
      <c r="ABZ11" s="65"/>
      <c r="ACA11" s="65"/>
      <c r="ACB11" s="65"/>
      <c r="ACC11" s="65"/>
      <c r="ACD11" s="65"/>
      <c r="ACE11" s="65"/>
      <c r="ACF11" s="523" t="s">
        <v>147</v>
      </c>
      <c r="ACG11" s="523"/>
      <c r="ACH11" s="523"/>
      <c r="ACI11" s="523"/>
      <c r="ACJ11" s="523"/>
      <c r="ACK11" s="523"/>
      <c r="ACL11" s="494" t="s">
        <v>600</v>
      </c>
      <c r="ACM11" s="494"/>
      <c r="ACN11" s="494"/>
      <c r="ACO11" s="494"/>
      <c r="ACP11" s="494"/>
      <c r="ACQ11" s="494"/>
      <c r="ACR11" s="494"/>
      <c r="ACS11" s="508" t="s">
        <v>603</v>
      </c>
      <c r="ACT11" s="508"/>
      <c r="ACU11" s="508"/>
      <c r="ACV11" s="508"/>
      <c r="ACW11" s="508"/>
      <c r="ACX11" s="508"/>
      <c r="ACY11" s="508"/>
      <c r="ACZ11" s="508"/>
      <c r="ADA11" s="508"/>
      <c r="ADB11" s="508"/>
      <c r="ADC11" s="508"/>
      <c r="ADD11" s="508"/>
      <c r="ADE11" s="508"/>
      <c r="ADF11" s="508"/>
      <c r="ADG11" s="508"/>
      <c r="ADH11" s="508"/>
      <c r="ADI11" s="508"/>
      <c r="ADJ11" s="508"/>
      <c r="ADK11" s="508"/>
      <c r="ADL11" s="508"/>
      <c r="ADM11" s="508"/>
      <c r="ADN11" s="508"/>
      <c r="ADO11" s="508"/>
      <c r="ADP11" s="508"/>
      <c r="ADQ11" s="508"/>
      <c r="ADR11" s="508"/>
      <c r="ADS11" s="508"/>
      <c r="ADT11" s="508"/>
      <c r="ADU11" s="508"/>
      <c r="ADV11" s="508"/>
      <c r="ADW11" s="508"/>
      <c r="ADX11" s="508"/>
      <c r="ADY11" s="508"/>
      <c r="ADZ11" s="508"/>
      <c r="AEA11" s="508"/>
      <c r="AEB11" s="508"/>
      <c r="AEC11" s="508"/>
      <c r="AED11" s="508"/>
      <c r="AEE11" s="508"/>
      <c r="AEF11" s="508"/>
      <c r="AEG11" s="508"/>
      <c r="AEH11" s="508"/>
      <c r="AEI11" s="508"/>
      <c r="AEJ11" s="508"/>
      <c r="AEK11" s="508"/>
      <c r="AEL11" s="508"/>
      <c r="AEM11" s="508"/>
      <c r="AEN11" s="508"/>
      <c r="AEO11" s="508"/>
      <c r="AEP11" s="508"/>
      <c r="AEQ11" s="508"/>
      <c r="AER11" s="508"/>
      <c r="AES11" s="508"/>
      <c r="AET11" s="508"/>
      <c r="AEU11" s="508"/>
      <c r="AEV11" s="508"/>
      <c r="AEW11" s="508"/>
      <c r="AEX11" s="508"/>
      <c r="AEY11" s="508"/>
      <c r="AEZ11" s="508"/>
      <c r="AFA11" s="508"/>
      <c r="AFB11" s="508"/>
      <c r="AFC11" s="508"/>
      <c r="AFD11" s="508"/>
      <c r="AFE11" s="508"/>
      <c r="AFF11" s="508"/>
      <c r="AFG11" s="508"/>
      <c r="AFH11" s="547" t="s">
        <v>602</v>
      </c>
      <c r="AFI11" s="547"/>
      <c r="AFJ11" s="547"/>
      <c r="AFK11" s="547"/>
      <c r="AFL11" s="547"/>
      <c r="AFM11" s="547"/>
      <c r="AFN11" s="547"/>
      <c r="AFO11" s="547"/>
      <c r="AFP11" s="547"/>
      <c r="AFQ11" s="547"/>
      <c r="AFR11" s="547"/>
      <c r="AFS11" s="547"/>
      <c r="AFT11" s="547"/>
      <c r="AFU11" s="547"/>
      <c r="AFV11" s="547"/>
      <c r="AFW11" s="547"/>
      <c r="AFX11" s="547"/>
      <c r="AFY11" s="547"/>
      <c r="AFZ11" s="547"/>
      <c r="AGA11" s="547"/>
      <c r="AGB11" s="547"/>
      <c r="AGC11" s="547"/>
      <c r="AGD11" s="547"/>
      <c r="AGE11" s="547"/>
      <c r="AGF11" s="547"/>
      <c r="AGG11" s="547"/>
      <c r="AGH11" s="547"/>
      <c r="AGI11" s="547"/>
      <c r="AGJ11" s="547"/>
      <c r="AGK11" s="547"/>
      <c r="AGL11" s="547"/>
      <c r="AGM11" s="547"/>
      <c r="AGN11" s="547"/>
      <c r="AGO11" s="547"/>
      <c r="AGP11" s="547"/>
      <c r="AGQ11" s="547"/>
      <c r="AGR11" s="547"/>
      <c r="AGS11" s="547"/>
      <c r="AGT11" s="547"/>
      <c r="AGU11" s="547"/>
      <c r="AGV11" s="547"/>
      <c r="AGW11" s="547"/>
      <c r="AGX11" s="547"/>
      <c r="AGY11" s="547"/>
      <c r="AGZ11" s="547"/>
      <c r="AHA11" s="547"/>
      <c r="AHB11" s="547"/>
      <c r="AHC11" s="547"/>
      <c r="AHD11" s="547"/>
      <c r="AHE11" s="547"/>
      <c r="AHF11" s="547"/>
      <c r="AHG11" s="547"/>
      <c r="AHH11" s="547"/>
      <c r="AHI11" s="547"/>
      <c r="AHJ11" s="547"/>
      <c r="AHK11" s="547"/>
      <c r="AHL11" s="547"/>
      <c r="AHM11" s="547"/>
      <c r="AHN11" s="547"/>
      <c r="AHO11" s="547"/>
      <c r="AHP11" s="547"/>
      <c r="AHQ11" s="547"/>
      <c r="AHR11" s="547"/>
      <c r="AHS11" s="547"/>
      <c r="AHT11" s="547"/>
      <c r="AHU11" s="547"/>
      <c r="AHV11" s="547"/>
      <c r="AHW11" s="548" t="s">
        <v>601</v>
      </c>
      <c r="AHX11" s="548"/>
      <c r="AHY11" s="548"/>
      <c r="AHZ11" s="548"/>
      <c r="AIA11" s="548"/>
      <c r="AIB11" s="548"/>
      <c r="AIC11" s="548"/>
      <c r="AID11" s="548"/>
      <c r="AIE11" s="548"/>
      <c r="AIF11" s="548"/>
      <c r="AIG11" s="548"/>
      <c r="AIH11" s="548"/>
      <c r="AII11" s="548"/>
      <c r="AIJ11" s="548"/>
      <c r="AIK11" s="548"/>
      <c r="AIL11" s="548"/>
      <c r="AIM11" s="548"/>
      <c r="AIN11" s="548"/>
      <c r="AIO11" s="548"/>
      <c r="AIP11" s="548"/>
      <c r="AIQ11" s="548"/>
      <c r="AIR11" s="548"/>
      <c r="AIS11" s="548"/>
      <c r="AIT11" s="548"/>
      <c r="AIU11" s="548"/>
      <c r="AIV11" s="548"/>
      <c r="AIW11" s="548"/>
      <c r="AIX11" s="548"/>
      <c r="AIY11" s="548"/>
      <c r="AIZ11" s="548"/>
      <c r="AJA11" s="548"/>
      <c r="AJB11" s="548"/>
      <c r="AJC11" s="548"/>
      <c r="AJD11" s="548"/>
      <c r="AJE11" s="548"/>
      <c r="AJF11" s="548"/>
      <c r="AJG11" s="548"/>
      <c r="AJH11" s="548"/>
      <c r="AJI11" s="548"/>
      <c r="AJJ11" s="548"/>
      <c r="AJK11" s="548"/>
      <c r="AJL11" s="548"/>
      <c r="AJM11" s="548"/>
      <c r="AJN11" s="548"/>
      <c r="AJO11" s="548"/>
      <c r="AJP11" s="548"/>
      <c r="AJQ11" s="548"/>
      <c r="AJR11" s="548"/>
      <c r="AJS11" s="548"/>
      <c r="AJT11" s="548"/>
      <c r="AJU11" s="548"/>
      <c r="AJV11" s="548"/>
      <c r="AJW11" s="548"/>
      <c r="AJX11" s="548"/>
      <c r="AJY11" s="548"/>
      <c r="AJZ11" s="548"/>
      <c r="AKA11" s="548"/>
      <c r="AKB11" s="548"/>
      <c r="AKC11" s="548"/>
      <c r="AKD11" s="548"/>
      <c r="AKE11" s="548"/>
      <c r="AKF11" s="548"/>
      <c r="AKG11" s="548"/>
      <c r="AKH11" s="548"/>
      <c r="AKI11" s="548"/>
      <c r="AKJ11" s="548"/>
      <c r="AKK11" s="548"/>
      <c r="AKL11" s="517" t="s">
        <v>795</v>
      </c>
      <c r="AKM11" s="517"/>
      <c r="AKN11" s="517"/>
      <c r="AKO11" s="517"/>
      <c r="AKP11" s="517"/>
      <c r="AKQ11" s="517"/>
      <c r="AKR11" s="517"/>
      <c r="AKS11" s="517"/>
      <c r="AKT11" s="517"/>
      <c r="AKU11" s="517"/>
      <c r="AKV11" s="517"/>
      <c r="AKW11" s="517"/>
      <c r="AKX11" s="517"/>
      <c r="AKY11" s="517"/>
      <c r="AKZ11" s="65"/>
      <c r="ALA11" s="65"/>
      <c r="ALB11" s="65"/>
      <c r="ALC11" s="65"/>
      <c r="ALD11" s="65"/>
      <c r="ALE11" s="65"/>
      <c r="ALF11" s="65"/>
      <c r="ALG11" s="65"/>
      <c r="ALH11" s="65"/>
      <c r="ALI11" s="65"/>
      <c r="ALJ11" s="65"/>
      <c r="ALK11" s="65"/>
      <c r="ALL11" s="65"/>
      <c r="ALM11" s="65"/>
      <c r="ALN11" s="65"/>
      <c r="ALO11" s="65"/>
      <c r="ALP11" s="65"/>
      <c r="ALQ11" s="65"/>
      <c r="ALR11" s="65"/>
      <c r="ALS11" s="65"/>
      <c r="ALT11" s="65"/>
      <c r="ALU11" s="65"/>
      <c r="ALV11" s="65"/>
      <c r="ALW11" s="65"/>
      <c r="ALX11" s="65"/>
      <c r="ALY11" s="65"/>
      <c r="ALZ11" s="65"/>
      <c r="AMA11" s="65"/>
      <c r="AMB11" s="65"/>
      <c r="AMC11" s="65"/>
      <c r="AMD11" s="65"/>
      <c r="AME11" s="65"/>
      <c r="AMF11" s="65"/>
      <c r="AMG11" s="65"/>
      <c r="AMH11" s="65"/>
      <c r="AMI11" s="65"/>
      <c r="AMJ11" s="65"/>
      <c r="AMK11" s="65"/>
      <c r="AML11" s="65"/>
      <c r="AMM11" s="65"/>
      <c r="AMN11" s="65"/>
      <c r="AMO11" s="65"/>
      <c r="AMP11" s="65"/>
      <c r="AMQ11" s="65"/>
      <c r="AMR11" s="65"/>
      <c r="AMS11" s="65"/>
      <c r="AMT11" s="65"/>
      <c r="AMU11" s="65"/>
      <c r="AMV11" s="65"/>
      <c r="AMW11" s="65"/>
      <c r="AMX11" s="65"/>
      <c r="AMY11" s="65"/>
      <c r="AMZ11" s="65"/>
      <c r="ANA11" s="65"/>
      <c r="ANB11" s="65"/>
      <c r="ANC11" s="65"/>
      <c r="AND11" s="65"/>
      <c r="ANE11" s="65"/>
      <c r="ANF11" s="65"/>
      <c r="ANG11" s="65"/>
      <c r="ANH11" s="65"/>
      <c r="ANI11" s="65"/>
      <c r="ANJ11" s="65"/>
      <c r="ANK11" s="65"/>
      <c r="ANL11" s="65"/>
      <c r="ANM11" s="65"/>
      <c r="ANN11" s="65"/>
      <c r="ANO11" s="65"/>
      <c r="ANP11" s="65"/>
      <c r="ANQ11" s="65"/>
      <c r="ANR11" s="65"/>
    </row>
    <row r="12" spans="1:1060" ht="15" thickTop="1"/>
  </sheetData>
  <mergeCells count="254">
    <mergeCell ref="AKL11:AKY11"/>
    <mergeCell ref="GI2:GL2"/>
    <mergeCell ref="AHG2:AHI2"/>
    <mergeCell ref="AIL2:AIO2"/>
    <mergeCell ref="AKU2:AKX2"/>
    <mergeCell ref="ANM2:ANO2"/>
    <mergeCell ref="ANR2:ANT2"/>
    <mergeCell ref="MD3:MI3"/>
    <mergeCell ref="LN2:LQ2"/>
    <mergeCell ref="JT2:JX2"/>
    <mergeCell ref="ACF11:ACK11"/>
    <mergeCell ref="ACL11:ACR11"/>
    <mergeCell ref="ACS11:AFG11"/>
    <mergeCell ref="AFH11:AHV11"/>
    <mergeCell ref="AHW11:AKK11"/>
    <mergeCell ref="ADH9:ADM9"/>
    <mergeCell ref="ADN9:ADW9"/>
    <mergeCell ref="ADX9:AEL9"/>
    <mergeCell ref="ZQ10:ZV10"/>
    <mergeCell ref="ZW10:AAB10"/>
    <mergeCell ref="AAC10:AAP10"/>
    <mergeCell ref="AAQ10:ABE10"/>
    <mergeCell ref="ABF10:ACC10"/>
    <mergeCell ref="ACD10:ADC10"/>
    <mergeCell ref="ADD10:ADJ10"/>
    <mergeCell ref="ADK10:ADN10"/>
    <mergeCell ref="ADO10:ADT10"/>
    <mergeCell ref="MO8:OC8"/>
    <mergeCell ref="OG8:PZ8"/>
    <mergeCell ref="QF8:QJ8"/>
    <mergeCell ref="QK8:QR8"/>
    <mergeCell ref="QS8:QY8"/>
    <mergeCell ref="QZ8:RH8"/>
    <mergeCell ref="RK8:RO8"/>
    <mergeCell ref="RT8:SB8"/>
    <mergeCell ref="SG8:SU8"/>
    <mergeCell ref="SW8:TM8"/>
    <mergeCell ref="TO8:VW8"/>
    <mergeCell ref="VZ8:XD8"/>
    <mergeCell ref="XE8:XK8"/>
    <mergeCell ref="TX7:UD7"/>
    <mergeCell ref="UE7:UN7"/>
    <mergeCell ref="UR7:VP7"/>
    <mergeCell ref="VS7:WB7"/>
    <mergeCell ref="WC7:WG7"/>
    <mergeCell ref="WH7:WU7"/>
    <mergeCell ref="WV7:ZF7"/>
    <mergeCell ref="QC6:QM6"/>
    <mergeCell ref="QO6:QQ6"/>
    <mergeCell ref="MO7:OC7"/>
    <mergeCell ref="OE7:PX7"/>
    <mergeCell ref="QC7:QE7"/>
    <mergeCell ref="QF7:QL7"/>
    <mergeCell ref="QM7:QX7"/>
    <mergeCell ref="QY7:RE7"/>
    <mergeCell ref="RF7:RG7"/>
    <mergeCell ref="RH7:RL7"/>
    <mergeCell ref="RO7:RZ7"/>
    <mergeCell ref="CB5:CM5"/>
    <mergeCell ref="CQ5:CS5"/>
    <mergeCell ref="HZ5:IR5"/>
    <mergeCell ref="IU5:JF5"/>
    <mergeCell ref="JI5:JK5"/>
    <mergeCell ref="JD6:JJ6"/>
    <mergeCell ref="JK6:KP6"/>
    <mergeCell ref="KQ6:LD6"/>
    <mergeCell ref="OL6:PC6"/>
    <mergeCell ref="C1:I1"/>
    <mergeCell ref="J1:P1"/>
    <mergeCell ref="Q1:W1"/>
    <mergeCell ref="X1:AD1"/>
    <mergeCell ref="AE1:AK1"/>
    <mergeCell ref="AL1:AR1"/>
    <mergeCell ref="FA2:FE2"/>
    <mergeCell ref="MO2:NW2"/>
    <mergeCell ref="OL2:QB2"/>
    <mergeCell ref="CI1:CO1"/>
    <mergeCell ref="CP1:CV1"/>
    <mergeCell ref="CW1:DC1"/>
    <mergeCell ref="DD1:DJ1"/>
    <mergeCell ref="DK1:DQ1"/>
    <mergeCell ref="DR1:DX1"/>
    <mergeCell ref="AS1:AY1"/>
    <mergeCell ref="AZ1:BF1"/>
    <mergeCell ref="BG1:BM1"/>
    <mergeCell ref="BN1:BT1"/>
    <mergeCell ref="BU1:CA1"/>
    <mergeCell ref="CB1:CH1"/>
    <mergeCell ref="FO1:FU1"/>
    <mergeCell ref="FV1:GB1"/>
    <mergeCell ref="GC1:GI1"/>
    <mergeCell ref="GJ1:GP1"/>
    <mergeCell ref="GQ1:GW1"/>
    <mergeCell ref="GX1:HD1"/>
    <mergeCell ref="DY1:EE1"/>
    <mergeCell ref="EF1:EL1"/>
    <mergeCell ref="EM1:ES1"/>
    <mergeCell ref="ET1:EZ1"/>
    <mergeCell ref="FA1:FG1"/>
    <mergeCell ref="FH1:FN1"/>
    <mergeCell ref="IU1:JA1"/>
    <mergeCell ref="JB1:JH1"/>
    <mergeCell ref="JI1:JO1"/>
    <mergeCell ref="JP1:JV1"/>
    <mergeCell ref="JW1:KC1"/>
    <mergeCell ref="KD1:KJ1"/>
    <mergeCell ref="HE1:HK1"/>
    <mergeCell ref="HL1:HR1"/>
    <mergeCell ref="HS1:HY1"/>
    <mergeCell ref="HZ1:IF1"/>
    <mergeCell ref="IG1:IM1"/>
    <mergeCell ref="IN1:IT1"/>
    <mergeCell ref="MA1:MG1"/>
    <mergeCell ref="MH1:MN1"/>
    <mergeCell ref="MO1:MU1"/>
    <mergeCell ref="MV1:NB1"/>
    <mergeCell ref="NC1:NI1"/>
    <mergeCell ref="NJ1:NP1"/>
    <mergeCell ref="KK1:KQ1"/>
    <mergeCell ref="KR1:KX1"/>
    <mergeCell ref="KY1:LE1"/>
    <mergeCell ref="LF1:LL1"/>
    <mergeCell ref="LM1:LS1"/>
    <mergeCell ref="LT1:LZ1"/>
    <mergeCell ref="PG1:PM1"/>
    <mergeCell ref="PN1:PT1"/>
    <mergeCell ref="PU1:QA1"/>
    <mergeCell ref="QB1:QH1"/>
    <mergeCell ref="QI1:QO1"/>
    <mergeCell ref="QP1:QV1"/>
    <mergeCell ref="NQ1:NW1"/>
    <mergeCell ref="NX1:OD1"/>
    <mergeCell ref="OE1:OK1"/>
    <mergeCell ref="OL1:OR1"/>
    <mergeCell ref="OS1:OY1"/>
    <mergeCell ref="OZ1:PF1"/>
    <mergeCell ref="SM1:SS1"/>
    <mergeCell ref="ST1:SZ1"/>
    <mergeCell ref="TA1:TG1"/>
    <mergeCell ref="TH1:TN1"/>
    <mergeCell ref="TO1:TU1"/>
    <mergeCell ref="TV1:UB1"/>
    <mergeCell ref="QW1:RC1"/>
    <mergeCell ref="RD1:RJ1"/>
    <mergeCell ref="RK1:RQ1"/>
    <mergeCell ref="RR1:RX1"/>
    <mergeCell ref="RY1:SE1"/>
    <mergeCell ref="SF1:SL1"/>
    <mergeCell ref="VS1:VY1"/>
    <mergeCell ref="VZ1:WF1"/>
    <mergeCell ref="WG1:WM1"/>
    <mergeCell ref="WN1:WT1"/>
    <mergeCell ref="WU1:XA1"/>
    <mergeCell ref="XB1:XH1"/>
    <mergeCell ref="UC1:UI1"/>
    <mergeCell ref="UJ1:UP1"/>
    <mergeCell ref="UQ1:UW1"/>
    <mergeCell ref="UX1:VD1"/>
    <mergeCell ref="VE1:VK1"/>
    <mergeCell ref="VL1:VR1"/>
    <mergeCell ref="YY1:ZE1"/>
    <mergeCell ref="ZF1:ZL1"/>
    <mergeCell ref="ZM1:ZS1"/>
    <mergeCell ref="ZT1:ZZ1"/>
    <mergeCell ref="AAA1:AAG1"/>
    <mergeCell ref="AAH1:AAN1"/>
    <mergeCell ref="XI1:XO1"/>
    <mergeCell ref="XP1:XV1"/>
    <mergeCell ref="XW1:YC1"/>
    <mergeCell ref="YD1:YJ1"/>
    <mergeCell ref="YK1:YQ1"/>
    <mergeCell ref="YR1:YX1"/>
    <mergeCell ref="ACE1:ACK1"/>
    <mergeCell ref="ACL1:ACR1"/>
    <mergeCell ref="ACS1:ACY1"/>
    <mergeCell ref="ACZ1:ADF1"/>
    <mergeCell ref="ADG1:ADM1"/>
    <mergeCell ref="ADN1:ADT1"/>
    <mergeCell ref="AAO1:AAU1"/>
    <mergeCell ref="AAV1:ABB1"/>
    <mergeCell ref="ABC1:ABI1"/>
    <mergeCell ref="ABJ1:ABP1"/>
    <mergeCell ref="ABQ1:ABW1"/>
    <mergeCell ref="ABX1:ACD1"/>
    <mergeCell ref="AFK1:AFQ1"/>
    <mergeCell ref="AFR1:AFX1"/>
    <mergeCell ref="AFY1:AGE1"/>
    <mergeCell ref="AGF1:AGL1"/>
    <mergeCell ref="AGM1:AGS1"/>
    <mergeCell ref="AGT1:AGZ1"/>
    <mergeCell ref="ADU1:AEA1"/>
    <mergeCell ref="AEB1:AEH1"/>
    <mergeCell ref="AEI1:AEO1"/>
    <mergeCell ref="AEP1:AEV1"/>
    <mergeCell ref="AEW1:AFC1"/>
    <mergeCell ref="AFD1:AFJ1"/>
    <mergeCell ref="AIQ1:AIW1"/>
    <mergeCell ref="AIX1:AJD1"/>
    <mergeCell ref="AJE1:AJK1"/>
    <mergeCell ref="AJL1:AJR1"/>
    <mergeCell ref="AJS1:AJY1"/>
    <mergeCell ref="AJZ1:AKF1"/>
    <mergeCell ref="AHA1:AHG1"/>
    <mergeCell ref="AHH1:AHN1"/>
    <mergeCell ref="AHO1:AHU1"/>
    <mergeCell ref="AHV1:AIB1"/>
    <mergeCell ref="AIC1:AII1"/>
    <mergeCell ref="AIJ1:AIP1"/>
    <mergeCell ref="ANM1:ANS1"/>
    <mergeCell ref="ALW1:AMC1"/>
    <mergeCell ref="AMD1:AMJ1"/>
    <mergeCell ref="AMK1:AMQ1"/>
    <mergeCell ref="AMR1:AMX1"/>
    <mergeCell ref="AMY1:ANE1"/>
    <mergeCell ref="ANF1:ANL1"/>
    <mergeCell ref="AKG1:AKM1"/>
    <mergeCell ref="AKN1:AKT1"/>
    <mergeCell ref="AKU1:ALA1"/>
    <mergeCell ref="ALB1:ALH1"/>
    <mergeCell ref="ALI1:ALO1"/>
    <mergeCell ref="ALP1:ALV1"/>
    <mergeCell ref="WT2:ZQ2"/>
    <mergeCell ref="AAH2:AHF2"/>
    <mergeCell ref="VS4:XT4"/>
    <mergeCell ref="AAC4:AGE4"/>
    <mergeCell ref="PD6:PP6"/>
    <mergeCell ref="PQ6:PX6"/>
    <mergeCell ref="ZG7:ZV7"/>
    <mergeCell ref="ZX7:AAA7"/>
    <mergeCell ref="AAC7:AAK7"/>
    <mergeCell ref="AAL7:AAR7"/>
    <mergeCell ref="AAS7:AAY7"/>
    <mergeCell ref="RI6:SQ6"/>
    <mergeCell ref="SR6:SW6"/>
    <mergeCell ref="SZ6:TB6"/>
    <mergeCell ref="TE6:TR6"/>
    <mergeCell ref="TX6:US6"/>
    <mergeCell ref="UU6:UW6"/>
    <mergeCell ref="UX6:UZ6"/>
    <mergeCell ref="VC6:VT6"/>
    <mergeCell ref="VX6:WP6"/>
    <mergeCell ref="WQ6:XF6"/>
    <mergeCell ref="SA7:SX7"/>
    <mergeCell ref="TA7:TP7"/>
    <mergeCell ref="TQ7:TW7"/>
    <mergeCell ref="AEV8:AGC8"/>
    <mergeCell ref="AAF9:AAJ9"/>
    <mergeCell ref="AAK9:AAU9"/>
    <mergeCell ref="AAV9:ABA9"/>
    <mergeCell ref="ABC9:ABH9"/>
    <mergeCell ref="ABI9:ABL9"/>
    <mergeCell ref="ABM9:ABR9"/>
    <mergeCell ref="ABS9:ABV9"/>
    <mergeCell ref="ABY9:ADG9"/>
  </mergeCells>
  <pageMargins left="0.7" right="0.7" top="0.75" bottom="0.75" header="0.3" footer="0.3"/>
  <pageSetup paperSize="1004" scale="80" orientation="landscape" r:id="rId1"/>
  <headerFooter>
    <oddFooter>&amp;L&amp;1#&amp;"Calibri"&amp;10&amp;K737373Caterpillar: Confidential Green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10F0-6D2C-4BAE-863B-E04E56356E69}">
  <dimension ref="A1:AOU12"/>
  <sheetViews>
    <sheetView zoomScale="30" zoomScaleNormal="30" workbookViewId="0">
      <selection activeCell="ND7" sqref="ND7"/>
    </sheetView>
  </sheetViews>
  <sheetFormatPr defaultColWidth="20.44140625" defaultRowHeight="14.4"/>
  <cols>
    <col min="1" max="1" width="28.33203125" customWidth="1"/>
    <col min="2" max="2" width="32.109375" bestFit="1" customWidth="1"/>
    <col min="3" max="3" width="8.109375" hidden="1" customWidth="1"/>
    <col min="4" max="6" width="0" hidden="1" customWidth="1"/>
    <col min="7" max="7" width="8.109375" hidden="1" customWidth="1"/>
    <col min="8" max="10" width="0" hidden="1" customWidth="1"/>
    <col min="11" max="11" width="7.88671875" hidden="1" customWidth="1"/>
    <col min="12" max="29" width="0" hidden="1" customWidth="1"/>
    <col min="30" max="30" width="7.88671875" hidden="1" customWidth="1"/>
    <col min="31" max="117" width="0" hidden="1" customWidth="1"/>
    <col min="118" max="118" width="7.109375" hidden="1" customWidth="1"/>
    <col min="119" max="139" width="0" hidden="1" customWidth="1"/>
    <col min="140" max="140" width="7.33203125" hidden="1" customWidth="1"/>
    <col min="141" max="143" width="0" hidden="1" customWidth="1"/>
    <col min="144" max="144" width="7.33203125" hidden="1" customWidth="1"/>
    <col min="145" max="147" width="0" hidden="1" customWidth="1"/>
    <col min="148" max="148" width="7.33203125" hidden="1" customWidth="1"/>
    <col min="149" max="156" width="0" hidden="1" customWidth="1"/>
    <col min="157" max="157" width="7.5546875" hidden="1" customWidth="1"/>
    <col min="158" max="160" width="0" hidden="1" customWidth="1"/>
    <col min="161" max="161" width="7.5546875" hidden="1" customWidth="1"/>
    <col min="162" max="162" width="0" hidden="1" customWidth="1"/>
    <col min="163" max="163" width="10.44140625" hidden="1" customWidth="1"/>
    <col min="164" max="166" width="0" hidden="1" customWidth="1"/>
    <col min="167" max="167" width="7.109375" hidden="1" customWidth="1"/>
    <col min="168" max="170" width="0" hidden="1" customWidth="1"/>
    <col min="171" max="171" width="10.109375" hidden="1" customWidth="1"/>
    <col min="172" max="189" width="0" hidden="1" customWidth="1"/>
    <col min="190" max="190" width="10.109375" hidden="1" customWidth="1"/>
    <col min="191" max="195" width="0" hidden="1" customWidth="1"/>
    <col min="196" max="196" width="20.6640625" hidden="1" customWidth="1"/>
    <col min="197" max="197" width="0" hidden="1" customWidth="1"/>
    <col min="198" max="198" width="7.33203125" hidden="1" customWidth="1"/>
    <col min="199" max="199" width="0" hidden="1" customWidth="1"/>
    <col min="200" max="200" width="20.6640625" hidden="1" customWidth="1"/>
    <col min="201" max="203" width="0" hidden="1" customWidth="1"/>
    <col min="204" max="204" width="16.6640625" hidden="1" customWidth="1"/>
    <col min="205" max="222" width="0" hidden="1" customWidth="1"/>
    <col min="223" max="223" width="20.109375" hidden="1" customWidth="1"/>
    <col min="224" max="305" width="0" hidden="1" customWidth="1"/>
    <col min="306" max="306" width="15.6640625" hidden="1" customWidth="1"/>
    <col min="307" max="323" width="0" hidden="1" customWidth="1"/>
    <col min="324" max="324" width="5.88671875" hidden="1" customWidth="1"/>
    <col min="325" max="327" width="0" hidden="1" customWidth="1"/>
    <col min="328" max="328" width="5.88671875" hidden="1" customWidth="1"/>
    <col min="329" max="338" width="0" hidden="1" customWidth="1"/>
    <col min="339" max="367" width="4.109375" customWidth="1"/>
    <col min="368" max="368" width="16.33203125" customWidth="1"/>
    <col min="369" max="430" width="4.109375" customWidth="1"/>
    <col min="431" max="431" width="2.33203125" customWidth="1"/>
    <col min="432" max="433" width="4.109375" customWidth="1"/>
    <col min="434" max="434" width="0.33203125" customWidth="1"/>
    <col min="435" max="435" width="4.109375" hidden="1" customWidth="1"/>
    <col min="436" max="437" width="4.109375" customWidth="1"/>
    <col min="438" max="438" width="1" customWidth="1"/>
    <col min="439" max="439" width="4.109375" hidden="1" customWidth="1"/>
    <col min="440" max="443" width="4.109375" customWidth="1"/>
    <col min="444" max="444" width="5.88671875" customWidth="1"/>
    <col min="445" max="470" width="4.109375" customWidth="1"/>
    <col min="471" max="471" width="5.88671875" customWidth="1"/>
    <col min="472" max="472" width="8.5546875" customWidth="1"/>
    <col min="473" max="473" width="5.77734375" customWidth="1"/>
    <col min="474" max="474" width="4.109375" customWidth="1"/>
    <col min="475" max="475" width="7.5546875" customWidth="1"/>
    <col min="476" max="488" width="4.109375" customWidth="1"/>
    <col min="489" max="489" width="12.44140625" customWidth="1"/>
    <col min="490" max="492" width="4.109375" customWidth="1"/>
    <col min="493" max="493" width="8" customWidth="1"/>
    <col min="494" max="518" width="4.109375" customWidth="1"/>
    <col min="519" max="519" width="11" customWidth="1"/>
    <col min="520" max="525" width="4.109375" customWidth="1"/>
    <col min="526" max="526" width="6.88671875" customWidth="1"/>
    <col min="527" max="535" width="4.109375" customWidth="1"/>
    <col min="536" max="536" width="7.88671875" customWidth="1"/>
    <col min="537" max="540" width="4.109375" customWidth="1"/>
    <col min="541" max="541" width="13.77734375" customWidth="1"/>
    <col min="542" max="545" width="4.109375" customWidth="1"/>
    <col min="546" max="546" width="5.21875" customWidth="1"/>
    <col min="547" max="547" width="13.88671875" customWidth="1"/>
    <col min="548" max="549" width="4.109375" customWidth="1"/>
    <col min="550" max="550" width="17.5546875" customWidth="1"/>
    <col min="551" max="552" width="4.109375" customWidth="1"/>
    <col min="553" max="553" width="9.109375" customWidth="1"/>
    <col min="554" max="556" width="4.109375" customWidth="1"/>
    <col min="557" max="557" width="2.88671875" customWidth="1"/>
    <col min="558" max="600" width="4.109375" customWidth="1"/>
    <col min="601" max="601" width="6.77734375" customWidth="1"/>
    <col min="602" max="602" width="9" customWidth="1"/>
    <col min="603" max="603" width="7.21875" customWidth="1"/>
    <col min="604" max="607" width="4.109375" customWidth="1"/>
    <col min="608" max="608" width="7.21875" customWidth="1"/>
    <col min="609" max="616" width="4.109375" customWidth="1"/>
    <col min="617" max="617" width="8.44140625" customWidth="1"/>
    <col min="618" max="618" width="19.77734375" customWidth="1"/>
    <col min="619" max="619" width="4.109375" customWidth="1"/>
    <col min="620" max="620" width="14.77734375" customWidth="1"/>
    <col min="621" max="641" width="4.109375" customWidth="1"/>
    <col min="642" max="642" width="9.6640625" customWidth="1"/>
    <col min="643" max="727" width="4.109375" customWidth="1"/>
    <col min="728" max="728" width="7.44140625" customWidth="1"/>
    <col min="729" max="733" width="4.109375" customWidth="1"/>
    <col min="734" max="734" width="5.88671875" customWidth="1"/>
    <col min="735" max="735" width="7.44140625" customWidth="1"/>
    <col min="736" max="750" width="4.109375" customWidth="1"/>
    <col min="751" max="751" width="6.44140625" customWidth="1"/>
    <col min="752" max="760" width="4.109375" customWidth="1"/>
    <col min="761" max="761" width="6.109375" customWidth="1"/>
    <col min="762" max="762" width="6.5546875" customWidth="1"/>
    <col min="763" max="771" width="4.109375" customWidth="1"/>
    <col min="772" max="772" width="8.6640625" customWidth="1"/>
    <col min="773" max="817" width="4.109375" customWidth="1"/>
    <col min="818" max="818" width="12.33203125" customWidth="1"/>
    <col min="819" max="914" width="4.109375" customWidth="1"/>
    <col min="915" max="915" width="25" customWidth="1"/>
    <col min="916" max="1087" width="4.109375" customWidth="1"/>
  </cols>
  <sheetData>
    <row r="1" spans="1:1087" s="166" customFormat="1" ht="31.2" customHeight="1" thickTop="1" thickBot="1">
      <c r="A1" s="181" t="s">
        <v>610</v>
      </c>
      <c r="B1" s="181" t="s">
        <v>611</v>
      </c>
      <c r="C1" s="551">
        <v>43497</v>
      </c>
      <c r="D1" s="551"/>
      <c r="E1" s="551"/>
      <c r="F1" s="551"/>
      <c r="G1" s="551"/>
      <c r="H1" s="551"/>
      <c r="I1" s="551"/>
      <c r="J1" s="551">
        <v>43504</v>
      </c>
      <c r="K1" s="551"/>
      <c r="L1" s="551"/>
      <c r="M1" s="551"/>
      <c r="N1" s="551"/>
      <c r="O1" s="551"/>
      <c r="P1" s="551"/>
      <c r="Q1" s="551">
        <v>43511</v>
      </c>
      <c r="R1" s="551"/>
      <c r="S1" s="551"/>
      <c r="T1" s="551"/>
      <c r="U1" s="551"/>
      <c r="V1" s="551"/>
      <c r="W1" s="551"/>
      <c r="X1" s="551">
        <v>43518</v>
      </c>
      <c r="Y1" s="551"/>
      <c r="Z1" s="551"/>
      <c r="AA1" s="551"/>
      <c r="AB1" s="551"/>
      <c r="AC1" s="551"/>
      <c r="AD1" s="551"/>
      <c r="AE1" s="551">
        <v>43525</v>
      </c>
      <c r="AF1" s="551"/>
      <c r="AG1" s="551"/>
      <c r="AH1" s="551"/>
      <c r="AI1" s="551"/>
      <c r="AJ1" s="551"/>
      <c r="AK1" s="551"/>
      <c r="AL1" s="551">
        <v>43532</v>
      </c>
      <c r="AM1" s="551"/>
      <c r="AN1" s="551"/>
      <c r="AO1" s="551"/>
      <c r="AP1" s="551"/>
      <c r="AQ1" s="551"/>
      <c r="AR1" s="551"/>
      <c r="AS1" s="551">
        <v>43539</v>
      </c>
      <c r="AT1" s="551"/>
      <c r="AU1" s="551"/>
      <c r="AV1" s="551"/>
      <c r="AW1" s="551"/>
      <c r="AX1" s="551"/>
      <c r="AY1" s="551"/>
      <c r="AZ1" s="551">
        <v>43546</v>
      </c>
      <c r="BA1" s="551"/>
      <c r="BB1" s="551"/>
      <c r="BC1" s="551"/>
      <c r="BD1" s="551"/>
      <c r="BE1" s="551"/>
      <c r="BF1" s="551"/>
      <c r="BG1" s="551">
        <v>43553</v>
      </c>
      <c r="BH1" s="551"/>
      <c r="BI1" s="551"/>
      <c r="BJ1" s="551"/>
      <c r="BK1" s="551"/>
      <c r="BL1" s="551"/>
      <c r="BM1" s="551"/>
      <c r="BN1" s="551">
        <v>43560</v>
      </c>
      <c r="BO1" s="551"/>
      <c r="BP1" s="551"/>
      <c r="BQ1" s="551"/>
      <c r="BR1" s="551"/>
      <c r="BS1" s="551"/>
      <c r="BT1" s="551"/>
      <c r="BU1" s="551">
        <v>43567</v>
      </c>
      <c r="BV1" s="551"/>
      <c r="BW1" s="551"/>
      <c r="BX1" s="551"/>
      <c r="BY1" s="551"/>
      <c r="BZ1" s="551"/>
      <c r="CA1" s="551"/>
      <c r="CB1" s="551">
        <v>43574</v>
      </c>
      <c r="CC1" s="551"/>
      <c r="CD1" s="551"/>
      <c r="CE1" s="551"/>
      <c r="CF1" s="551"/>
      <c r="CG1" s="551"/>
      <c r="CH1" s="551"/>
      <c r="CI1" s="551">
        <v>43581</v>
      </c>
      <c r="CJ1" s="551"/>
      <c r="CK1" s="551"/>
      <c r="CL1" s="551"/>
      <c r="CM1" s="551"/>
      <c r="CN1" s="551"/>
      <c r="CO1" s="551"/>
      <c r="CP1" s="551">
        <v>43588</v>
      </c>
      <c r="CQ1" s="551"/>
      <c r="CR1" s="551"/>
      <c r="CS1" s="551"/>
      <c r="CT1" s="551"/>
      <c r="CU1" s="551"/>
      <c r="CV1" s="551"/>
      <c r="CW1" s="551">
        <v>43595</v>
      </c>
      <c r="CX1" s="551"/>
      <c r="CY1" s="551"/>
      <c r="CZ1" s="551"/>
      <c r="DA1" s="551"/>
      <c r="DB1" s="551"/>
      <c r="DC1" s="551"/>
      <c r="DD1" s="551">
        <v>43602</v>
      </c>
      <c r="DE1" s="551"/>
      <c r="DF1" s="551"/>
      <c r="DG1" s="551"/>
      <c r="DH1" s="551"/>
      <c r="DI1" s="551"/>
      <c r="DJ1" s="551"/>
      <c r="DK1" s="551">
        <v>43609</v>
      </c>
      <c r="DL1" s="551"/>
      <c r="DM1" s="551"/>
      <c r="DN1" s="551"/>
      <c r="DO1" s="551"/>
      <c r="DP1" s="551"/>
      <c r="DQ1" s="551"/>
      <c r="DR1" s="551">
        <v>43616</v>
      </c>
      <c r="DS1" s="551"/>
      <c r="DT1" s="551"/>
      <c r="DU1" s="551"/>
      <c r="DV1" s="551"/>
      <c r="DW1" s="551"/>
      <c r="DX1" s="551"/>
      <c r="DY1" s="551">
        <v>43623</v>
      </c>
      <c r="DZ1" s="551"/>
      <c r="EA1" s="551"/>
      <c r="EB1" s="551"/>
      <c r="EC1" s="551"/>
      <c r="ED1" s="551"/>
      <c r="EE1" s="551"/>
      <c r="EF1" s="551">
        <v>43630</v>
      </c>
      <c r="EG1" s="551"/>
      <c r="EH1" s="551"/>
      <c r="EI1" s="551"/>
      <c r="EJ1" s="551"/>
      <c r="EK1" s="551"/>
      <c r="EL1" s="551"/>
      <c r="EM1" s="551">
        <v>43637</v>
      </c>
      <c r="EN1" s="551"/>
      <c r="EO1" s="551"/>
      <c r="EP1" s="551"/>
      <c r="EQ1" s="551"/>
      <c r="ER1" s="551"/>
      <c r="ES1" s="551"/>
      <c r="ET1" s="551">
        <v>43644</v>
      </c>
      <c r="EU1" s="551"/>
      <c r="EV1" s="551"/>
      <c r="EW1" s="551"/>
      <c r="EX1" s="551"/>
      <c r="EY1" s="551"/>
      <c r="EZ1" s="551"/>
      <c r="FA1" s="551">
        <v>43651</v>
      </c>
      <c r="FB1" s="551"/>
      <c r="FC1" s="551"/>
      <c r="FD1" s="551"/>
      <c r="FE1" s="551"/>
      <c r="FF1" s="551"/>
      <c r="FG1" s="551"/>
      <c r="FH1" s="551">
        <v>43658</v>
      </c>
      <c r="FI1" s="551"/>
      <c r="FJ1" s="551"/>
      <c r="FK1" s="551"/>
      <c r="FL1" s="551"/>
      <c r="FM1" s="551"/>
      <c r="FN1" s="551"/>
      <c r="FO1" s="551">
        <v>43665</v>
      </c>
      <c r="FP1" s="551"/>
      <c r="FQ1" s="551"/>
      <c r="FR1" s="551"/>
      <c r="FS1" s="551"/>
      <c r="FT1" s="551"/>
      <c r="FU1" s="551"/>
      <c r="FV1" s="551">
        <v>43672</v>
      </c>
      <c r="FW1" s="551"/>
      <c r="FX1" s="551"/>
      <c r="FY1" s="551"/>
      <c r="FZ1" s="551"/>
      <c r="GA1" s="551"/>
      <c r="GB1" s="551"/>
      <c r="GC1" s="551">
        <v>43679</v>
      </c>
      <c r="GD1" s="551"/>
      <c r="GE1" s="551"/>
      <c r="GF1" s="551"/>
      <c r="GG1" s="551"/>
      <c r="GH1" s="551"/>
      <c r="GI1" s="551"/>
      <c r="GJ1" s="551">
        <v>43686</v>
      </c>
      <c r="GK1" s="551"/>
      <c r="GL1" s="551"/>
      <c r="GM1" s="551"/>
      <c r="GN1" s="551"/>
      <c r="GO1" s="551"/>
      <c r="GP1" s="551"/>
      <c r="GQ1" s="551">
        <v>43693</v>
      </c>
      <c r="GR1" s="551"/>
      <c r="GS1" s="551"/>
      <c r="GT1" s="551"/>
      <c r="GU1" s="551"/>
      <c r="GV1" s="551"/>
      <c r="GW1" s="551"/>
      <c r="GX1" s="551">
        <v>43700</v>
      </c>
      <c r="GY1" s="551"/>
      <c r="GZ1" s="551"/>
      <c r="HA1" s="551"/>
      <c r="HB1" s="551"/>
      <c r="HC1" s="551"/>
      <c r="HD1" s="551"/>
      <c r="HE1" s="551">
        <v>43707</v>
      </c>
      <c r="HF1" s="551"/>
      <c r="HG1" s="551"/>
      <c r="HH1" s="551"/>
      <c r="HI1" s="551"/>
      <c r="HJ1" s="551"/>
      <c r="HK1" s="551"/>
      <c r="HL1" s="551">
        <v>43714</v>
      </c>
      <c r="HM1" s="551"/>
      <c r="HN1" s="551"/>
      <c r="HO1" s="551"/>
      <c r="HP1" s="551"/>
      <c r="HQ1" s="551"/>
      <c r="HR1" s="551"/>
      <c r="HS1" s="551">
        <v>43721</v>
      </c>
      <c r="HT1" s="551"/>
      <c r="HU1" s="551"/>
      <c r="HV1" s="551"/>
      <c r="HW1" s="551"/>
      <c r="HX1" s="551"/>
      <c r="HY1" s="551"/>
      <c r="HZ1" s="551">
        <v>43728</v>
      </c>
      <c r="IA1" s="551"/>
      <c r="IB1" s="551"/>
      <c r="IC1" s="551"/>
      <c r="ID1" s="551"/>
      <c r="IE1" s="551"/>
      <c r="IF1" s="551"/>
      <c r="IG1" s="551">
        <v>43735</v>
      </c>
      <c r="IH1" s="551"/>
      <c r="II1" s="551"/>
      <c r="IJ1" s="551"/>
      <c r="IK1" s="551"/>
      <c r="IL1" s="551"/>
      <c r="IM1" s="551"/>
      <c r="IN1" s="551">
        <v>43742</v>
      </c>
      <c r="IO1" s="551"/>
      <c r="IP1" s="551"/>
      <c r="IQ1" s="551"/>
      <c r="IR1" s="551"/>
      <c r="IS1" s="551"/>
      <c r="IT1" s="551"/>
      <c r="IU1" s="551">
        <v>43749</v>
      </c>
      <c r="IV1" s="551"/>
      <c r="IW1" s="551"/>
      <c r="IX1" s="551"/>
      <c r="IY1" s="551"/>
      <c r="IZ1" s="551"/>
      <c r="JA1" s="551"/>
      <c r="JB1" s="551">
        <v>43756</v>
      </c>
      <c r="JC1" s="551"/>
      <c r="JD1" s="551"/>
      <c r="JE1" s="551"/>
      <c r="JF1" s="551"/>
      <c r="JG1" s="551"/>
      <c r="JH1" s="551"/>
      <c r="JI1" s="551">
        <v>43763</v>
      </c>
      <c r="JJ1" s="551"/>
      <c r="JK1" s="551"/>
      <c r="JL1" s="551"/>
      <c r="JM1" s="551"/>
      <c r="JN1" s="551"/>
      <c r="JO1" s="551"/>
      <c r="JP1" s="551">
        <v>43770</v>
      </c>
      <c r="JQ1" s="551"/>
      <c r="JR1" s="551"/>
      <c r="JS1" s="551"/>
      <c r="JT1" s="551"/>
      <c r="JU1" s="551"/>
      <c r="JV1" s="551"/>
      <c r="JW1" s="551">
        <v>43777</v>
      </c>
      <c r="JX1" s="551"/>
      <c r="JY1" s="551"/>
      <c r="JZ1" s="551"/>
      <c r="KA1" s="551"/>
      <c r="KB1" s="551"/>
      <c r="KC1" s="551"/>
      <c r="KD1" s="551">
        <v>43784</v>
      </c>
      <c r="KE1" s="551"/>
      <c r="KF1" s="551"/>
      <c r="KG1" s="551"/>
      <c r="KH1" s="551"/>
      <c r="KI1" s="551"/>
      <c r="KJ1" s="551"/>
      <c r="KK1" s="551">
        <v>43791</v>
      </c>
      <c r="KL1" s="551"/>
      <c r="KM1" s="551"/>
      <c r="KN1" s="551"/>
      <c r="KO1" s="551"/>
      <c r="KP1" s="551"/>
      <c r="KQ1" s="551"/>
      <c r="KR1" s="551">
        <v>43798</v>
      </c>
      <c r="KS1" s="551"/>
      <c r="KT1" s="551"/>
      <c r="KU1" s="551"/>
      <c r="KV1" s="551"/>
      <c r="KW1" s="551"/>
      <c r="KX1" s="551"/>
      <c r="KY1" s="551">
        <v>43805</v>
      </c>
      <c r="KZ1" s="551"/>
      <c r="LA1" s="551"/>
      <c r="LB1" s="551"/>
      <c r="LC1" s="551"/>
      <c r="LD1" s="551"/>
      <c r="LE1" s="551"/>
      <c r="LF1" s="551">
        <v>43812</v>
      </c>
      <c r="LG1" s="551"/>
      <c r="LH1" s="551"/>
      <c r="LI1" s="551"/>
      <c r="LJ1" s="551"/>
      <c r="LK1" s="551"/>
      <c r="LL1" s="551"/>
      <c r="LM1" s="551">
        <v>43819</v>
      </c>
      <c r="LN1" s="551"/>
      <c r="LO1" s="551"/>
      <c r="LP1" s="551"/>
      <c r="LQ1" s="551"/>
      <c r="LR1" s="551"/>
      <c r="LS1" s="551"/>
      <c r="LT1" s="551">
        <v>43826</v>
      </c>
      <c r="LU1" s="551"/>
      <c r="LV1" s="551"/>
      <c r="LW1" s="551"/>
      <c r="LX1" s="551"/>
      <c r="LY1" s="551"/>
      <c r="LZ1" s="551"/>
      <c r="MA1" s="551">
        <v>43833</v>
      </c>
      <c r="MB1" s="551"/>
      <c r="MC1" s="551"/>
      <c r="MD1" s="551"/>
      <c r="ME1" s="551"/>
      <c r="MF1" s="551"/>
      <c r="MG1" s="551"/>
      <c r="MH1" s="551">
        <v>43840</v>
      </c>
      <c r="MI1" s="551"/>
      <c r="MJ1" s="551"/>
      <c r="MK1" s="551"/>
      <c r="ML1" s="551"/>
      <c r="MM1" s="551"/>
      <c r="MN1" s="551"/>
      <c r="MO1" s="551">
        <v>43847</v>
      </c>
      <c r="MP1" s="551"/>
      <c r="MQ1" s="551"/>
      <c r="MR1" s="551"/>
      <c r="MS1" s="551"/>
      <c r="MT1" s="551"/>
      <c r="MU1" s="551"/>
      <c r="MV1" s="551">
        <v>43854</v>
      </c>
      <c r="MW1" s="551"/>
      <c r="MX1" s="551"/>
      <c r="MY1" s="551"/>
      <c r="MZ1" s="551"/>
      <c r="NA1" s="551"/>
      <c r="NB1" s="551"/>
      <c r="NC1" s="551">
        <v>43861</v>
      </c>
      <c r="ND1" s="551"/>
      <c r="NE1" s="551"/>
      <c r="NF1" s="551"/>
      <c r="NG1" s="551"/>
      <c r="NH1" s="551"/>
      <c r="NI1" s="551"/>
      <c r="NJ1" s="551">
        <v>43868</v>
      </c>
      <c r="NK1" s="551"/>
      <c r="NL1" s="551"/>
      <c r="NM1" s="551"/>
      <c r="NN1" s="551"/>
      <c r="NO1" s="551"/>
      <c r="NP1" s="551"/>
      <c r="NQ1" s="551">
        <v>43875</v>
      </c>
      <c r="NR1" s="551"/>
      <c r="NS1" s="551"/>
      <c r="NT1" s="551"/>
      <c r="NU1" s="551"/>
      <c r="NV1" s="551"/>
      <c r="NW1" s="551"/>
      <c r="NX1" s="551">
        <v>43882</v>
      </c>
      <c r="NY1" s="551"/>
      <c r="NZ1" s="551"/>
      <c r="OA1" s="551"/>
      <c r="OB1" s="551"/>
      <c r="OC1" s="551"/>
      <c r="OD1" s="551"/>
      <c r="OE1" s="551">
        <v>43889</v>
      </c>
      <c r="OF1" s="551"/>
      <c r="OG1" s="551"/>
      <c r="OH1" s="551"/>
      <c r="OI1" s="551"/>
      <c r="OJ1" s="551"/>
      <c r="OK1" s="551"/>
      <c r="OL1" s="551">
        <v>43896</v>
      </c>
      <c r="OM1" s="551"/>
      <c r="ON1" s="551"/>
      <c r="OO1" s="551"/>
      <c r="OP1" s="551"/>
      <c r="OQ1" s="551"/>
      <c r="OR1" s="551"/>
      <c r="OS1" s="551">
        <v>43903</v>
      </c>
      <c r="OT1" s="551"/>
      <c r="OU1" s="551"/>
      <c r="OV1" s="551"/>
      <c r="OW1" s="551"/>
      <c r="OX1" s="551"/>
      <c r="OY1" s="551"/>
      <c r="OZ1" s="551">
        <v>43910</v>
      </c>
      <c r="PA1" s="551"/>
      <c r="PB1" s="551"/>
      <c r="PC1" s="551"/>
      <c r="PD1" s="551"/>
      <c r="PE1" s="551"/>
      <c r="PF1" s="551"/>
      <c r="PG1" s="551">
        <v>43917</v>
      </c>
      <c r="PH1" s="551"/>
      <c r="PI1" s="551"/>
      <c r="PJ1" s="551"/>
      <c r="PK1" s="551"/>
      <c r="PL1" s="551"/>
      <c r="PM1" s="551"/>
      <c r="PN1" s="551">
        <v>43924</v>
      </c>
      <c r="PO1" s="551"/>
      <c r="PP1" s="551"/>
      <c r="PQ1" s="551"/>
      <c r="PR1" s="551"/>
      <c r="PS1" s="551"/>
      <c r="PT1" s="551"/>
      <c r="PU1" s="551">
        <v>43931</v>
      </c>
      <c r="PV1" s="551"/>
      <c r="PW1" s="551"/>
      <c r="PX1" s="551"/>
      <c r="PY1" s="551"/>
      <c r="PZ1" s="551"/>
      <c r="QA1" s="551"/>
      <c r="QB1" s="551">
        <v>43938</v>
      </c>
      <c r="QC1" s="551"/>
      <c r="QD1" s="551"/>
      <c r="QE1" s="551"/>
      <c r="QF1" s="551"/>
      <c r="QG1" s="551"/>
      <c r="QH1" s="551"/>
      <c r="QI1" s="551">
        <v>43945</v>
      </c>
      <c r="QJ1" s="551"/>
      <c r="QK1" s="551"/>
      <c r="QL1" s="551"/>
      <c r="QM1" s="551"/>
      <c r="QN1" s="551"/>
      <c r="QO1" s="551"/>
      <c r="QP1" s="551">
        <v>43952</v>
      </c>
      <c r="QQ1" s="551"/>
      <c r="QR1" s="551"/>
      <c r="QS1" s="551"/>
      <c r="QT1" s="551"/>
      <c r="QU1" s="551"/>
      <c r="QV1" s="551"/>
      <c r="QW1" s="551">
        <v>43959</v>
      </c>
      <c r="QX1" s="551"/>
      <c r="QY1" s="551"/>
      <c r="QZ1" s="551"/>
      <c r="RA1" s="551"/>
      <c r="RB1" s="551"/>
      <c r="RC1" s="551"/>
      <c r="RD1" s="551">
        <v>43966</v>
      </c>
      <c r="RE1" s="551"/>
      <c r="RF1" s="551"/>
      <c r="RG1" s="551"/>
      <c r="RH1" s="551"/>
      <c r="RI1" s="551"/>
      <c r="RJ1" s="551"/>
      <c r="RK1" s="551">
        <v>43973</v>
      </c>
      <c r="RL1" s="551"/>
      <c r="RM1" s="551"/>
      <c r="RN1" s="551"/>
      <c r="RO1" s="551"/>
      <c r="RP1" s="551"/>
      <c r="RQ1" s="551"/>
      <c r="RR1" s="551">
        <v>43980</v>
      </c>
      <c r="RS1" s="551"/>
      <c r="RT1" s="551"/>
      <c r="RU1" s="551"/>
      <c r="RV1" s="551"/>
      <c r="RW1" s="551"/>
      <c r="RX1" s="551"/>
      <c r="RY1" s="551">
        <v>43987</v>
      </c>
      <c r="RZ1" s="551"/>
      <c r="SA1" s="551"/>
      <c r="SB1" s="551"/>
      <c r="SC1" s="551"/>
      <c r="SD1" s="551"/>
      <c r="SE1" s="551"/>
      <c r="SF1" s="551">
        <v>43994</v>
      </c>
      <c r="SG1" s="551"/>
      <c r="SH1" s="551"/>
      <c r="SI1" s="551"/>
      <c r="SJ1" s="551"/>
      <c r="SK1" s="551"/>
      <c r="SL1" s="551"/>
      <c r="SM1" s="551">
        <v>44001</v>
      </c>
      <c r="SN1" s="551"/>
      <c r="SO1" s="551"/>
      <c r="SP1" s="551"/>
      <c r="SQ1" s="551"/>
      <c r="SR1" s="551"/>
      <c r="SS1" s="551"/>
      <c r="ST1" s="551">
        <v>44008</v>
      </c>
      <c r="SU1" s="551"/>
      <c r="SV1" s="551"/>
      <c r="SW1" s="551"/>
      <c r="SX1" s="551"/>
      <c r="SY1" s="551"/>
      <c r="SZ1" s="551"/>
      <c r="TA1" s="551">
        <v>44015</v>
      </c>
      <c r="TB1" s="551"/>
      <c r="TC1" s="551"/>
      <c r="TD1" s="551"/>
      <c r="TE1" s="551"/>
      <c r="TF1" s="551"/>
      <c r="TG1" s="551"/>
      <c r="TH1" s="551">
        <v>44022</v>
      </c>
      <c r="TI1" s="551"/>
      <c r="TJ1" s="551"/>
      <c r="TK1" s="551"/>
      <c r="TL1" s="551"/>
      <c r="TM1" s="551"/>
      <c r="TN1" s="551"/>
      <c r="TO1" s="551">
        <v>44029</v>
      </c>
      <c r="TP1" s="551"/>
      <c r="TQ1" s="551"/>
      <c r="TR1" s="551"/>
      <c r="TS1" s="551"/>
      <c r="TT1" s="551"/>
      <c r="TU1" s="551"/>
      <c r="TV1" s="551">
        <v>44036</v>
      </c>
      <c r="TW1" s="551"/>
      <c r="TX1" s="551"/>
      <c r="TY1" s="551"/>
      <c r="TZ1" s="551"/>
      <c r="UA1" s="551"/>
      <c r="UB1" s="551"/>
      <c r="UC1" s="551">
        <v>44043</v>
      </c>
      <c r="UD1" s="551"/>
      <c r="UE1" s="551"/>
      <c r="UF1" s="551"/>
      <c r="UG1" s="551"/>
      <c r="UH1" s="551"/>
      <c r="UI1" s="551"/>
      <c r="UJ1" s="551">
        <v>44050</v>
      </c>
      <c r="UK1" s="551"/>
      <c r="UL1" s="551"/>
      <c r="UM1" s="551"/>
      <c r="UN1" s="551"/>
      <c r="UO1" s="551"/>
      <c r="UP1" s="551"/>
      <c r="UQ1" s="551">
        <v>44057</v>
      </c>
      <c r="UR1" s="551"/>
      <c r="US1" s="551"/>
      <c r="UT1" s="551"/>
      <c r="UU1" s="551"/>
      <c r="UV1" s="551"/>
      <c r="UW1" s="551"/>
      <c r="UX1" s="551">
        <v>44064</v>
      </c>
      <c r="UY1" s="551"/>
      <c r="UZ1" s="551"/>
      <c r="VA1" s="551"/>
      <c r="VB1" s="551"/>
      <c r="VC1" s="551"/>
      <c r="VD1" s="551"/>
      <c r="VE1" s="551">
        <v>44071</v>
      </c>
      <c r="VF1" s="551"/>
      <c r="VG1" s="551"/>
      <c r="VH1" s="551"/>
      <c r="VI1" s="551"/>
      <c r="VJ1" s="551"/>
      <c r="VK1" s="551"/>
      <c r="VL1" s="551">
        <v>44078</v>
      </c>
      <c r="VM1" s="551"/>
      <c r="VN1" s="551"/>
      <c r="VO1" s="551"/>
      <c r="VP1" s="551"/>
      <c r="VQ1" s="551"/>
      <c r="VR1" s="551"/>
      <c r="VS1" s="551">
        <v>44085</v>
      </c>
      <c r="VT1" s="551"/>
      <c r="VU1" s="551"/>
      <c r="VV1" s="551"/>
      <c r="VW1" s="551"/>
      <c r="VX1" s="551"/>
      <c r="VY1" s="551"/>
      <c r="VZ1" s="551">
        <v>44092</v>
      </c>
      <c r="WA1" s="551"/>
      <c r="WB1" s="551"/>
      <c r="WC1" s="551"/>
      <c r="WD1" s="551"/>
      <c r="WE1" s="551"/>
      <c r="WF1" s="551"/>
      <c r="WG1" s="551">
        <v>44099</v>
      </c>
      <c r="WH1" s="551"/>
      <c r="WI1" s="551"/>
      <c r="WJ1" s="551"/>
      <c r="WK1" s="551"/>
      <c r="WL1" s="551"/>
      <c r="WM1" s="551"/>
      <c r="WN1" s="551">
        <v>44106</v>
      </c>
      <c r="WO1" s="551"/>
      <c r="WP1" s="551"/>
      <c r="WQ1" s="551"/>
      <c r="WR1" s="551"/>
      <c r="WS1" s="551"/>
      <c r="WT1" s="551"/>
      <c r="WU1" s="551">
        <v>44113</v>
      </c>
      <c r="WV1" s="551"/>
      <c r="WW1" s="551"/>
      <c r="WX1" s="551"/>
      <c r="WY1" s="551"/>
      <c r="WZ1" s="551"/>
      <c r="XA1" s="551"/>
      <c r="XB1" s="551">
        <v>44120</v>
      </c>
      <c r="XC1" s="551"/>
      <c r="XD1" s="551"/>
      <c r="XE1" s="551"/>
      <c r="XF1" s="551"/>
      <c r="XG1" s="551"/>
      <c r="XH1" s="551"/>
      <c r="XI1" s="551">
        <v>44127</v>
      </c>
      <c r="XJ1" s="551"/>
      <c r="XK1" s="551"/>
      <c r="XL1" s="551"/>
      <c r="XM1" s="551"/>
      <c r="XN1" s="551"/>
      <c r="XO1" s="551"/>
      <c r="XP1" s="551">
        <v>44134</v>
      </c>
      <c r="XQ1" s="551"/>
      <c r="XR1" s="551"/>
      <c r="XS1" s="551"/>
      <c r="XT1" s="551"/>
      <c r="XU1" s="551"/>
      <c r="XV1" s="551"/>
      <c r="XW1" s="551">
        <v>44141</v>
      </c>
      <c r="XX1" s="551"/>
      <c r="XY1" s="551"/>
      <c r="XZ1" s="551"/>
      <c r="YA1" s="551"/>
      <c r="YB1" s="551"/>
      <c r="YC1" s="551"/>
      <c r="YD1" s="551">
        <v>44148</v>
      </c>
      <c r="YE1" s="551"/>
      <c r="YF1" s="551"/>
      <c r="YG1" s="551"/>
      <c r="YH1" s="551"/>
      <c r="YI1" s="551"/>
      <c r="YJ1" s="551"/>
      <c r="YK1" s="551">
        <v>44155</v>
      </c>
      <c r="YL1" s="551"/>
      <c r="YM1" s="551"/>
      <c r="YN1" s="551"/>
      <c r="YO1" s="551"/>
      <c r="YP1" s="551"/>
      <c r="YQ1" s="551"/>
      <c r="YR1" s="551">
        <v>44162</v>
      </c>
      <c r="YS1" s="551"/>
      <c r="YT1" s="551"/>
      <c r="YU1" s="551"/>
      <c r="YV1" s="551"/>
      <c r="YW1" s="551"/>
      <c r="YX1" s="551"/>
      <c r="YY1" s="551">
        <v>44169</v>
      </c>
      <c r="YZ1" s="551"/>
      <c r="ZA1" s="551"/>
      <c r="ZB1" s="551"/>
      <c r="ZC1" s="551"/>
      <c r="ZD1" s="551"/>
      <c r="ZE1" s="551"/>
      <c r="ZF1" s="551">
        <v>44176</v>
      </c>
      <c r="ZG1" s="551"/>
      <c r="ZH1" s="551"/>
      <c r="ZI1" s="551"/>
      <c r="ZJ1" s="551"/>
      <c r="ZK1" s="551"/>
      <c r="ZL1" s="551"/>
      <c r="ZM1" s="551">
        <v>44183</v>
      </c>
      <c r="ZN1" s="551"/>
      <c r="ZO1" s="551"/>
      <c r="ZP1" s="551"/>
      <c r="ZQ1" s="551"/>
      <c r="ZR1" s="551"/>
      <c r="ZS1" s="551"/>
      <c r="ZT1" s="551">
        <v>44190</v>
      </c>
      <c r="ZU1" s="551"/>
      <c r="ZV1" s="551"/>
      <c r="ZW1" s="551"/>
      <c r="ZX1" s="551"/>
      <c r="ZY1" s="551"/>
      <c r="ZZ1" s="551"/>
      <c r="AAA1" s="551">
        <v>44197</v>
      </c>
      <c r="AAB1" s="551"/>
      <c r="AAC1" s="551"/>
      <c r="AAD1" s="551"/>
      <c r="AAE1" s="551"/>
      <c r="AAF1" s="551"/>
      <c r="AAG1" s="551"/>
      <c r="AAH1" s="551">
        <v>44204</v>
      </c>
      <c r="AAI1" s="551"/>
      <c r="AAJ1" s="551"/>
      <c r="AAK1" s="551"/>
      <c r="AAL1" s="551"/>
      <c r="AAM1" s="551"/>
      <c r="AAN1" s="551"/>
      <c r="AAO1" s="551">
        <v>44211</v>
      </c>
      <c r="AAP1" s="551"/>
      <c r="AAQ1" s="551"/>
      <c r="AAR1" s="551"/>
      <c r="AAS1" s="551"/>
      <c r="AAT1" s="551"/>
      <c r="AAU1" s="551"/>
      <c r="AAV1" s="551">
        <v>44218</v>
      </c>
      <c r="AAW1" s="551"/>
      <c r="AAX1" s="551"/>
      <c r="AAY1" s="551"/>
      <c r="AAZ1" s="551"/>
      <c r="ABA1" s="551"/>
      <c r="ABB1" s="551"/>
      <c r="ABC1" s="551">
        <v>44225</v>
      </c>
      <c r="ABD1" s="551"/>
      <c r="ABE1" s="551"/>
      <c r="ABF1" s="551"/>
      <c r="ABG1" s="551"/>
      <c r="ABH1" s="551"/>
      <c r="ABI1" s="551"/>
      <c r="ABJ1" s="551">
        <v>44232</v>
      </c>
      <c r="ABK1" s="551"/>
      <c r="ABL1" s="551"/>
      <c r="ABM1" s="551"/>
      <c r="ABN1" s="551"/>
      <c r="ABO1" s="551"/>
      <c r="ABP1" s="551"/>
      <c r="ABQ1" s="551">
        <v>44239</v>
      </c>
      <c r="ABR1" s="551"/>
      <c r="ABS1" s="551"/>
      <c r="ABT1" s="551"/>
      <c r="ABU1" s="551"/>
      <c r="ABV1" s="551"/>
      <c r="ABW1" s="551"/>
      <c r="ABX1" s="551">
        <v>44246</v>
      </c>
      <c r="ABY1" s="551"/>
      <c r="ABZ1" s="551"/>
      <c r="ACA1" s="551"/>
      <c r="ACB1" s="551"/>
      <c r="ACC1" s="551"/>
      <c r="ACD1" s="551"/>
      <c r="ACE1" s="551">
        <v>44253</v>
      </c>
      <c r="ACF1" s="551"/>
      <c r="ACG1" s="551"/>
      <c r="ACH1" s="551"/>
      <c r="ACI1" s="551"/>
      <c r="ACJ1" s="551"/>
      <c r="ACK1" s="551"/>
      <c r="ACL1" s="551">
        <v>44260</v>
      </c>
      <c r="ACM1" s="551"/>
      <c r="ACN1" s="551"/>
      <c r="ACO1" s="551"/>
      <c r="ACP1" s="551"/>
      <c r="ACQ1" s="551"/>
      <c r="ACR1" s="551"/>
      <c r="ACS1" s="551">
        <v>44267</v>
      </c>
      <c r="ACT1" s="551"/>
      <c r="ACU1" s="551"/>
      <c r="ACV1" s="551"/>
      <c r="ACW1" s="551"/>
      <c r="ACX1" s="551"/>
      <c r="ACY1" s="551"/>
      <c r="ACZ1" s="551">
        <v>44274</v>
      </c>
      <c r="ADA1" s="551"/>
      <c r="ADB1" s="551"/>
      <c r="ADC1" s="551"/>
      <c r="ADD1" s="551"/>
      <c r="ADE1" s="551"/>
      <c r="ADF1" s="551"/>
      <c r="ADG1" s="551">
        <v>44281</v>
      </c>
      <c r="ADH1" s="551"/>
      <c r="ADI1" s="551"/>
      <c r="ADJ1" s="551"/>
      <c r="ADK1" s="551"/>
      <c r="ADL1" s="551"/>
      <c r="ADM1" s="551"/>
      <c r="ADN1" s="551">
        <v>44288</v>
      </c>
      <c r="ADO1" s="551"/>
      <c r="ADP1" s="551"/>
      <c r="ADQ1" s="551"/>
      <c r="ADR1" s="551"/>
      <c r="ADS1" s="551"/>
      <c r="ADT1" s="551"/>
      <c r="ADU1" s="551">
        <v>44295</v>
      </c>
      <c r="ADV1" s="551"/>
      <c r="ADW1" s="551"/>
      <c r="ADX1" s="551"/>
      <c r="ADY1" s="551"/>
      <c r="ADZ1" s="551"/>
      <c r="AEA1" s="551"/>
      <c r="AEB1" s="551">
        <v>44302</v>
      </c>
      <c r="AEC1" s="551"/>
      <c r="AED1" s="551"/>
      <c r="AEE1" s="551"/>
      <c r="AEF1" s="551"/>
      <c r="AEG1" s="551"/>
      <c r="AEH1" s="551"/>
      <c r="AEI1" s="551">
        <v>44309</v>
      </c>
      <c r="AEJ1" s="551"/>
      <c r="AEK1" s="551"/>
      <c r="AEL1" s="551"/>
      <c r="AEM1" s="551"/>
      <c r="AEN1" s="551"/>
      <c r="AEO1" s="551"/>
      <c r="AEP1" s="551">
        <v>44316</v>
      </c>
      <c r="AEQ1" s="551"/>
      <c r="AER1" s="551"/>
      <c r="AES1" s="551"/>
      <c r="AET1" s="551"/>
      <c r="AEU1" s="551"/>
      <c r="AEV1" s="551"/>
      <c r="AEW1" s="551">
        <v>44323</v>
      </c>
      <c r="AEX1" s="551"/>
      <c r="AEY1" s="551"/>
      <c r="AEZ1" s="551"/>
      <c r="AFA1" s="551"/>
      <c r="AFB1" s="551"/>
      <c r="AFC1" s="551"/>
      <c r="AFD1" s="551">
        <v>44330</v>
      </c>
      <c r="AFE1" s="551"/>
      <c r="AFF1" s="551"/>
      <c r="AFG1" s="551"/>
      <c r="AFH1" s="551"/>
      <c r="AFI1" s="551"/>
      <c r="AFJ1" s="551"/>
      <c r="AFK1" s="551">
        <v>44337</v>
      </c>
      <c r="AFL1" s="551"/>
      <c r="AFM1" s="551"/>
      <c r="AFN1" s="551"/>
      <c r="AFO1" s="551"/>
      <c r="AFP1" s="551"/>
      <c r="AFQ1" s="551"/>
      <c r="AFR1" s="551">
        <v>44344</v>
      </c>
      <c r="AFS1" s="551"/>
      <c r="AFT1" s="551"/>
      <c r="AFU1" s="551"/>
      <c r="AFV1" s="551"/>
      <c r="AFW1" s="551"/>
      <c r="AFX1" s="551"/>
      <c r="AFY1" s="551">
        <v>44351</v>
      </c>
      <c r="AFZ1" s="551"/>
      <c r="AGA1" s="551"/>
      <c r="AGB1" s="551"/>
      <c r="AGC1" s="551"/>
      <c r="AGD1" s="551"/>
      <c r="AGE1" s="551"/>
      <c r="AGF1" s="551">
        <v>44358</v>
      </c>
      <c r="AGG1" s="551"/>
      <c r="AGH1" s="551"/>
      <c r="AGI1" s="551"/>
      <c r="AGJ1" s="551"/>
      <c r="AGK1" s="551"/>
      <c r="AGL1" s="551"/>
      <c r="AGM1" s="551">
        <v>44365</v>
      </c>
      <c r="AGN1" s="551"/>
      <c r="AGO1" s="551"/>
      <c r="AGP1" s="551"/>
      <c r="AGQ1" s="551"/>
      <c r="AGR1" s="551"/>
      <c r="AGS1" s="551"/>
      <c r="AGT1" s="551">
        <v>44372</v>
      </c>
      <c r="AGU1" s="551"/>
      <c r="AGV1" s="551"/>
      <c r="AGW1" s="551"/>
      <c r="AGX1" s="551"/>
      <c r="AGY1" s="551"/>
      <c r="AGZ1" s="551"/>
      <c r="AHA1" s="551">
        <v>44379</v>
      </c>
      <c r="AHB1" s="551"/>
      <c r="AHC1" s="551"/>
      <c r="AHD1" s="551"/>
      <c r="AHE1" s="551"/>
      <c r="AHF1" s="551"/>
      <c r="AHG1" s="551"/>
      <c r="AHH1" s="551">
        <v>44386</v>
      </c>
      <c r="AHI1" s="551"/>
      <c r="AHJ1" s="551"/>
      <c r="AHK1" s="551"/>
      <c r="AHL1" s="551"/>
      <c r="AHM1" s="551"/>
      <c r="AHN1" s="551"/>
      <c r="AHO1" s="551">
        <v>44393</v>
      </c>
      <c r="AHP1" s="551"/>
      <c r="AHQ1" s="551"/>
      <c r="AHR1" s="551"/>
      <c r="AHS1" s="551"/>
      <c r="AHT1" s="551"/>
      <c r="AHU1" s="551"/>
      <c r="AHV1" s="551">
        <v>44400</v>
      </c>
      <c r="AHW1" s="551"/>
      <c r="AHX1" s="551"/>
      <c r="AHY1" s="551"/>
      <c r="AHZ1" s="551"/>
      <c r="AIA1" s="551"/>
      <c r="AIB1" s="551"/>
      <c r="AIC1" s="551">
        <v>44407</v>
      </c>
      <c r="AID1" s="551"/>
      <c r="AIE1" s="551"/>
      <c r="AIF1" s="551"/>
      <c r="AIG1" s="551"/>
      <c r="AIH1" s="551"/>
      <c r="AII1" s="551"/>
      <c r="AIJ1" s="551">
        <v>44414</v>
      </c>
      <c r="AIK1" s="551"/>
      <c r="AIL1" s="551"/>
      <c r="AIM1" s="551"/>
      <c r="AIN1" s="551"/>
      <c r="AIO1" s="551"/>
      <c r="AIP1" s="551"/>
      <c r="AIQ1" s="551">
        <v>44421</v>
      </c>
      <c r="AIR1" s="551"/>
      <c r="AIS1" s="551"/>
      <c r="AIT1" s="551"/>
      <c r="AIU1" s="551"/>
      <c r="AIV1" s="551"/>
      <c r="AIW1" s="551"/>
      <c r="AIX1" s="551">
        <v>44428</v>
      </c>
      <c r="AIY1" s="551"/>
      <c r="AIZ1" s="551"/>
      <c r="AJA1" s="551"/>
      <c r="AJB1" s="551"/>
      <c r="AJC1" s="551"/>
      <c r="AJD1" s="551"/>
      <c r="AJE1" s="551">
        <v>44435</v>
      </c>
      <c r="AJF1" s="551"/>
      <c r="AJG1" s="551"/>
      <c r="AJH1" s="551"/>
      <c r="AJI1" s="551"/>
      <c r="AJJ1" s="551"/>
      <c r="AJK1" s="551"/>
      <c r="AJL1" s="551">
        <v>44442</v>
      </c>
      <c r="AJM1" s="551"/>
      <c r="AJN1" s="551"/>
      <c r="AJO1" s="551"/>
      <c r="AJP1" s="551"/>
      <c r="AJQ1" s="551"/>
      <c r="AJR1" s="551"/>
      <c r="AJS1" s="551">
        <v>44449</v>
      </c>
      <c r="AJT1" s="551"/>
      <c r="AJU1" s="551"/>
      <c r="AJV1" s="551"/>
      <c r="AJW1" s="551"/>
      <c r="AJX1" s="551"/>
      <c r="AJY1" s="551"/>
      <c r="AJZ1" s="551">
        <v>44456</v>
      </c>
      <c r="AKA1" s="551"/>
      <c r="AKB1" s="551"/>
      <c r="AKC1" s="551"/>
      <c r="AKD1" s="551"/>
      <c r="AKE1" s="551"/>
      <c r="AKF1" s="551"/>
      <c r="AKG1" s="551">
        <v>44463</v>
      </c>
      <c r="AKH1" s="551"/>
      <c r="AKI1" s="551"/>
      <c r="AKJ1" s="551"/>
      <c r="AKK1" s="551"/>
      <c r="AKL1" s="551"/>
      <c r="AKM1" s="551"/>
      <c r="AKN1" s="551">
        <v>44470</v>
      </c>
      <c r="AKO1" s="551"/>
      <c r="AKP1" s="551"/>
      <c r="AKQ1" s="551"/>
      <c r="AKR1" s="551"/>
      <c r="AKS1" s="551"/>
      <c r="AKT1" s="551"/>
      <c r="AKU1" s="551">
        <v>44477</v>
      </c>
      <c r="AKV1" s="551"/>
      <c r="AKW1" s="551"/>
      <c r="AKX1" s="551"/>
      <c r="AKY1" s="551"/>
      <c r="AKZ1" s="551"/>
      <c r="ALA1" s="551"/>
      <c r="ALB1" s="551">
        <v>44484</v>
      </c>
      <c r="ALC1" s="551"/>
      <c r="ALD1" s="551"/>
      <c r="ALE1" s="551"/>
      <c r="ALF1" s="551"/>
      <c r="ALG1" s="551"/>
      <c r="ALH1" s="551"/>
      <c r="ALI1" s="551">
        <v>44491</v>
      </c>
      <c r="ALJ1" s="551"/>
      <c r="ALK1" s="551"/>
      <c r="ALL1" s="551"/>
      <c r="ALM1" s="551"/>
      <c r="ALN1" s="551"/>
      <c r="ALO1" s="551"/>
      <c r="ALP1" s="551">
        <v>44498</v>
      </c>
      <c r="ALQ1" s="551"/>
      <c r="ALR1" s="551"/>
      <c r="ALS1" s="551"/>
      <c r="ALT1" s="551"/>
      <c r="ALU1" s="551"/>
      <c r="ALV1" s="551"/>
      <c r="ALW1" s="551">
        <v>44505</v>
      </c>
      <c r="ALX1" s="551"/>
      <c r="ALY1" s="551"/>
      <c r="ALZ1" s="551"/>
      <c r="AMA1" s="551"/>
      <c r="AMB1" s="551"/>
      <c r="AMC1" s="551"/>
      <c r="AMD1" s="551">
        <v>44512</v>
      </c>
      <c r="AME1" s="551"/>
      <c r="AMF1" s="551"/>
      <c r="AMG1" s="551"/>
      <c r="AMH1" s="551"/>
      <c r="AMI1" s="551"/>
      <c r="AMJ1" s="551"/>
      <c r="AMK1" s="551">
        <v>44519</v>
      </c>
      <c r="AML1" s="551"/>
      <c r="AMM1" s="551"/>
      <c r="AMN1" s="551"/>
      <c r="AMO1" s="551"/>
      <c r="AMP1" s="551"/>
      <c r="AMQ1" s="551"/>
      <c r="AMR1" s="551">
        <v>44526</v>
      </c>
      <c r="AMS1" s="551"/>
      <c r="AMT1" s="551"/>
      <c r="AMU1" s="551"/>
      <c r="AMV1" s="551"/>
      <c r="AMW1" s="551"/>
      <c r="AMX1" s="551"/>
      <c r="AMY1" s="551">
        <v>44533</v>
      </c>
      <c r="AMZ1" s="551"/>
      <c r="ANA1" s="551"/>
      <c r="ANB1" s="551"/>
      <c r="ANC1" s="551"/>
      <c r="AND1" s="551"/>
      <c r="ANE1" s="551"/>
      <c r="ANF1" s="551">
        <v>44540</v>
      </c>
      <c r="ANG1" s="551"/>
      <c r="ANH1" s="551"/>
      <c r="ANI1" s="551"/>
      <c r="ANJ1" s="551"/>
      <c r="ANK1" s="551"/>
      <c r="ANL1" s="551"/>
      <c r="ANM1" s="551">
        <v>44547</v>
      </c>
      <c r="ANN1" s="551"/>
      <c r="ANO1" s="551"/>
      <c r="ANP1" s="551"/>
      <c r="ANQ1" s="551"/>
      <c r="ANR1" s="551"/>
      <c r="ANS1" s="551"/>
      <c r="ANT1" s="551">
        <v>44554</v>
      </c>
      <c r="ANU1" s="551"/>
      <c r="ANV1" s="551"/>
      <c r="ANW1" s="551"/>
      <c r="ANX1" s="551"/>
      <c r="ANY1" s="551"/>
      <c r="ANZ1" s="551"/>
      <c r="AOA1" s="551">
        <v>44561</v>
      </c>
      <c r="AOB1" s="551"/>
      <c r="AOC1" s="551"/>
      <c r="AOD1" s="551"/>
      <c r="AOE1" s="551"/>
      <c r="AOF1" s="551"/>
      <c r="AOG1" s="551"/>
      <c r="AOH1" s="551">
        <v>44568</v>
      </c>
      <c r="AOI1" s="551"/>
      <c r="AOJ1" s="551"/>
      <c r="AOK1" s="551"/>
      <c r="AOL1" s="551"/>
      <c r="AOM1" s="551"/>
      <c r="AON1" s="551"/>
      <c r="AOO1" s="551">
        <v>44575</v>
      </c>
      <c r="AOP1" s="551"/>
      <c r="AOQ1" s="551"/>
      <c r="AOR1" s="551"/>
      <c r="AOS1" s="551"/>
      <c r="AOT1" s="551"/>
      <c r="AOU1" s="551"/>
    </row>
    <row r="2" spans="1:1087" s="167" customFormat="1" ht="124.8" customHeight="1" thickTop="1" thickBot="1">
      <c r="A2" s="176" t="s">
        <v>679</v>
      </c>
      <c r="B2" s="176" t="s">
        <v>679</v>
      </c>
      <c r="AD2" s="168" t="s">
        <v>627</v>
      </c>
      <c r="FK2" s="169" t="s">
        <v>632</v>
      </c>
      <c r="GH2" s="169" t="s">
        <v>634</v>
      </c>
      <c r="GP2" s="168" t="s">
        <v>633</v>
      </c>
      <c r="HO2" s="170" t="s">
        <v>652</v>
      </c>
      <c r="KT2" s="171" t="s">
        <v>698</v>
      </c>
      <c r="ME2" s="161"/>
      <c r="MF2" s="161"/>
      <c r="MG2" s="161"/>
      <c r="MH2" s="161"/>
      <c r="MI2" s="161"/>
      <c r="MJ2" s="161"/>
      <c r="MK2" s="161"/>
      <c r="ML2" s="161"/>
      <c r="MM2" s="155" t="s">
        <v>71</v>
      </c>
      <c r="MN2" s="159"/>
      <c r="MO2" s="161"/>
      <c r="MP2" s="161"/>
      <c r="MQ2" s="161"/>
      <c r="MR2" s="161"/>
      <c r="MS2" s="161"/>
      <c r="MT2" s="161"/>
      <c r="MU2" s="161"/>
      <c r="MV2" s="161"/>
      <c r="MW2" s="161"/>
      <c r="MX2" s="161"/>
      <c r="MY2" s="161"/>
      <c r="MZ2" s="161"/>
      <c r="NA2" s="161"/>
      <c r="NB2" s="161"/>
      <c r="NC2" s="161"/>
      <c r="ND2" s="161"/>
      <c r="NE2" s="161"/>
      <c r="NF2" s="161"/>
      <c r="NG2" s="161"/>
      <c r="NH2" s="161"/>
      <c r="NI2" s="161"/>
      <c r="NJ2" s="161"/>
      <c r="NK2" s="161"/>
      <c r="NL2" s="161"/>
      <c r="NM2" s="554" t="s">
        <v>86</v>
      </c>
      <c r="NN2" s="554"/>
      <c r="NO2" s="554"/>
      <c r="NP2" s="554"/>
      <c r="NQ2" s="554"/>
      <c r="NR2" s="554"/>
      <c r="NS2" s="554"/>
      <c r="NT2" s="554"/>
      <c r="NU2" s="554"/>
      <c r="NV2" s="554"/>
      <c r="NW2" s="554"/>
      <c r="NX2" s="554"/>
      <c r="NY2" s="554"/>
      <c r="NZ2" s="554"/>
      <c r="OA2" s="554"/>
      <c r="OB2" s="554"/>
      <c r="OC2" s="554"/>
      <c r="OD2" s="554"/>
      <c r="OE2" s="554"/>
      <c r="OF2" s="554"/>
      <c r="OG2" s="554"/>
      <c r="OH2" s="554"/>
      <c r="OI2" s="554"/>
      <c r="OJ2" s="554"/>
      <c r="OK2" s="554"/>
      <c r="OL2" s="554"/>
      <c r="OM2" s="554"/>
      <c r="ON2" s="554"/>
      <c r="OO2" s="554"/>
      <c r="OP2" s="554"/>
      <c r="OQ2" s="554"/>
      <c r="OR2" s="554"/>
      <c r="OS2" s="554"/>
      <c r="OT2" s="554"/>
      <c r="OU2" s="554"/>
      <c r="OV2" s="161"/>
      <c r="OW2" s="161"/>
      <c r="OX2" s="161"/>
      <c r="OY2" s="161"/>
      <c r="OZ2" s="161"/>
      <c r="PA2" s="161"/>
      <c r="PB2" s="161"/>
      <c r="PC2" s="161"/>
      <c r="PD2" s="161"/>
      <c r="PE2" s="161"/>
      <c r="PF2" s="161"/>
      <c r="PG2" s="161"/>
      <c r="PH2" s="161"/>
      <c r="PI2" s="161"/>
      <c r="PJ2" s="554" t="s">
        <v>696</v>
      </c>
      <c r="PK2" s="554"/>
      <c r="PL2" s="554"/>
      <c r="PM2" s="554"/>
      <c r="PN2" s="554"/>
      <c r="PO2" s="554"/>
      <c r="PP2" s="554"/>
      <c r="PQ2" s="554"/>
      <c r="PR2" s="554"/>
      <c r="PS2" s="554"/>
      <c r="PT2" s="554"/>
      <c r="PU2" s="554"/>
      <c r="PV2" s="554"/>
      <c r="PW2" s="554"/>
      <c r="PX2" s="554"/>
      <c r="PY2" s="554"/>
      <c r="PZ2" s="554"/>
      <c r="QA2" s="554"/>
      <c r="QB2" s="554"/>
      <c r="QC2" s="554"/>
      <c r="QD2" s="554"/>
      <c r="QE2" s="554"/>
      <c r="QF2" s="554"/>
      <c r="QG2" s="554"/>
      <c r="QH2" s="554"/>
      <c r="QI2" s="554"/>
      <c r="QJ2" s="554"/>
      <c r="QK2" s="554"/>
      <c r="QL2" s="554"/>
      <c r="QM2" s="554"/>
      <c r="QN2" s="554"/>
      <c r="QO2" s="554"/>
      <c r="QP2" s="554"/>
      <c r="QQ2" s="554"/>
      <c r="QR2" s="554"/>
      <c r="QS2" s="554"/>
      <c r="QT2" s="554"/>
      <c r="QU2" s="554"/>
      <c r="QV2" s="554"/>
      <c r="QW2" s="554"/>
      <c r="QX2" s="554"/>
      <c r="QY2" s="554"/>
      <c r="QZ2" s="554"/>
      <c r="SY2" s="160" t="s">
        <v>649</v>
      </c>
      <c r="SZ2" s="166"/>
      <c r="TA2" s="166"/>
      <c r="XR2" s="555" t="s">
        <v>89</v>
      </c>
      <c r="XS2" s="555"/>
      <c r="XT2" s="555"/>
      <c r="XU2" s="555"/>
      <c r="XV2" s="555"/>
      <c r="XW2" s="555"/>
      <c r="XX2" s="555"/>
      <c r="XY2" s="555"/>
      <c r="XZ2" s="555"/>
      <c r="YA2" s="555"/>
      <c r="YB2" s="555"/>
      <c r="YC2" s="555"/>
      <c r="YD2" s="555"/>
      <c r="YE2" s="555"/>
      <c r="YF2" s="555"/>
      <c r="YG2" s="555"/>
      <c r="YH2" s="555"/>
      <c r="YI2" s="555"/>
      <c r="YJ2" s="555"/>
      <c r="YK2" s="555"/>
      <c r="YL2" s="555"/>
      <c r="YM2" s="555"/>
      <c r="YN2" s="555"/>
      <c r="YO2" s="555"/>
      <c r="YP2" s="555"/>
      <c r="YQ2" s="555"/>
      <c r="YR2" s="555"/>
      <c r="YS2" s="555"/>
      <c r="YT2" s="555"/>
      <c r="YU2" s="555"/>
      <c r="YV2" s="555"/>
      <c r="YW2" s="555"/>
      <c r="YX2" s="555"/>
      <c r="YY2" s="555"/>
      <c r="YZ2" s="555"/>
      <c r="ZA2" s="555"/>
      <c r="ZB2" s="555"/>
      <c r="ZC2" s="555"/>
      <c r="ZD2" s="555"/>
      <c r="ZE2" s="555"/>
      <c r="ZF2" s="555"/>
      <c r="ZG2" s="555"/>
      <c r="ZH2" s="555"/>
      <c r="ZI2" s="555"/>
      <c r="ZJ2" s="555"/>
      <c r="ZK2" s="555"/>
      <c r="ZL2" s="555"/>
      <c r="ZM2" s="555"/>
      <c r="ZN2" s="555"/>
      <c r="ZO2" s="555"/>
      <c r="ZP2" s="555"/>
      <c r="ZQ2" s="555"/>
      <c r="ZR2" s="555"/>
      <c r="ZS2" s="555"/>
      <c r="ZT2" s="555"/>
      <c r="ZU2" s="555"/>
      <c r="ZV2" s="555"/>
      <c r="ZW2" s="555"/>
      <c r="ZX2" s="555"/>
      <c r="ZY2" s="555"/>
      <c r="ZZ2" s="555"/>
      <c r="AAA2" s="555"/>
      <c r="AAB2" s="555"/>
      <c r="AAC2" s="555"/>
      <c r="AAD2" s="555"/>
      <c r="AAE2" s="555"/>
      <c r="AAF2" s="555"/>
      <c r="AAG2" s="555"/>
      <c r="AAH2" s="555"/>
      <c r="AAI2" s="555"/>
      <c r="AAJ2" s="555"/>
      <c r="AAK2" s="555"/>
      <c r="AAL2" s="555"/>
      <c r="AAM2" s="555"/>
      <c r="AAN2" s="555"/>
      <c r="AAO2" s="555"/>
      <c r="ABA2" s="161"/>
      <c r="ABB2" s="161"/>
      <c r="ABC2" s="161"/>
      <c r="ABD2" s="161"/>
      <c r="ABE2" s="161"/>
      <c r="ABF2" s="556" t="s">
        <v>699</v>
      </c>
      <c r="ABG2" s="556"/>
      <c r="ABH2" s="556"/>
      <c r="ABI2" s="556"/>
      <c r="ABJ2" s="556"/>
      <c r="ABK2" s="556"/>
      <c r="ABL2" s="556"/>
      <c r="ABM2" s="556"/>
      <c r="ABN2" s="556"/>
      <c r="ABO2" s="556"/>
      <c r="ABP2" s="556"/>
      <c r="ABQ2" s="556"/>
      <c r="ABR2" s="556"/>
      <c r="ABS2" s="556"/>
      <c r="ABT2" s="556"/>
      <c r="ABU2" s="556"/>
      <c r="ABV2" s="556"/>
      <c r="ABW2" s="556"/>
      <c r="ABX2" s="556"/>
      <c r="ABY2" s="556"/>
      <c r="ABZ2" s="556"/>
      <c r="ACA2" s="556"/>
      <c r="ACB2" s="556"/>
      <c r="ACC2" s="556"/>
      <c r="ACD2" s="556"/>
      <c r="ACE2" s="556"/>
      <c r="ACF2" s="556"/>
      <c r="ACG2" s="556"/>
      <c r="ACH2" s="556"/>
      <c r="ACI2" s="556"/>
      <c r="ACJ2" s="556"/>
      <c r="ACK2" s="556"/>
      <c r="ACL2" s="556"/>
      <c r="ACM2" s="556"/>
      <c r="ACN2" s="556"/>
      <c r="ACO2" s="556"/>
      <c r="ACP2" s="556"/>
      <c r="ACQ2" s="556"/>
      <c r="ACR2" s="556"/>
      <c r="ACS2" s="556"/>
      <c r="ACT2" s="556"/>
      <c r="ACU2" s="556"/>
      <c r="ACV2" s="556"/>
      <c r="ACW2" s="556"/>
      <c r="ACX2" s="556"/>
      <c r="ACY2" s="556"/>
      <c r="ACZ2" s="556"/>
      <c r="ADA2" s="556"/>
      <c r="ADB2" s="556"/>
      <c r="ADC2" s="556"/>
      <c r="ADD2" s="556"/>
      <c r="ADE2" s="556"/>
      <c r="ADF2" s="556"/>
      <c r="ADG2" s="556"/>
      <c r="ADH2" s="556"/>
      <c r="ADI2" s="556"/>
      <c r="ADJ2" s="556"/>
      <c r="ADK2" s="556"/>
      <c r="ADL2" s="556"/>
      <c r="ADM2" s="556"/>
      <c r="ADN2" s="556"/>
      <c r="ADO2" s="556"/>
      <c r="ADP2" s="556"/>
      <c r="ADQ2" s="556"/>
      <c r="ADR2" s="556"/>
      <c r="ADS2" s="556"/>
      <c r="ADT2" s="556"/>
      <c r="ADU2" s="556"/>
      <c r="ADV2" s="556"/>
      <c r="ADW2" s="556"/>
      <c r="ADX2" s="556"/>
      <c r="ADY2" s="556"/>
      <c r="ADZ2" s="556"/>
      <c r="AEA2" s="556"/>
      <c r="AEB2" s="556"/>
      <c r="AEC2" s="556"/>
      <c r="AED2" s="556"/>
      <c r="AEE2" s="556"/>
      <c r="AEF2" s="556"/>
      <c r="AEG2" s="556"/>
      <c r="AEH2" s="556"/>
      <c r="AEI2" s="556"/>
      <c r="AEJ2" s="556"/>
      <c r="AEK2" s="556"/>
      <c r="AEL2" s="556"/>
      <c r="AEM2" s="556"/>
      <c r="AEN2" s="556"/>
      <c r="AEO2" s="556"/>
      <c r="AEP2" s="556"/>
      <c r="AEQ2" s="556"/>
      <c r="AER2" s="556"/>
      <c r="AES2" s="556"/>
      <c r="AET2" s="556"/>
      <c r="AEU2" s="556"/>
      <c r="AEV2" s="556"/>
      <c r="AEW2" s="556"/>
      <c r="AEX2" s="556"/>
      <c r="AEY2" s="556"/>
      <c r="AEZ2" s="556"/>
      <c r="AFA2" s="556"/>
      <c r="AFB2" s="556"/>
      <c r="AFC2" s="556"/>
      <c r="AFD2" s="556"/>
      <c r="AFE2" s="556"/>
      <c r="AFF2" s="556"/>
      <c r="AFG2" s="556"/>
      <c r="AFH2" s="556"/>
      <c r="AFI2" s="556"/>
      <c r="AFJ2" s="556"/>
      <c r="AFK2" s="556"/>
      <c r="AFL2" s="556"/>
      <c r="AFM2" s="556"/>
      <c r="AFN2" s="556"/>
      <c r="AFO2" s="556"/>
      <c r="AFP2" s="556"/>
      <c r="AFQ2" s="556"/>
      <c r="AFR2" s="556"/>
      <c r="AFS2" s="556"/>
      <c r="AFT2" s="556"/>
      <c r="AFU2" s="556"/>
      <c r="AFV2" s="556"/>
      <c r="AFW2" s="556"/>
      <c r="AFX2" s="556"/>
      <c r="AFY2" s="556"/>
      <c r="AFZ2" s="556"/>
      <c r="AGA2" s="556"/>
      <c r="AGB2" s="556"/>
      <c r="AGC2" s="556"/>
      <c r="AGD2" s="556"/>
      <c r="AGE2" s="556"/>
      <c r="AGF2" s="556"/>
      <c r="AGG2" s="556"/>
      <c r="AGH2" s="556"/>
      <c r="AGI2" s="556"/>
      <c r="AGJ2" s="556"/>
      <c r="AGK2" s="556"/>
      <c r="AGL2" s="556"/>
      <c r="AGM2" s="556"/>
      <c r="AGN2" s="556"/>
      <c r="AGO2" s="556"/>
      <c r="AGP2" s="556"/>
      <c r="AGQ2" s="556"/>
      <c r="AGR2" s="556"/>
      <c r="AGS2" s="556"/>
      <c r="AGT2" s="556"/>
      <c r="AGU2" s="556"/>
      <c r="AGV2" s="556"/>
      <c r="AGW2" s="556"/>
      <c r="AGX2" s="556"/>
      <c r="AGY2" s="556"/>
      <c r="AGZ2" s="556"/>
      <c r="AHA2" s="556"/>
      <c r="AHB2" s="556"/>
      <c r="AHC2" s="556"/>
      <c r="AHD2" s="556"/>
      <c r="AHE2" s="556"/>
      <c r="AHF2" s="556"/>
      <c r="AHG2" s="556"/>
      <c r="AHH2" s="556"/>
      <c r="AHI2" s="556"/>
      <c r="AHJ2" s="556"/>
      <c r="AHK2" s="556"/>
      <c r="AHL2" s="556"/>
      <c r="AHM2" s="556"/>
      <c r="AHN2" s="556"/>
      <c r="AHO2" s="556"/>
      <c r="AHP2" s="556"/>
      <c r="AHQ2" s="556"/>
      <c r="AHR2" s="556"/>
      <c r="AHS2" s="556"/>
      <c r="AHT2" s="556"/>
      <c r="AHU2" s="556"/>
      <c r="AHV2" s="556"/>
      <c r="AHW2" s="556"/>
      <c r="AHX2" s="556"/>
      <c r="AHY2" s="556"/>
      <c r="AHZ2" s="556"/>
      <c r="AIA2" s="556"/>
      <c r="AIB2" s="556"/>
      <c r="AIC2" s="556"/>
      <c r="AID2" s="556"/>
      <c r="AIE2" s="162" t="s">
        <v>654</v>
      </c>
      <c r="AIF2" s="166"/>
      <c r="AIG2" s="166"/>
      <c r="AIH2" s="166"/>
      <c r="AII2" s="166"/>
      <c r="AJJ2" s="552" t="s">
        <v>655</v>
      </c>
      <c r="AJK2" s="553"/>
      <c r="AJL2" s="553"/>
      <c r="AJM2" s="553"/>
      <c r="ALS2" s="172" t="s">
        <v>693</v>
      </c>
      <c r="AOK2" s="168" t="s">
        <v>651</v>
      </c>
      <c r="AOP2" s="170" t="s">
        <v>695</v>
      </c>
    </row>
    <row r="3" spans="1:1087" s="167" customFormat="1" ht="122.4" hidden="1" customHeight="1" thickTop="1" thickBot="1">
      <c r="A3" s="176" t="s">
        <v>680</v>
      </c>
      <c r="B3" s="176" t="s">
        <v>680</v>
      </c>
      <c r="ME3" s="161"/>
      <c r="MF3" s="161"/>
      <c r="MG3" s="161"/>
      <c r="MH3" s="161"/>
      <c r="MI3" s="161"/>
      <c r="MJ3" s="161"/>
      <c r="MK3" s="161"/>
      <c r="ML3" s="161"/>
      <c r="MM3" s="161"/>
      <c r="MN3" s="161"/>
      <c r="MO3" s="161"/>
      <c r="MP3" s="161"/>
      <c r="MQ3" s="161"/>
      <c r="MR3" s="161"/>
      <c r="MS3" s="161"/>
      <c r="MT3" s="161"/>
      <c r="MU3" s="161"/>
      <c r="MV3" s="161"/>
      <c r="MW3" s="161"/>
      <c r="MX3" s="161"/>
      <c r="MY3" s="161"/>
      <c r="MZ3" s="161"/>
      <c r="NA3" s="161"/>
      <c r="NB3" s="161"/>
      <c r="NC3" s="161"/>
      <c r="ND3" s="163" t="s">
        <v>673</v>
      </c>
      <c r="NE3" s="161"/>
      <c r="NF3" s="161"/>
      <c r="NG3" s="161"/>
      <c r="NH3" s="161"/>
      <c r="NI3" s="161"/>
      <c r="NJ3" s="161"/>
      <c r="NK3" s="161"/>
      <c r="NL3" s="161"/>
      <c r="NM3" s="161"/>
      <c r="NN3" s="161"/>
      <c r="NO3" s="161"/>
      <c r="NP3" s="161"/>
      <c r="NQ3" s="161"/>
      <c r="NR3" s="161"/>
      <c r="NS3" s="161"/>
      <c r="NT3" s="161"/>
      <c r="NU3" s="161"/>
      <c r="NV3" s="161"/>
      <c r="NW3" s="161"/>
      <c r="NX3" s="161"/>
      <c r="NY3" s="161"/>
      <c r="NZ3" s="161"/>
      <c r="OA3" s="161"/>
      <c r="OB3" s="161"/>
      <c r="OC3" s="161"/>
      <c r="OD3" s="161"/>
      <c r="OE3" s="161"/>
      <c r="OF3" s="161"/>
      <c r="OG3" s="161"/>
      <c r="OH3" s="161"/>
      <c r="OI3" s="161"/>
      <c r="OJ3" s="161"/>
      <c r="OK3" s="161"/>
      <c r="OL3" s="161"/>
      <c r="OM3" s="161"/>
      <c r="ON3" s="161"/>
      <c r="OO3" s="161"/>
      <c r="OP3" s="161"/>
      <c r="OQ3" s="161"/>
      <c r="OR3" s="161"/>
      <c r="OS3" s="161"/>
      <c r="OT3" s="161"/>
      <c r="OU3" s="161"/>
      <c r="OV3" s="161"/>
      <c r="OW3" s="161"/>
      <c r="OX3" s="161"/>
      <c r="OY3" s="161"/>
      <c r="OZ3" s="161"/>
      <c r="PA3" s="161"/>
      <c r="PB3" s="161"/>
      <c r="PC3" s="161"/>
      <c r="PD3" s="161"/>
      <c r="PE3" s="161"/>
      <c r="PF3" s="161"/>
      <c r="PG3" s="161"/>
      <c r="PH3" s="161"/>
      <c r="PI3" s="161"/>
      <c r="PJ3" s="161"/>
      <c r="PK3" s="161"/>
      <c r="PL3" s="161"/>
      <c r="PM3" s="161"/>
      <c r="PN3" s="161"/>
      <c r="PO3" s="161"/>
      <c r="PP3" s="161"/>
      <c r="PQ3" s="161"/>
      <c r="PR3" s="161"/>
      <c r="PS3" s="161"/>
      <c r="PT3" s="161"/>
      <c r="PU3" s="161"/>
      <c r="PV3" s="161"/>
      <c r="PW3" s="161"/>
      <c r="PX3" s="161"/>
      <c r="PY3" s="161"/>
      <c r="PZ3" s="161"/>
      <c r="QA3" s="161"/>
      <c r="QB3" s="161"/>
      <c r="QC3" s="161"/>
      <c r="QD3" s="161"/>
      <c r="QE3" s="161"/>
      <c r="QF3" s="161"/>
      <c r="QG3" s="161"/>
      <c r="QH3" s="161"/>
      <c r="QI3" s="161"/>
      <c r="QJ3" s="161"/>
      <c r="QK3" s="161"/>
      <c r="QL3" s="161"/>
      <c r="QM3" s="161"/>
      <c r="QN3" s="161"/>
      <c r="QO3" s="161"/>
      <c r="QP3" s="161"/>
      <c r="QQ3" s="161"/>
      <c r="QR3" s="161"/>
      <c r="QS3" s="161"/>
      <c r="QT3" s="161"/>
      <c r="QU3" s="161"/>
      <c r="QV3" s="161"/>
      <c r="QW3" s="161"/>
      <c r="QX3" s="161"/>
      <c r="QY3" s="161"/>
      <c r="QZ3" s="161"/>
      <c r="RU3" s="163" t="s">
        <v>674</v>
      </c>
      <c r="UD3" s="163" t="s">
        <v>675</v>
      </c>
      <c r="WV3" s="174" t="s">
        <v>745</v>
      </c>
      <c r="XR3" s="175" t="s">
        <v>676</v>
      </c>
      <c r="XS3" s="166"/>
      <c r="ABA3" s="161"/>
      <c r="ABB3" s="161"/>
      <c r="ABC3" s="161"/>
      <c r="ABD3" s="161"/>
      <c r="ABE3" s="161"/>
      <c r="ABF3" s="161"/>
      <c r="ABG3" s="161"/>
      <c r="ABH3" s="161"/>
      <c r="ABI3" s="161"/>
      <c r="ABJ3" s="161"/>
      <c r="ABK3" s="161"/>
      <c r="ABL3" s="161"/>
      <c r="ABM3" s="161"/>
      <c r="ABN3" s="161"/>
      <c r="ABO3" s="161"/>
      <c r="ABP3" s="161"/>
      <c r="ABQ3" s="161"/>
      <c r="ABR3" s="161"/>
      <c r="ABS3" s="161"/>
      <c r="ABT3" s="161"/>
      <c r="ABU3" s="161"/>
      <c r="ABV3" s="161"/>
      <c r="ABW3" s="161"/>
      <c r="ABX3" s="161"/>
      <c r="ABY3" s="161"/>
      <c r="ABZ3" s="161"/>
      <c r="ACA3" s="161"/>
      <c r="ACB3" s="161"/>
      <c r="ACC3" s="161"/>
      <c r="ACD3" s="161"/>
      <c r="ACE3" s="161"/>
      <c r="ACF3" s="161"/>
      <c r="ACG3" s="161"/>
      <c r="ACH3" s="161"/>
      <c r="ACI3" s="161"/>
      <c r="ACJ3" s="161"/>
      <c r="ACK3" s="161"/>
      <c r="ACL3" s="161"/>
      <c r="ACM3" s="161"/>
      <c r="ACN3" s="161"/>
      <c r="ACO3" s="161"/>
      <c r="ACP3" s="161"/>
      <c r="ACQ3" s="161"/>
      <c r="ACR3" s="161"/>
      <c r="ACS3" s="161"/>
      <c r="ACT3" s="161"/>
      <c r="ACU3" s="161"/>
      <c r="ACV3" s="161"/>
      <c r="ACW3" s="161"/>
      <c r="ACX3" s="161"/>
      <c r="ACY3" s="161"/>
      <c r="ACZ3" s="161"/>
      <c r="ADA3" s="161"/>
      <c r="ADB3" s="161"/>
      <c r="ADC3" s="161"/>
      <c r="ADD3" s="161"/>
      <c r="ADE3" s="161"/>
      <c r="ADF3" s="161"/>
      <c r="ADG3" s="161"/>
      <c r="ADH3" s="161"/>
      <c r="ADI3" s="161"/>
      <c r="ADJ3" s="161"/>
      <c r="ADK3" s="161"/>
      <c r="ADL3" s="161"/>
      <c r="ADM3" s="161"/>
      <c r="ADN3" s="161"/>
      <c r="ADO3" s="161"/>
      <c r="ADP3" s="161"/>
      <c r="ADQ3" s="161"/>
      <c r="ADR3" s="161"/>
      <c r="ADS3" s="161"/>
      <c r="ADT3" s="161"/>
      <c r="ADU3" s="161"/>
      <c r="ADV3" s="161"/>
      <c r="ADW3" s="161"/>
      <c r="ADX3" s="161"/>
      <c r="ADY3" s="161"/>
      <c r="ADZ3" s="161"/>
      <c r="AEA3" s="161"/>
      <c r="AEB3" s="161"/>
      <c r="AEC3" s="161"/>
      <c r="AED3" s="161"/>
      <c r="AEE3" s="161"/>
      <c r="AEF3" s="161"/>
      <c r="AEG3" s="161"/>
      <c r="AEH3" s="161"/>
      <c r="AEI3" s="161"/>
      <c r="AEJ3" s="161"/>
      <c r="AEK3" s="161"/>
      <c r="AEL3" s="161"/>
      <c r="AEM3" s="161"/>
      <c r="AEN3" s="161"/>
      <c r="AEO3" s="161"/>
      <c r="AEP3" s="161"/>
      <c r="AEQ3" s="161"/>
      <c r="AER3" s="161"/>
      <c r="AES3" s="161"/>
      <c r="AET3" s="161"/>
      <c r="AEU3" s="161"/>
      <c r="AEV3" s="161"/>
      <c r="AEW3" s="161"/>
      <c r="AEX3" s="161"/>
      <c r="AEY3" s="161"/>
      <c r="AEZ3" s="161"/>
      <c r="AFA3" s="161"/>
      <c r="AFB3" s="161"/>
      <c r="AFC3" s="161"/>
      <c r="AFD3" s="161"/>
      <c r="AFE3" s="161"/>
      <c r="AFF3" s="161"/>
      <c r="AFG3" s="161"/>
      <c r="AFH3" s="161"/>
      <c r="AFI3" s="161"/>
      <c r="AFJ3" s="161"/>
      <c r="AFK3" s="161"/>
      <c r="AFL3" s="161"/>
      <c r="AFM3" s="161"/>
      <c r="AFN3" s="161"/>
      <c r="AFO3" s="161"/>
      <c r="AFP3" s="161"/>
      <c r="AFQ3" s="161"/>
      <c r="AFR3" s="161"/>
      <c r="AFS3" s="161"/>
      <c r="AFT3" s="161"/>
      <c r="AFU3" s="161"/>
      <c r="AFV3" s="161"/>
      <c r="AFW3" s="161"/>
      <c r="AFX3" s="161"/>
      <c r="AFY3" s="161"/>
      <c r="AFZ3" s="161"/>
      <c r="AGA3" s="161"/>
      <c r="AGB3" s="161"/>
      <c r="AGC3" s="161"/>
      <c r="AGD3" s="161"/>
      <c r="AGE3" s="161"/>
      <c r="AGF3" s="161"/>
      <c r="AGG3" s="161"/>
      <c r="AGH3" s="161"/>
      <c r="AGI3" s="161"/>
      <c r="AGJ3" s="161"/>
      <c r="AGK3" s="161"/>
      <c r="AGL3" s="161"/>
      <c r="AGM3" s="161"/>
      <c r="AGN3" s="161"/>
      <c r="AGO3" s="161"/>
      <c r="AGP3" s="161"/>
      <c r="AGQ3" s="161"/>
      <c r="AGR3" s="161"/>
      <c r="AGS3" s="161"/>
      <c r="AGT3" s="161"/>
      <c r="AGU3" s="161"/>
      <c r="AGV3" s="161"/>
      <c r="AGW3" s="161"/>
      <c r="AGX3" s="161"/>
      <c r="AGY3" s="161"/>
      <c r="AGZ3" s="161"/>
      <c r="AHA3" s="161"/>
      <c r="AHB3" s="161"/>
      <c r="AHC3" s="161"/>
      <c r="AHD3" s="161"/>
      <c r="AHE3" s="161"/>
      <c r="AHF3" s="161"/>
      <c r="AHG3" s="161"/>
      <c r="AHH3" s="161"/>
      <c r="AHI3" s="161"/>
      <c r="AHJ3" s="161"/>
      <c r="AHK3" s="161"/>
      <c r="AHL3" s="161"/>
      <c r="AHM3" s="161"/>
      <c r="AHN3" s="161"/>
      <c r="AHO3" s="161"/>
      <c r="AHP3" s="161"/>
      <c r="AHQ3" s="161"/>
      <c r="AHR3" s="161"/>
      <c r="AHS3" s="161"/>
      <c r="AHT3" s="161"/>
      <c r="AHU3" s="161"/>
      <c r="AHV3" s="161"/>
      <c r="AHW3" s="161"/>
      <c r="AHX3" s="161"/>
      <c r="AHY3" s="161"/>
      <c r="AHZ3" s="161"/>
      <c r="AIA3" s="161"/>
      <c r="AIB3" s="161"/>
      <c r="AIC3" s="161"/>
      <c r="AID3" s="161"/>
    </row>
    <row r="4" spans="1:1087" s="167" customFormat="1" ht="179.4" hidden="1" customHeight="1" thickTop="1" thickBot="1">
      <c r="A4" s="176" t="s">
        <v>681</v>
      </c>
      <c r="B4" s="176" t="s">
        <v>681</v>
      </c>
      <c r="VB4" s="557" t="s">
        <v>668</v>
      </c>
      <c r="VC4" s="558"/>
      <c r="VD4" s="558"/>
      <c r="VE4" s="558"/>
      <c r="VF4" s="558"/>
      <c r="VG4" s="558"/>
      <c r="VH4" s="558"/>
      <c r="VI4" s="558"/>
      <c r="VJ4" s="558"/>
      <c r="VK4" s="558"/>
      <c r="VL4" s="558"/>
      <c r="VM4" s="558"/>
      <c r="VN4" s="558"/>
      <c r="VO4" s="558"/>
      <c r="VP4" s="558"/>
      <c r="VQ4" s="558"/>
      <c r="VR4" s="558"/>
      <c r="VS4" s="558"/>
      <c r="VT4" s="558"/>
      <c r="VU4" s="558"/>
      <c r="VV4" s="558"/>
      <c r="VW4" s="558"/>
      <c r="VX4" s="558"/>
      <c r="VY4" s="558"/>
      <c r="VZ4" s="558"/>
      <c r="WA4" s="558"/>
      <c r="WB4" s="558"/>
      <c r="WC4" s="558"/>
      <c r="WD4" s="558"/>
      <c r="WE4" s="559"/>
      <c r="WF4" s="559"/>
      <c r="WG4" s="559"/>
      <c r="WH4" s="559"/>
      <c r="WI4" s="559"/>
      <c r="WJ4" s="559"/>
      <c r="WK4" s="559"/>
      <c r="WL4" s="559"/>
      <c r="WM4" s="559"/>
      <c r="WN4" s="559"/>
      <c r="WO4" s="559"/>
      <c r="WP4" s="559"/>
      <c r="WQ4" s="559"/>
      <c r="WR4" s="559"/>
      <c r="WS4" s="559"/>
      <c r="WT4" s="559"/>
      <c r="WU4" s="559"/>
      <c r="WV4" s="559"/>
      <c r="WW4" s="559"/>
      <c r="WX4" s="559"/>
      <c r="WY4" s="559"/>
      <c r="WZ4" s="559"/>
      <c r="XA4" s="559"/>
      <c r="XB4" s="559"/>
      <c r="XC4" s="559"/>
      <c r="XD4" s="559"/>
      <c r="XE4" s="559"/>
      <c r="XF4" s="559"/>
      <c r="XG4" s="559"/>
      <c r="XH4" s="559"/>
      <c r="XI4" s="559"/>
      <c r="XJ4" s="559"/>
      <c r="XK4" s="559"/>
      <c r="XL4" s="559"/>
      <c r="XM4" s="559"/>
      <c r="XN4" s="559"/>
      <c r="XO4" s="559"/>
      <c r="XP4" s="559"/>
      <c r="XQ4" s="559"/>
      <c r="XR4" s="559"/>
      <c r="XS4" s="559"/>
      <c r="XT4" s="559"/>
      <c r="XU4" s="559"/>
      <c r="XV4" s="559"/>
      <c r="XW4" s="559"/>
      <c r="XX4" s="559"/>
      <c r="XY4" s="559"/>
      <c r="XZ4" s="559"/>
      <c r="YA4" s="559"/>
      <c r="YB4" s="559"/>
      <c r="YC4" s="559"/>
      <c r="YD4" s="559"/>
      <c r="YE4" s="559"/>
      <c r="YF4" s="559"/>
      <c r="YG4" s="559"/>
      <c r="YH4" s="559"/>
      <c r="YI4" s="559"/>
      <c r="YJ4" s="559"/>
      <c r="YK4" s="559"/>
      <c r="YL4" s="559"/>
      <c r="YM4" s="559"/>
      <c r="YN4" s="558"/>
      <c r="YO4" s="558"/>
      <c r="YP4" s="558"/>
      <c r="YQ4" s="558"/>
      <c r="YR4" s="558"/>
      <c r="YS4" s="558"/>
      <c r="YT4" s="558"/>
      <c r="YU4" s="558"/>
      <c r="YV4" s="558"/>
      <c r="YW4" s="558"/>
      <c r="YX4" s="558"/>
      <c r="YY4" s="558"/>
      <c r="YZ4" s="558"/>
      <c r="ZA4" s="558"/>
      <c r="ZB4" s="558"/>
      <c r="ZC4" s="558"/>
      <c r="ZD4" s="558"/>
      <c r="ZE4" s="558"/>
      <c r="ZF4" s="558"/>
      <c r="ZG4" s="558"/>
      <c r="ZH4" s="558"/>
      <c r="ZI4" s="558"/>
      <c r="ZJ4" s="560"/>
      <c r="ABA4" s="561" t="s">
        <v>668</v>
      </c>
      <c r="ABB4" s="562"/>
      <c r="ABC4" s="562"/>
      <c r="ABD4" s="562"/>
      <c r="ABE4" s="562"/>
      <c r="ABF4" s="562"/>
      <c r="ABG4" s="562"/>
      <c r="ABH4" s="562"/>
      <c r="ABI4" s="562"/>
      <c r="ABJ4" s="562"/>
      <c r="ABK4" s="562"/>
      <c r="ABL4" s="562"/>
      <c r="ABM4" s="562"/>
      <c r="ABN4" s="562"/>
      <c r="ABO4" s="562"/>
      <c r="ABP4" s="562"/>
      <c r="ABQ4" s="562"/>
      <c r="ABR4" s="562"/>
      <c r="ABS4" s="562"/>
      <c r="ABT4" s="562"/>
      <c r="ABU4" s="562"/>
      <c r="ABV4" s="562"/>
      <c r="ABW4" s="562"/>
      <c r="ABX4" s="562"/>
      <c r="ABY4" s="562"/>
      <c r="ABZ4" s="562"/>
      <c r="ACA4" s="562"/>
      <c r="ACB4" s="562"/>
      <c r="ACC4" s="562"/>
      <c r="ACD4" s="562"/>
      <c r="ACE4" s="562"/>
      <c r="ACF4" s="562"/>
      <c r="ACG4" s="562"/>
      <c r="ACH4" s="562"/>
      <c r="ACI4" s="562"/>
      <c r="ACJ4" s="562"/>
      <c r="ACK4" s="562"/>
      <c r="ACL4" s="562"/>
      <c r="ACM4" s="562"/>
      <c r="ACN4" s="562"/>
      <c r="ACO4" s="562"/>
      <c r="ACP4" s="562"/>
      <c r="ACQ4" s="562"/>
      <c r="ACR4" s="562"/>
      <c r="ACS4" s="562"/>
      <c r="ACT4" s="562"/>
      <c r="ACU4" s="562"/>
      <c r="ACV4" s="562"/>
      <c r="ACW4" s="562"/>
      <c r="ACX4" s="562"/>
      <c r="ACY4" s="562"/>
      <c r="ACZ4" s="562"/>
      <c r="ADA4" s="562"/>
      <c r="ADB4" s="562"/>
      <c r="ADC4" s="562"/>
      <c r="ADD4" s="562"/>
      <c r="ADE4" s="562"/>
      <c r="ADF4" s="562"/>
      <c r="ADG4" s="562"/>
      <c r="ADH4" s="562"/>
      <c r="ADI4" s="562"/>
      <c r="ADJ4" s="562"/>
      <c r="ADK4" s="562"/>
      <c r="ADL4" s="562"/>
      <c r="ADM4" s="562"/>
      <c r="ADN4" s="562"/>
      <c r="ADO4" s="562"/>
      <c r="ADP4" s="562"/>
      <c r="ADQ4" s="562"/>
      <c r="ADR4" s="562"/>
      <c r="ADS4" s="562"/>
      <c r="ADT4" s="562"/>
      <c r="ADU4" s="562"/>
      <c r="ADV4" s="562"/>
      <c r="ADW4" s="562"/>
      <c r="ADX4" s="562"/>
      <c r="ADY4" s="562"/>
      <c r="ADZ4" s="562"/>
      <c r="AEA4" s="562"/>
      <c r="AEB4" s="562"/>
      <c r="AEC4" s="562"/>
      <c r="AED4" s="562"/>
      <c r="AEE4" s="562"/>
      <c r="AEF4" s="562"/>
      <c r="AEG4" s="562"/>
      <c r="AEH4" s="563"/>
      <c r="AEI4" s="563"/>
      <c r="AEJ4" s="563"/>
      <c r="AEK4" s="563"/>
      <c r="AEL4" s="563"/>
      <c r="AEM4" s="563"/>
      <c r="AEN4" s="563"/>
      <c r="AEO4" s="563"/>
      <c r="AEP4" s="563"/>
      <c r="AEQ4" s="563"/>
      <c r="AER4" s="563"/>
      <c r="AES4" s="563"/>
      <c r="AET4" s="563"/>
      <c r="AEU4" s="563"/>
      <c r="AEV4" s="563"/>
      <c r="AEW4" s="563"/>
      <c r="AEX4" s="563"/>
      <c r="AEY4" s="563"/>
      <c r="AEZ4" s="563"/>
      <c r="AFA4" s="563"/>
      <c r="AFB4" s="563"/>
      <c r="AFC4" s="563"/>
      <c r="AFD4" s="563"/>
      <c r="AFE4" s="563"/>
      <c r="AFF4" s="563"/>
      <c r="AFG4" s="563"/>
      <c r="AFH4" s="563"/>
      <c r="AFI4" s="563"/>
      <c r="AFJ4" s="563"/>
      <c r="AFK4" s="563"/>
      <c r="AFL4" s="563"/>
      <c r="AFM4" s="563"/>
      <c r="AFN4" s="563"/>
      <c r="AFO4" s="563"/>
      <c r="AFP4" s="563"/>
      <c r="AFQ4" s="563"/>
      <c r="AFR4" s="563"/>
      <c r="AFS4" s="563"/>
      <c r="AFT4" s="563"/>
      <c r="AFU4" s="563"/>
      <c r="AFV4" s="563"/>
      <c r="AFW4" s="563"/>
      <c r="AFX4" s="563"/>
      <c r="AFY4" s="563"/>
      <c r="AFZ4" s="563"/>
      <c r="AGA4" s="563"/>
      <c r="AGB4" s="563"/>
      <c r="AGC4" s="563"/>
      <c r="AGD4" s="563"/>
      <c r="AGE4" s="563"/>
      <c r="AGF4" s="563"/>
      <c r="AGG4" s="563"/>
      <c r="AGH4" s="563"/>
      <c r="AGI4" s="563"/>
      <c r="AGJ4" s="563"/>
      <c r="AGK4" s="563"/>
      <c r="AGL4" s="563"/>
      <c r="AGM4" s="563"/>
      <c r="AGN4" s="563"/>
      <c r="AGO4" s="563"/>
      <c r="AGP4" s="563"/>
      <c r="AGQ4" s="562"/>
      <c r="AGR4" s="562"/>
      <c r="AGS4" s="562"/>
      <c r="AGT4" s="564"/>
      <c r="AGU4" s="161"/>
      <c r="AGV4" s="161"/>
      <c r="AGW4" s="161"/>
      <c r="AGX4" s="161"/>
      <c r="AGY4" s="161"/>
      <c r="AGZ4" s="161"/>
      <c r="AHA4" s="161"/>
      <c r="AHB4" s="161"/>
      <c r="AHC4" s="161"/>
      <c r="AHD4" s="161"/>
      <c r="AHE4" s="161"/>
      <c r="AHF4" s="161"/>
      <c r="AHG4" s="161"/>
      <c r="AHH4" s="161"/>
      <c r="AHI4" s="161"/>
      <c r="AHJ4" s="161"/>
      <c r="AHK4" s="161"/>
      <c r="AHL4" s="161"/>
      <c r="AHM4" s="161"/>
      <c r="AHN4" s="161"/>
      <c r="AHO4" s="161"/>
      <c r="AHP4" s="161"/>
      <c r="AHQ4" s="161"/>
      <c r="AHR4" s="161"/>
      <c r="AHS4" s="161"/>
      <c r="AHT4" s="161"/>
      <c r="AHU4" s="161"/>
      <c r="AHV4" s="161"/>
      <c r="AHW4" s="161"/>
      <c r="AHX4" s="161"/>
      <c r="AHY4" s="161"/>
      <c r="AHZ4" s="161"/>
      <c r="AIA4" s="161"/>
      <c r="AIB4" s="161"/>
      <c r="AIC4" s="161"/>
      <c r="AID4" s="161"/>
    </row>
    <row r="5" spans="1:1087" s="167" customFormat="1" ht="205.8" hidden="1" customHeight="1" thickTop="1" thickBot="1">
      <c r="A5" s="176" t="s">
        <v>612</v>
      </c>
      <c r="B5" s="176" t="s">
        <v>759</v>
      </c>
      <c r="CZ5" s="565" t="s">
        <v>142</v>
      </c>
      <c r="DA5" s="565"/>
      <c r="DB5" s="565"/>
      <c r="DC5" s="565"/>
      <c r="DD5" s="565"/>
      <c r="DE5" s="565"/>
      <c r="DF5" s="565"/>
      <c r="DG5" s="565"/>
      <c r="DH5" s="565"/>
      <c r="DI5" s="565"/>
      <c r="DJ5" s="565"/>
      <c r="DK5" s="565"/>
      <c r="DO5" s="566" t="s">
        <v>147</v>
      </c>
      <c r="DP5" s="566"/>
      <c r="DQ5" s="566"/>
      <c r="DR5" s="567" t="s">
        <v>487</v>
      </c>
      <c r="DS5" s="567"/>
      <c r="DT5" s="567"/>
      <c r="DU5" s="567"/>
      <c r="DV5" s="567"/>
      <c r="DW5" s="567"/>
      <c r="DX5" s="567"/>
      <c r="DY5" s="567"/>
      <c r="DZ5" s="567"/>
      <c r="EA5" s="567"/>
      <c r="EB5" s="567"/>
      <c r="EC5" s="567"/>
      <c r="ED5" s="567"/>
      <c r="EE5" s="567"/>
      <c r="EF5" s="567"/>
      <c r="EG5" s="567"/>
      <c r="EH5" s="567"/>
      <c r="EI5" s="567"/>
      <c r="EJ5" s="567"/>
      <c r="EK5" s="567"/>
      <c r="EL5" s="567"/>
      <c r="EO5" s="567" t="s">
        <v>150</v>
      </c>
      <c r="EP5" s="567"/>
      <c r="EQ5" s="567"/>
      <c r="ER5" s="567"/>
      <c r="ES5" s="567"/>
      <c r="ET5" s="567"/>
      <c r="EU5" s="567"/>
      <c r="EV5" s="567"/>
      <c r="EW5" s="567"/>
      <c r="EX5" s="567"/>
      <c r="EY5" s="567"/>
      <c r="EZ5" s="567"/>
      <c r="FC5" s="568" t="s">
        <v>154</v>
      </c>
      <c r="FD5" s="568"/>
      <c r="FE5" s="568"/>
    </row>
    <row r="6" spans="1:1087" s="167" customFormat="1" ht="228.6" customHeight="1" thickTop="1" thickBot="1">
      <c r="A6" s="176" t="s">
        <v>614</v>
      </c>
      <c r="B6" s="180" t="s">
        <v>760</v>
      </c>
      <c r="PJ6" s="579" t="s">
        <v>707</v>
      </c>
      <c r="PK6" s="579"/>
      <c r="PL6" s="579"/>
      <c r="PM6" s="579"/>
      <c r="PN6" s="579"/>
      <c r="PO6" s="579"/>
      <c r="PP6" s="579"/>
      <c r="PQ6" s="579"/>
      <c r="PR6" s="579"/>
      <c r="PS6" s="579"/>
      <c r="PT6" s="579"/>
      <c r="PU6" s="579"/>
      <c r="PV6" s="579"/>
      <c r="PW6" s="579"/>
      <c r="PX6" s="572" t="s">
        <v>733</v>
      </c>
      <c r="PY6" s="572"/>
      <c r="PZ6" s="572"/>
      <c r="QA6" s="572"/>
      <c r="QB6" s="572"/>
      <c r="QC6" s="572"/>
      <c r="QD6" s="572"/>
      <c r="QE6" s="580" t="s">
        <v>708</v>
      </c>
      <c r="QF6" s="580"/>
      <c r="QG6" s="580"/>
      <c r="QH6" s="580"/>
      <c r="QI6" s="580"/>
      <c r="QJ6" s="581" t="s">
        <v>709</v>
      </c>
      <c r="QK6" s="581"/>
      <c r="QL6" s="581"/>
      <c r="QM6" s="581"/>
      <c r="QN6" s="581"/>
      <c r="QO6" s="581"/>
      <c r="QP6" s="581"/>
      <c r="QQ6" s="581"/>
      <c r="QR6" s="581"/>
      <c r="QS6" s="581"/>
      <c r="QT6" s="581"/>
      <c r="QU6" s="161"/>
      <c r="QV6" s="581" t="s">
        <v>753</v>
      </c>
      <c r="QW6" s="581"/>
      <c r="QX6" s="581"/>
      <c r="QY6" s="581"/>
      <c r="QZ6" s="581"/>
      <c r="RA6" s="581"/>
      <c r="RB6" s="581"/>
      <c r="RC6" s="581"/>
      <c r="RD6" s="581"/>
      <c r="RE6" s="575" t="s">
        <v>710</v>
      </c>
      <c r="RF6" s="575"/>
      <c r="RG6" s="575"/>
      <c r="RH6" s="575"/>
      <c r="RI6" s="574" t="s">
        <v>730</v>
      </c>
      <c r="RJ6" s="574"/>
      <c r="RK6" s="574"/>
      <c r="RL6" s="574"/>
      <c r="RM6" s="574"/>
      <c r="RN6" s="574"/>
      <c r="RO6" s="574"/>
      <c r="RP6" s="574"/>
      <c r="RQ6" s="574"/>
      <c r="RR6" s="574"/>
      <c r="RS6" s="574"/>
      <c r="RT6" s="574"/>
      <c r="RU6" s="574"/>
      <c r="RV6" s="574"/>
      <c r="RW6" s="574"/>
      <c r="RX6" s="574"/>
      <c r="RY6" s="574"/>
      <c r="RZ6" s="574"/>
      <c r="SA6" s="574"/>
      <c r="SB6" s="572" t="s">
        <v>711</v>
      </c>
      <c r="SC6" s="572"/>
      <c r="SD6" s="572"/>
      <c r="SE6" s="572"/>
      <c r="SF6" s="572"/>
      <c r="SG6" s="572"/>
      <c r="SH6" s="575" t="s">
        <v>712</v>
      </c>
      <c r="SI6" s="575"/>
      <c r="SJ6" s="575"/>
      <c r="SK6" s="575"/>
      <c r="SL6" s="576" t="s">
        <v>713</v>
      </c>
      <c r="SM6" s="576"/>
      <c r="SN6" s="576"/>
      <c r="SO6" s="576"/>
      <c r="SP6" s="576"/>
      <c r="SQ6" s="576"/>
      <c r="SR6" s="576"/>
      <c r="SS6" s="576"/>
      <c r="ST6" s="576"/>
      <c r="SU6" s="577" t="s">
        <v>720</v>
      </c>
      <c r="SV6" s="577"/>
      <c r="SW6" s="577"/>
      <c r="SX6" s="577"/>
      <c r="SY6" s="577"/>
      <c r="SZ6" s="577"/>
      <c r="TA6" s="577"/>
      <c r="TB6" s="577"/>
      <c r="TC6" s="577"/>
      <c r="TD6" s="577"/>
      <c r="TE6" s="577"/>
      <c r="TF6" s="577"/>
      <c r="TG6" s="577"/>
      <c r="TH6" s="577"/>
      <c r="TI6" s="577"/>
      <c r="TJ6" s="577"/>
      <c r="TK6" s="577"/>
      <c r="TL6" s="577"/>
      <c r="TM6" s="577"/>
      <c r="TN6" s="577"/>
      <c r="TO6" s="577"/>
      <c r="TP6" s="577"/>
      <c r="TQ6" s="577"/>
      <c r="TR6" s="577"/>
      <c r="TS6" s="577"/>
      <c r="TT6" s="577"/>
      <c r="TU6" s="577"/>
      <c r="TV6" s="578" t="s">
        <v>756</v>
      </c>
      <c r="TW6" s="578"/>
      <c r="TX6" s="578"/>
      <c r="TY6" s="578"/>
      <c r="TZ6" s="578"/>
      <c r="UA6" s="164" t="s">
        <v>700</v>
      </c>
      <c r="UB6" s="570" t="s">
        <v>714</v>
      </c>
      <c r="UC6" s="570"/>
      <c r="UD6" s="570"/>
      <c r="UE6" s="571" t="s">
        <v>731</v>
      </c>
      <c r="UF6" s="571"/>
      <c r="UG6" s="571"/>
      <c r="UH6" s="571"/>
      <c r="UI6" s="569" t="s">
        <v>716</v>
      </c>
      <c r="UJ6" s="569"/>
      <c r="UK6" s="569"/>
      <c r="UL6" s="569"/>
      <c r="UM6" s="569"/>
      <c r="UN6" s="569"/>
      <c r="UO6" s="569"/>
      <c r="UP6" s="569"/>
      <c r="UQ6" s="569"/>
      <c r="UR6" s="569"/>
      <c r="US6" s="569"/>
      <c r="UT6" s="569"/>
      <c r="UU6" s="569"/>
      <c r="UV6" s="569"/>
      <c r="UW6" s="569"/>
      <c r="UX6" s="569"/>
      <c r="UY6" s="569"/>
      <c r="UZ6" s="569"/>
      <c r="VA6" s="569"/>
      <c r="VB6" s="569"/>
      <c r="VC6" s="569" t="s">
        <v>717</v>
      </c>
      <c r="VD6" s="569"/>
      <c r="VE6" s="569"/>
      <c r="VF6" s="569"/>
      <c r="VG6" s="569"/>
      <c r="VH6" s="569"/>
      <c r="VI6" s="569"/>
      <c r="VJ6" s="569"/>
      <c r="VK6" s="569"/>
      <c r="VL6" s="569"/>
      <c r="VM6" s="569"/>
      <c r="VN6" s="569"/>
      <c r="VO6" s="569"/>
      <c r="VP6" s="569"/>
      <c r="VQ6" s="569"/>
      <c r="VR6" s="572" t="s">
        <v>715</v>
      </c>
      <c r="VS6" s="572"/>
      <c r="VT6" s="572"/>
      <c r="VU6" s="572"/>
      <c r="VV6" s="572"/>
      <c r="VW6" s="572"/>
      <c r="VX6" s="573" t="s">
        <v>718</v>
      </c>
      <c r="VY6" s="573"/>
      <c r="VZ6" s="573"/>
      <c r="WA6" s="573"/>
      <c r="WB6" s="573"/>
      <c r="WC6" s="573"/>
      <c r="WD6" s="573"/>
      <c r="WE6" s="573"/>
      <c r="WF6" s="573"/>
      <c r="WG6" s="573"/>
      <c r="WH6" s="573"/>
      <c r="WI6" s="573"/>
      <c r="WJ6" s="573"/>
      <c r="WK6" s="573"/>
      <c r="WL6" s="573"/>
      <c r="WM6" s="573"/>
      <c r="WN6" s="573"/>
      <c r="WO6" s="573"/>
      <c r="WP6" s="573"/>
      <c r="WQ6" s="573"/>
      <c r="WR6" s="573"/>
      <c r="WS6" s="573"/>
      <c r="WT6" s="573"/>
      <c r="WU6" s="573"/>
      <c r="WV6" s="573"/>
      <c r="WW6" s="573"/>
      <c r="WX6" s="573"/>
      <c r="WY6" s="573"/>
      <c r="WZ6" s="573"/>
      <c r="XA6" s="573"/>
      <c r="XB6" s="573"/>
      <c r="XC6" s="573"/>
      <c r="XD6" s="573"/>
      <c r="XE6" s="573"/>
      <c r="XF6" s="573"/>
      <c r="XG6" s="573"/>
      <c r="XH6" s="573"/>
      <c r="XI6" s="573"/>
      <c r="XJ6" s="573"/>
      <c r="XK6" s="573"/>
      <c r="XL6" s="573"/>
      <c r="XM6" s="573"/>
      <c r="XN6" s="573"/>
      <c r="XO6" s="573"/>
      <c r="XP6" s="573"/>
      <c r="XQ6" s="573"/>
      <c r="XR6" s="573"/>
      <c r="XS6" s="573"/>
      <c r="XT6" s="573"/>
      <c r="XU6" s="573"/>
      <c r="XV6" s="573"/>
      <c r="XW6" s="573"/>
      <c r="XX6" s="573"/>
      <c r="XY6" s="573"/>
      <c r="XZ6" s="573"/>
      <c r="YA6" s="573"/>
      <c r="YB6" s="573"/>
      <c r="YC6" s="573"/>
      <c r="YD6" s="573"/>
      <c r="YE6" s="573"/>
      <c r="YF6" s="573"/>
      <c r="YG6" s="573"/>
      <c r="YH6" s="573"/>
      <c r="YI6" s="573"/>
      <c r="YJ6" s="573"/>
      <c r="YK6" s="573"/>
      <c r="YL6" s="573"/>
      <c r="YM6" s="569" t="s">
        <v>705</v>
      </c>
      <c r="YN6" s="569"/>
      <c r="YO6" s="569"/>
      <c r="YP6" s="569"/>
      <c r="YQ6" s="569"/>
      <c r="YR6" s="569"/>
    </row>
    <row r="7" spans="1:1087" s="167" customFormat="1" ht="205.8" customHeight="1" thickTop="1" thickBot="1">
      <c r="A7" s="176" t="s">
        <v>614</v>
      </c>
      <c r="B7" s="177" t="s">
        <v>761</v>
      </c>
      <c r="L7" s="582" t="s">
        <v>608</v>
      </c>
      <c r="M7" s="582"/>
      <c r="N7" s="582"/>
      <c r="O7" s="582"/>
      <c r="P7" s="582"/>
      <c r="Q7" s="582"/>
      <c r="R7" s="582"/>
      <c r="S7" s="582"/>
      <c r="T7" s="582"/>
      <c r="U7" s="582"/>
      <c r="V7" s="582"/>
      <c r="W7" s="582"/>
      <c r="X7" s="582"/>
      <c r="Y7" s="582"/>
      <c r="Z7" s="582"/>
      <c r="AA7" s="582"/>
      <c r="AB7" s="582"/>
      <c r="AC7" s="582"/>
      <c r="AD7" s="582"/>
      <c r="AE7" s="582"/>
      <c r="AF7" s="582"/>
      <c r="AG7" s="582"/>
      <c r="AH7" s="582"/>
      <c r="AI7" s="582"/>
      <c r="AJ7" s="582"/>
      <c r="AK7" s="582"/>
      <c r="AL7" s="582"/>
      <c r="AM7" s="582"/>
      <c r="AN7" s="582"/>
      <c r="AO7" s="582"/>
      <c r="AP7" s="582"/>
      <c r="AQ7" s="582"/>
      <c r="AR7" s="582"/>
      <c r="AS7" s="582"/>
      <c r="AT7" s="582"/>
      <c r="AU7" s="582"/>
      <c r="AV7" s="582"/>
      <c r="AW7" s="582"/>
      <c r="AX7" s="582"/>
      <c r="AY7" s="582"/>
      <c r="AZ7" s="582"/>
      <c r="BB7" s="582" t="s">
        <v>752</v>
      </c>
      <c r="BC7" s="582"/>
      <c r="BD7" s="582"/>
      <c r="BE7" s="582"/>
      <c r="BF7" s="582"/>
      <c r="BG7" s="582"/>
      <c r="BH7" s="582"/>
      <c r="BI7" s="582"/>
      <c r="BJ7" s="582"/>
      <c r="BK7" s="582"/>
      <c r="BL7" s="582"/>
      <c r="BM7" s="582"/>
      <c r="BN7" s="582"/>
      <c r="BO7" s="582"/>
      <c r="BP7" s="582"/>
      <c r="BQ7" s="582"/>
      <c r="BR7" s="582"/>
      <c r="BS7" s="582"/>
      <c r="BT7" s="582"/>
      <c r="BU7" s="582"/>
      <c r="BV7" s="582"/>
      <c r="BW7" s="582"/>
      <c r="BX7" s="582"/>
      <c r="BY7" s="582"/>
      <c r="BZ7" s="582"/>
      <c r="CA7" s="582"/>
      <c r="CB7" s="582"/>
      <c r="CC7" s="582"/>
      <c r="CD7" s="582"/>
      <c r="CE7" s="582"/>
      <c r="CF7" s="582"/>
      <c r="CG7" s="582"/>
      <c r="CH7" s="582"/>
      <c r="CI7" s="582"/>
      <c r="CJ7" s="582"/>
      <c r="CK7" s="582"/>
      <c r="CL7" s="582"/>
      <c r="CM7" s="582"/>
      <c r="CN7" s="582"/>
      <c r="CO7" s="582"/>
      <c r="CP7" s="582"/>
      <c r="CQ7" s="582"/>
      <c r="CR7" s="582"/>
      <c r="CS7" s="582"/>
      <c r="CT7" s="582"/>
      <c r="CU7" s="582"/>
      <c r="RA7" s="579" t="s">
        <v>707</v>
      </c>
      <c r="RB7" s="579"/>
      <c r="RC7" s="579"/>
      <c r="RD7" s="579"/>
      <c r="RE7" s="575" t="s">
        <v>765</v>
      </c>
      <c r="RF7" s="575"/>
      <c r="RG7" s="575"/>
      <c r="RH7" s="575"/>
      <c r="RI7" s="572" t="s">
        <v>722</v>
      </c>
      <c r="RJ7" s="572"/>
      <c r="RK7" s="572"/>
      <c r="RL7" s="572"/>
      <c r="RM7" s="572"/>
      <c r="RN7" s="572"/>
      <c r="RO7" s="583" t="s">
        <v>723</v>
      </c>
      <c r="RP7" s="583"/>
      <c r="RQ7" s="583"/>
      <c r="RR7" s="583"/>
      <c r="RS7" s="583"/>
      <c r="RT7" s="583"/>
      <c r="RU7" s="583"/>
      <c r="RV7" s="583"/>
      <c r="RW7" s="570" t="s">
        <v>606</v>
      </c>
      <c r="RX7" s="570"/>
      <c r="RY7" s="570"/>
      <c r="RZ7" s="584" t="s">
        <v>725</v>
      </c>
      <c r="SA7" s="584"/>
      <c r="SB7" s="584"/>
      <c r="SC7" s="584"/>
      <c r="SD7" s="584"/>
      <c r="SE7" s="584"/>
      <c r="SF7" s="584"/>
      <c r="SG7" s="584"/>
      <c r="SH7" s="584"/>
      <c r="SI7" s="573" t="s">
        <v>757</v>
      </c>
      <c r="SJ7" s="573"/>
      <c r="SK7" s="573"/>
      <c r="SL7" s="573"/>
      <c r="SM7" s="573"/>
      <c r="SN7" s="573"/>
      <c r="SO7" s="581" t="s">
        <v>724</v>
      </c>
      <c r="SP7" s="581"/>
      <c r="SQ7" s="581"/>
      <c r="SR7" s="581"/>
      <c r="SS7" s="581"/>
      <c r="ST7" s="581"/>
      <c r="SU7" s="581"/>
      <c r="SV7" s="581"/>
      <c r="SW7" s="581"/>
      <c r="SX7" s="581"/>
      <c r="SY7" s="581"/>
      <c r="SZ7" s="581"/>
      <c r="TA7" s="581"/>
      <c r="TB7" s="578" t="s">
        <v>756</v>
      </c>
      <c r="TC7" s="578"/>
      <c r="TD7" s="578"/>
      <c r="TE7" s="578"/>
      <c r="TF7" s="578"/>
      <c r="TG7" s="572" t="s">
        <v>736</v>
      </c>
      <c r="TH7" s="572"/>
      <c r="TI7" s="572"/>
      <c r="TJ7" s="572"/>
      <c r="TK7" s="572"/>
      <c r="TL7" s="572"/>
      <c r="TM7" s="572"/>
      <c r="TN7" s="572"/>
      <c r="TO7" s="583" t="s">
        <v>747</v>
      </c>
      <c r="TP7" s="583"/>
      <c r="TQ7" s="583"/>
      <c r="TR7" s="583"/>
      <c r="TS7" s="583"/>
      <c r="TT7" s="585" t="s">
        <v>742</v>
      </c>
      <c r="TU7" s="585"/>
      <c r="TV7" s="574" t="s">
        <v>737</v>
      </c>
      <c r="TW7" s="574"/>
      <c r="TX7" s="574"/>
      <c r="TY7" s="574"/>
      <c r="TZ7" s="574"/>
      <c r="UA7" s="574"/>
      <c r="UB7" s="574"/>
      <c r="UC7" s="574"/>
      <c r="UD7" s="574"/>
      <c r="UE7" s="574"/>
      <c r="UF7" s="574"/>
      <c r="UG7" s="574"/>
      <c r="UH7" s="574"/>
      <c r="UI7" s="574"/>
      <c r="UJ7" s="574"/>
      <c r="UK7" s="574"/>
      <c r="UL7" s="587" t="s">
        <v>763</v>
      </c>
      <c r="UM7" s="587"/>
      <c r="UN7" s="587"/>
      <c r="UO7" s="587"/>
      <c r="UP7" s="587"/>
      <c r="UQ7" s="587"/>
      <c r="UR7" s="587"/>
      <c r="US7" s="587"/>
      <c r="UT7" s="587"/>
      <c r="UU7" s="587"/>
      <c r="UV7" s="587"/>
      <c r="UW7" s="587"/>
      <c r="UX7" s="587"/>
      <c r="UY7" s="587"/>
      <c r="UZ7" s="587"/>
      <c r="VA7" s="587"/>
      <c r="VB7" s="587"/>
      <c r="VC7" s="587"/>
      <c r="VD7" s="587"/>
      <c r="VE7" s="587"/>
      <c r="VF7" s="587"/>
      <c r="VG7" s="587"/>
      <c r="VH7" s="587"/>
      <c r="VI7" s="587"/>
      <c r="VJ7" s="587"/>
      <c r="VK7" s="587"/>
      <c r="VL7" s="587"/>
      <c r="VM7" s="587"/>
      <c r="VN7" s="587"/>
      <c r="VO7" s="587"/>
      <c r="VP7" s="587"/>
      <c r="VQ7" s="587"/>
      <c r="VR7" s="587"/>
      <c r="VS7" s="587"/>
      <c r="VT7" s="587"/>
      <c r="VU7" s="587"/>
      <c r="VV7" s="587"/>
      <c r="VW7" s="587"/>
      <c r="VX7" s="587"/>
      <c r="VY7" s="587"/>
      <c r="VZ7" s="587"/>
      <c r="WA7" s="580" t="s">
        <v>738</v>
      </c>
      <c r="WB7" s="580"/>
      <c r="WC7" s="580"/>
      <c r="WD7" s="580"/>
      <c r="WE7" s="580"/>
      <c r="WF7" s="578" t="s">
        <v>756</v>
      </c>
      <c r="WG7" s="578"/>
      <c r="WH7" s="578"/>
      <c r="WI7" s="578"/>
      <c r="WJ7" s="578"/>
      <c r="WK7" s="572" t="s">
        <v>740</v>
      </c>
      <c r="WL7" s="572"/>
      <c r="WM7" s="572"/>
      <c r="WN7" s="572"/>
      <c r="WO7" s="572"/>
      <c r="WP7" s="572"/>
      <c r="WQ7" s="569" t="s">
        <v>719</v>
      </c>
      <c r="WR7" s="569"/>
      <c r="WS7" s="569"/>
      <c r="WT7" s="165" t="s">
        <v>734</v>
      </c>
      <c r="WU7" s="569" t="s">
        <v>726</v>
      </c>
      <c r="WV7" s="569"/>
      <c r="WW7" s="569"/>
      <c r="WX7" s="569"/>
      <c r="WY7" s="569"/>
      <c r="WZ7" s="569"/>
      <c r="XA7" s="569"/>
      <c r="XB7" s="569"/>
      <c r="XC7" s="161"/>
      <c r="XD7" s="161"/>
      <c r="XE7" s="161"/>
      <c r="XF7" s="161"/>
      <c r="XG7" s="161"/>
      <c r="XH7" s="161"/>
      <c r="XI7" s="161"/>
      <c r="XJ7" s="161"/>
      <c r="XK7" s="161"/>
      <c r="XL7" s="161"/>
      <c r="XM7" s="161"/>
      <c r="XN7" s="161"/>
      <c r="XO7" s="161"/>
      <c r="XP7" s="161"/>
      <c r="XQ7" s="161"/>
      <c r="XR7" s="161"/>
      <c r="XS7" s="161"/>
      <c r="XT7" s="161"/>
      <c r="XU7" s="161"/>
      <c r="XV7" s="161"/>
    </row>
    <row r="8" spans="1:1087" s="167" customFormat="1" ht="205.8" customHeight="1" thickTop="1" thickBot="1">
      <c r="A8" s="176" t="s">
        <v>614</v>
      </c>
      <c r="B8" s="177" t="s">
        <v>764</v>
      </c>
      <c r="RA8" s="161"/>
      <c r="RB8" s="161"/>
      <c r="RC8" s="161"/>
      <c r="RD8" s="579" t="s">
        <v>707</v>
      </c>
      <c r="RE8" s="579"/>
      <c r="RF8" s="579"/>
      <c r="RG8" s="579"/>
      <c r="RH8" s="586" t="s">
        <v>727</v>
      </c>
      <c r="RI8" s="586"/>
      <c r="RJ8" s="586"/>
      <c r="RK8" s="586"/>
      <c r="RL8" s="586"/>
      <c r="RM8" s="586"/>
      <c r="RN8" s="576" t="s">
        <v>744</v>
      </c>
      <c r="RO8" s="576"/>
      <c r="RP8" s="576"/>
      <c r="RQ8" s="576"/>
      <c r="RR8" s="576"/>
      <c r="RS8" s="576"/>
      <c r="RT8" s="576"/>
      <c r="RU8" s="576"/>
      <c r="RV8" s="576"/>
      <c r="RW8" s="586" t="s">
        <v>645</v>
      </c>
      <c r="RX8" s="586"/>
      <c r="RY8" s="586"/>
      <c r="RZ8" s="581" t="s">
        <v>739</v>
      </c>
      <c r="SA8" s="581"/>
      <c r="SB8" s="581"/>
      <c r="SC8" s="581"/>
      <c r="SD8" s="581"/>
      <c r="SE8" s="581"/>
      <c r="SF8" s="581"/>
      <c r="SG8" s="581"/>
      <c r="SH8" s="581"/>
      <c r="SI8" s="577" t="s">
        <v>728</v>
      </c>
      <c r="SJ8" s="577"/>
      <c r="SK8" s="577"/>
      <c r="SL8" s="577"/>
      <c r="SM8" s="577"/>
      <c r="SN8" s="577"/>
      <c r="SO8" s="577"/>
      <c r="SP8" s="577"/>
      <c r="SQ8" s="577"/>
      <c r="SR8" s="577"/>
      <c r="SS8" s="577"/>
      <c r="ST8" s="577"/>
      <c r="SU8" s="577"/>
      <c r="SV8" s="577"/>
      <c r="SW8" s="577"/>
      <c r="SX8" s="577"/>
      <c r="SY8" s="577"/>
      <c r="SZ8" s="577"/>
      <c r="TA8" s="577"/>
      <c r="TB8" s="577"/>
      <c r="TC8" s="577"/>
      <c r="TD8" s="577"/>
      <c r="TE8" s="577"/>
      <c r="TF8" s="577"/>
      <c r="TG8" s="577"/>
      <c r="TH8" s="577"/>
      <c r="TI8" s="577"/>
      <c r="TJ8" s="577"/>
      <c r="TK8" s="577"/>
      <c r="TL8" s="577"/>
      <c r="TM8" s="577"/>
      <c r="TN8" s="570" t="s">
        <v>729</v>
      </c>
      <c r="TO8" s="570"/>
      <c r="TP8" s="570"/>
      <c r="TQ8" s="570"/>
      <c r="TR8" s="588" t="s">
        <v>640</v>
      </c>
      <c r="TS8" s="588"/>
      <c r="TT8" s="588"/>
      <c r="TU8" s="588"/>
      <c r="TV8" s="588"/>
      <c r="TW8" s="588"/>
      <c r="TX8" s="588"/>
      <c r="TY8" s="588"/>
      <c r="TZ8" s="588"/>
      <c r="UA8" s="588"/>
      <c r="UB8" s="588"/>
      <c r="UC8" s="588"/>
      <c r="UD8" s="588"/>
      <c r="UE8" s="588"/>
      <c r="UF8" s="588"/>
      <c r="UG8" s="588"/>
      <c r="UH8" s="588"/>
      <c r="UI8" s="588"/>
      <c r="UJ8" s="588"/>
      <c r="UK8" s="588"/>
      <c r="UL8" s="588"/>
      <c r="UM8" s="588"/>
      <c r="UN8" s="588"/>
      <c r="UO8" s="588"/>
      <c r="UP8" s="588"/>
      <c r="UQ8" s="588"/>
      <c r="UR8" s="588"/>
      <c r="US8" s="588"/>
      <c r="UT8" s="588"/>
      <c r="UU8" s="588"/>
      <c r="UV8" s="161"/>
      <c r="UW8" s="161"/>
      <c r="UX8" s="161"/>
      <c r="UY8" s="161"/>
      <c r="UZ8" s="161"/>
      <c r="VA8" s="161"/>
      <c r="VB8" s="161"/>
      <c r="VC8" s="161"/>
      <c r="VD8" s="161"/>
      <c r="VE8" s="161"/>
      <c r="VF8" s="161"/>
      <c r="VG8" s="161"/>
      <c r="VH8" s="161"/>
      <c r="VI8" s="572" t="s">
        <v>766</v>
      </c>
      <c r="VJ8" s="572"/>
      <c r="VK8" s="572"/>
      <c r="VL8" s="572"/>
      <c r="VM8" s="572"/>
      <c r="VN8" s="572"/>
      <c r="VO8" s="572"/>
      <c r="VP8" s="572"/>
      <c r="VQ8" s="572"/>
      <c r="VR8" s="572"/>
      <c r="VS8" s="572"/>
      <c r="VT8" s="161"/>
      <c r="VU8" s="161"/>
      <c r="VV8" s="161"/>
      <c r="VW8" s="161"/>
      <c r="VX8" s="161"/>
      <c r="VY8" s="161"/>
      <c r="VZ8" s="161"/>
      <c r="WA8" s="161"/>
      <c r="WB8" s="161"/>
      <c r="WC8" s="589" t="s">
        <v>750</v>
      </c>
      <c r="WD8" s="589"/>
      <c r="WE8" s="589"/>
      <c r="WF8" s="589"/>
      <c r="WG8" s="589"/>
      <c r="WH8" s="589"/>
      <c r="WI8" s="589"/>
      <c r="WJ8" s="589"/>
      <c r="WK8" s="589"/>
      <c r="WL8" s="589"/>
      <c r="WM8" s="589"/>
      <c r="WN8" s="589"/>
      <c r="WO8" s="589"/>
      <c r="WP8" s="589"/>
      <c r="WQ8" s="589"/>
      <c r="WR8" s="589"/>
      <c r="WS8" s="589"/>
      <c r="WT8" s="589"/>
      <c r="WU8" s="589"/>
      <c r="WV8" s="589"/>
      <c r="WW8" s="589"/>
      <c r="WX8" s="589"/>
      <c r="WY8" s="589"/>
      <c r="WZ8" s="589"/>
      <c r="XA8" s="589"/>
      <c r="XB8" s="589"/>
      <c r="XC8" s="589"/>
      <c r="XD8" s="589"/>
      <c r="XE8" s="589"/>
      <c r="XF8" s="589"/>
      <c r="XG8" s="589"/>
      <c r="XH8" s="589"/>
      <c r="XI8" s="589"/>
      <c r="XJ8" s="589"/>
      <c r="XK8" s="589"/>
      <c r="XL8" s="589"/>
      <c r="XM8" s="589"/>
      <c r="XN8" s="589"/>
      <c r="XO8" s="589"/>
      <c r="XP8" s="589"/>
      <c r="XQ8" s="589"/>
      <c r="XR8" s="589"/>
      <c r="XS8" s="589"/>
      <c r="XT8" s="589"/>
      <c r="XU8" s="589"/>
      <c r="XV8" s="589"/>
      <c r="AFT8" s="590" t="s">
        <v>639</v>
      </c>
      <c r="AFU8" s="590"/>
      <c r="AFV8" s="590"/>
      <c r="AFW8" s="590"/>
      <c r="AFX8" s="590"/>
      <c r="AFY8" s="590"/>
      <c r="AFZ8" s="590"/>
      <c r="AGA8" s="590"/>
      <c r="AGB8" s="590"/>
      <c r="AGC8" s="590"/>
      <c r="AGD8" s="590"/>
      <c r="AGE8" s="590"/>
      <c r="AGF8" s="590"/>
      <c r="AGG8" s="590"/>
      <c r="AGH8" s="590"/>
      <c r="AGI8" s="590"/>
      <c r="AGJ8" s="590"/>
      <c r="AGK8" s="590"/>
      <c r="AGL8" s="590"/>
      <c r="AGM8" s="590"/>
      <c r="AGN8" s="590"/>
      <c r="AGO8" s="590"/>
      <c r="AGP8" s="590"/>
      <c r="AGQ8" s="590"/>
      <c r="AGR8" s="590"/>
      <c r="AGS8" s="590"/>
      <c r="AGT8" s="590"/>
      <c r="AGU8" s="590"/>
      <c r="AGV8" s="590"/>
      <c r="AGW8" s="590"/>
      <c r="AGX8" s="590"/>
      <c r="AGY8" s="590"/>
      <c r="AGZ8" s="590"/>
      <c r="AHA8" s="590"/>
    </row>
    <row r="9" spans="1:1087" ht="234.6" customHeight="1" thickTop="1" thickBot="1">
      <c r="A9" s="176" t="s">
        <v>614</v>
      </c>
      <c r="B9" s="178" t="s">
        <v>762</v>
      </c>
      <c r="MA9" s="158"/>
      <c r="MB9" s="158"/>
      <c r="MC9" s="158"/>
      <c r="MD9" s="158"/>
      <c r="ME9" s="158"/>
      <c r="MF9" s="158"/>
      <c r="MG9" s="158"/>
      <c r="MH9" s="158"/>
      <c r="MI9" s="158"/>
      <c r="MJ9" s="158"/>
      <c r="MK9" s="158"/>
      <c r="ML9" s="158"/>
      <c r="MM9" s="158"/>
      <c r="MN9" s="158"/>
      <c r="MO9" s="158"/>
      <c r="MP9" s="158"/>
      <c r="MQ9" s="158"/>
      <c r="MR9" s="158"/>
      <c r="MS9" s="158"/>
      <c r="MT9" s="158"/>
      <c r="MU9" s="158"/>
      <c r="MV9" s="158"/>
      <c r="MW9" s="158"/>
      <c r="MX9" s="158"/>
      <c r="MY9" s="158"/>
      <c r="MZ9" s="158"/>
      <c r="NA9" s="158"/>
      <c r="NB9" s="158"/>
      <c r="NC9" s="158"/>
      <c r="ND9" s="158"/>
      <c r="NE9" s="158"/>
      <c r="NF9" s="158"/>
      <c r="NG9" s="158"/>
      <c r="NH9" s="158"/>
      <c r="NI9" s="158"/>
      <c r="NJ9" s="158"/>
      <c r="NK9" s="158"/>
      <c r="NL9" s="158"/>
      <c r="NM9" s="158"/>
      <c r="NN9" s="158"/>
      <c r="NO9" s="158"/>
      <c r="NP9" s="158"/>
      <c r="NQ9" s="158"/>
      <c r="NR9" s="158"/>
      <c r="NS9" s="158"/>
      <c r="NT9" s="158"/>
      <c r="NU9" s="158"/>
      <c r="NV9" s="158"/>
      <c r="NW9" s="158"/>
      <c r="NX9" s="158"/>
      <c r="NY9" s="158"/>
      <c r="NZ9" s="158"/>
      <c r="OA9" s="158"/>
      <c r="OB9" s="158"/>
      <c r="OC9" s="158"/>
      <c r="OD9" s="158"/>
      <c r="OE9" s="158"/>
      <c r="OF9" s="158"/>
      <c r="OG9" s="158"/>
      <c r="OH9" s="158"/>
      <c r="OI9" s="158"/>
      <c r="OJ9" s="158"/>
      <c r="OK9" s="158"/>
      <c r="OL9" s="158"/>
      <c r="OM9" s="158"/>
      <c r="ON9" s="158"/>
      <c r="OO9" s="158"/>
      <c r="OP9" s="158"/>
      <c r="OQ9" s="158"/>
      <c r="OR9" s="158"/>
      <c r="OS9" s="158"/>
      <c r="OT9" s="158"/>
      <c r="OU9" s="158"/>
      <c r="OV9" s="158"/>
      <c r="OW9" s="158"/>
      <c r="OX9" s="158"/>
      <c r="OY9" s="158"/>
      <c r="OZ9" s="158"/>
      <c r="PA9" s="158"/>
      <c r="PB9" s="158"/>
      <c r="PC9" s="158"/>
      <c r="PD9" s="158"/>
      <c r="PE9" s="158"/>
      <c r="PF9" s="158"/>
      <c r="PG9" s="158"/>
      <c r="PH9" s="158"/>
      <c r="PI9" s="158"/>
      <c r="PJ9" s="158"/>
      <c r="PK9" s="158"/>
      <c r="PL9" s="158"/>
      <c r="PM9" s="158"/>
      <c r="PN9" s="158"/>
      <c r="PO9" s="158"/>
      <c r="PP9" s="158"/>
      <c r="PQ9" s="158"/>
      <c r="PR9" s="158"/>
      <c r="PS9" s="158"/>
      <c r="PT9" s="158"/>
      <c r="PU9" s="158"/>
      <c r="PV9" s="158"/>
      <c r="PW9" s="158"/>
      <c r="PX9" s="158"/>
      <c r="PY9" s="158"/>
      <c r="PZ9" s="158"/>
      <c r="QA9" s="158"/>
      <c r="QB9" s="158"/>
      <c r="QC9" s="158"/>
      <c r="QD9" s="158"/>
      <c r="QE9" s="158"/>
      <c r="QF9" s="158"/>
      <c r="QG9" s="158"/>
      <c r="QH9" s="158"/>
      <c r="QI9" s="158"/>
      <c r="QJ9" s="158"/>
      <c r="QK9" s="158"/>
      <c r="QL9" s="158"/>
      <c r="QM9" s="158"/>
      <c r="QN9" s="158"/>
      <c r="QO9" s="158"/>
      <c r="QP9" s="158"/>
      <c r="QQ9" s="158"/>
      <c r="QR9" s="158"/>
      <c r="QS9" s="158"/>
      <c r="QT9" s="158"/>
      <c r="QU9" s="158"/>
      <c r="QV9" s="158"/>
      <c r="QW9" s="158"/>
      <c r="QX9" s="158"/>
      <c r="QY9" s="158"/>
      <c r="QZ9" s="158"/>
      <c r="RA9" s="158"/>
      <c r="RB9" s="158"/>
      <c r="RC9" s="158"/>
      <c r="RD9" s="158"/>
      <c r="RE9" s="158"/>
      <c r="RF9" s="158"/>
      <c r="RG9" s="158"/>
      <c r="RH9" s="158"/>
      <c r="RI9" s="158"/>
      <c r="RJ9" s="158"/>
      <c r="RK9" s="158"/>
      <c r="RL9" s="158"/>
      <c r="RM9" s="158"/>
      <c r="RN9" s="158"/>
      <c r="RO9" s="158"/>
      <c r="RP9" s="158"/>
      <c r="RQ9" s="158"/>
      <c r="RR9" s="158"/>
      <c r="RS9" s="158"/>
      <c r="RT9" s="158"/>
      <c r="RU9" s="158"/>
      <c r="RV9" s="158"/>
      <c r="RW9" s="158"/>
      <c r="RX9" s="158"/>
      <c r="RY9" s="158"/>
      <c r="RZ9" s="158"/>
      <c r="SA9" s="158"/>
      <c r="SB9" s="158"/>
      <c r="SC9" s="158"/>
      <c r="SD9" s="158"/>
      <c r="SE9" s="158"/>
      <c r="SF9" s="158"/>
      <c r="SG9" s="158"/>
      <c r="SH9" s="158"/>
      <c r="SI9" s="158"/>
      <c r="SJ9" s="158"/>
      <c r="SK9" s="158"/>
      <c r="SL9" s="158"/>
      <c r="SM9" s="158"/>
      <c r="SN9" s="158"/>
      <c r="SO9" s="158"/>
      <c r="SP9" s="158"/>
      <c r="SQ9" s="158"/>
      <c r="SR9" s="158"/>
      <c r="SS9" s="158"/>
      <c r="ST9" s="158"/>
      <c r="SU9" s="158"/>
      <c r="SV9" s="158"/>
      <c r="SW9" s="158"/>
      <c r="SX9" s="158"/>
      <c r="SY9" s="158"/>
      <c r="SZ9" s="158"/>
      <c r="TA9" s="158"/>
      <c r="TB9" s="158"/>
      <c r="TC9" s="158"/>
      <c r="TD9" s="158"/>
      <c r="TE9" s="158"/>
      <c r="TF9" s="158"/>
      <c r="TG9" s="158"/>
      <c r="TH9" s="158"/>
      <c r="TI9" s="158"/>
      <c r="TJ9" s="158"/>
      <c r="TK9" s="158"/>
      <c r="TL9" s="158"/>
      <c r="TM9" s="158"/>
      <c r="TN9" s="158"/>
      <c r="TO9" s="158"/>
      <c r="TP9" s="158"/>
      <c r="TQ9" s="158"/>
      <c r="TR9" s="158"/>
      <c r="TS9" s="158"/>
      <c r="TT9" s="158"/>
      <c r="TU9" s="158"/>
      <c r="TV9" s="158"/>
      <c r="TW9" s="158"/>
      <c r="TX9" s="158"/>
      <c r="TY9" s="158"/>
      <c r="TZ9" s="158"/>
      <c r="UA9" s="158"/>
      <c r="UB9" s="158"/>
      <c r="UC9" s="158"/>
      <c r="UD9" s="158"/>
      <c r="UE9" s="158"/>
      <c r="UF9" s="158"/>
      <c r="UG9" s="158"/>
      <c r="UH9" s="158"/>
      <c r="UI9" s="158"/>
      <c r="UJ9" s="158"/>
      <c r="UK9" s="158"/>
      <c r="UL9" s="158"/>
      <c r="UM9" s="158"/>
      <c r="UN9" s="158"/>
      <c r="UO9" s="158"/>
      <c r="UP9" s="158"/>
      <c r="UQ9" s="158"/>
      <c r="UR9" s="158"/>
      <c r="US9" s="158"/>
      <c r="UT9" s="158"/>
      <c r="UU9" s="158"/>
      <c r="UV9" s="158"/>
      <c r="UW9" s="158"/>
      <c r="UX9" s="158"/>
      <c r="UY9" s="158"/>
      <c r="UZ9" s="158"/>
      <c r="VA9" s="158"/>
      <c r="VB9" s="158"/>
      <c r="VC9" s="158"/>
      <c r="VD9" s="158"/>
      <c r="VE9" s="158"/>
      <c r="VF9" s="158"/>
      <c r="VG9" s="158"/>
      <c r="VH9" s="158"/>
      <c r="VI9" s="158"/>
      <c r="VJ9" s="158"/>
      <c r="VK9" s="158"/>
      <c r="VL9" s="158"/>
      <c r="VM9" s="158"/>
      <c r="VN9" s="158"/>
      <c r="VO9" s="158"/>
      <c r="VP9" s="158"/>
      <c r="VQ9" s="158"/>
      <c r="VR9" s="158"/>
      <c r="VS9" s="158"/>
      <c r="VT9" s="158"/>
      <c r="VU9" s="158"/>
      <c r="VV9" s="158"/>
      <c r="VW9" s="158"/>
      <c r="VX9" s="158"/>
      <c r="VY9" s="158"/>
      <c r="VZ9" s="158"/>
      <c r="WA9" s="158"/>
      <c r="WB9" s="158"/>
      <c r="WC9" s="158"/>
      <c r="WD9" s="158"/>
      <c r="WE9" s="158"/>
      <c r="WF9" s="158"/>
      <c r="WG9" s="158"/>
      <c r="WH9" s="158"/>
      <c r="WI9" s="158"/>
      <c r="WJ9" s="158"/>
      <c r="WK9" s="158"/>
      <c r="WL9" s="158"/>
      <c r="WM9" s="158"/>
      <c r="WN9" s="158"/>
      <c r="WO9" s="158"/>
      <c r="WP9" s="158"/>
      <c r="WQ9" s="158"/>
      <c r="WR9" s="158"/>
      <c r="WS9" s="158"/>
      <c r="WT9" s="158"/>
      <c r="WU9" s="158"/>
      <c r="WV9" s="158"/>
      <c r="WW9" s="158"/>
      <c r="WX9" s="158"/>
      <c r="WY9" s="158"/>
      <c r="WZ9" s="158"/>
      <c r="XA9" s="158"/>
      <c r="XB9" s="158"/>
      <c r="XC9" s="158"/>
      <c r="XD9" s="158"/>
      <c r="XE9" s="158"/>
      <c r="XF9" s="158"/>
      <c r="XG9" s="158"/>
      <c r="XH9" s="158"/>
      <c r="XI9" s="158"/>
      <c r="XJ9" s="158"/>
      <c r="XK9" s="158"/>
      <c r="XL9" s="158"/>
      <c r="XM9" s="158"/>
      <c r="XN9" s="158"/>
      <c r="XO9" s="158"/>
      <c r="XP9" s="158"/>
      <c r="XQ9" s="158"/>
      <c r="XR9" s="158"/>
      <c r="XS9" s="158"/>
      <c r="XT9" s="158"/>
      <c r="XU9" s="158"/>
      <c r="XV9" s="158"/>
      <c r="XW9" s="158"/>
      <c r="XX9" s="158"/>
      <c r="XY9" s="158"/>
      <c r="XZ9" s="158"/>
      <c r="YA9" s="158"/>
      <c r="YB9" s="158"/>
      <c r="YC9" s="158"/>
      <c r="YD9" s="158"/>
      <c r="YE9" s="158"/>
      <c r="YF9" s="158"/>
      <c r="YG9" s="158"/>
      <c r="YH9" s="158"/>
      <c r="YI9" s="158"/>
      <c r="YJ9" s="158"/>
      <c r="YK9" s="158"/>
      <c r="YL9" s="158"/>
      <c r="YM9" s="158"/>
      <c r="YN9" s="158"/>
      <c r="YO9" s="158"/>
      <c r="YP9" s="158"/>
      <c r="YQ9" s="158"/>
      <c r="YR9" s="158"/>
      <c r="YS9" s="158"/>
      <c r="YT9" s="158"/>
      <c r="YU9" s="158"/>
      <c r="YV9" s="158"/>
      <c r="YW9" s="158"/>
      <c r="YX9" s="158"/>
      <c r="YY9" s="158"/>
      <c r="YZ9" s="158"/>
      <c r="ZA9" s="158"/>
      <c r="ZB9" s="158"/>
      <c r="ZC9" s="158"/>
      <c r="ZD9" s="158"/>
      <c r="ZE9" s="158"/>
      <c r="ZF9" s="158"/>
      <c r="ZG9" s="158"/>
      <c r="ZH9" s="158"/>
      <c r="ZI9" s="158"/>
      <c r="ZJ9" s="158"/>
      <c r="ZK9" s="158"/>
      <c r="ZL9" s="158"/>
      <c r="ZM9" s="158"/>
      <c r="ZN9" s="158"/>
      <c r="ZO9" s="158"/>
      <c r="ZP9" s="158"/>
      <c r="ZQ9" s="158"/>
      <c r="ZR9" s="158"/>
      <c r="ZS9" s="158"/>
      <c r="ZT9" s="158"/>
      <c r="ZU9" s="158"/>
      <c r="ZV9" s="158"/>
      <c r="ZW9" s="158"/>
      <c r="ZX9" s="158"/>
      <c r="ZY9" s="158"/>
      <c r="ZZ9" s="158"/>
      <c r="AAA9" s="158"/>
      <c r="AAB9" s="158"/>
      <c r="AAC9" s="158"/>
      <c r="AAD9" s="158"/>
      <c r="AAE9" s="158"/>
      <c r="AAF9" s="158"/>
      <c r="AAG9" s="158"/>
      <c r="AAH9" s="158"/>
      <c r="AAI9" s="158"/>
      <c r="AAJ9" s="158"/>
      <c r="AAK9" s="158"/>
      <c r="AAL9" s="158"/>
      <c r="AAM9" s="158"/>
      <c r="AAN9" s="158"/>
      <c r="AAO9" s="158"/>
      <c r="AAP9" s="158"/>
      <c r="AAQ9" s="158"/>
      <c r="AAR9" s="158"/>
      <c r="AAS9" s="158"/>
      <c r="AAT9" s="158"/>
      <c r="AAU9" s="158"/>
      <c r="AAV9" s="158"/>
      <c r="AAW9" s="158"/>
      <c r="AAX9" s="158"/>
      <c r="AAY9" s="158"/>
      <c r="AAZ9" s="158"/>
      <c r="ABA9" s="154"/>
      <c r="ABB9" s="154"/>
      <c r="ABC9" s="154"/>
      <c r="ABD9" s="591" t="s">
        <v>147</v>
      </c>
      <c r="ABE9" s="591"/>
      <c r="ABF9" s="591"/>
      <c r="ABG9" s="591"/>
      <c r="ABH9" s="592" t="s">
        <v>371</v>
      </c>
      <c r="ABI9" s="592"/>
      <c r="ABJ9" s="592"/>
      <c r="ABK9" s="592"/>
      <c r="ABL9" s="592"/>
      <c r="ABM9" s="592"/>
      <c r="ABN9" s="592"/>
      <c r="ABO9" s="592"/>
      <c r="ABP9" s="592"/>
      <c r="ABQ9" s="592"/>
      <c r="ABR9" s="592"/>
      <c r="ABS9" s="593" t="s">
        <v>773</v>
      </c>
      <c r="ABT9" s="593"/>
      <c r="ABU9" s="593"/>
      <c r="ABV9" s="593"/>
      <c r="ABW9" s="593"/>
      <c r="ABX9" s="593"/>
      <c r="ABY9" s="594" t="s">
        <v>770</v>
      </c>
      <c r="ABZ9" s="594"/>
      <c r="ACA9" s="594"/>
      <c r="ACB9" s="594"/>
      <c r="ACC9" s="594"/>
      <c r="ACD9" s="594"/>
      <c r="ACE9" s="595" t="s">
        <v>194</v>
      </c>
      <c r="ACF9" s="595"/>
      <c r="ACG9" s="595"/>
      <c r="ACH9" s="595"/>
      <c r="ACI9" s="592" t="s">
        <v>774</v>
      </c>
      <c r="ACJ9" s="592"/>
      <c r="ACK9" s="592"/>
      <c r="ACL9" s="592"/>
      <c r="ACM9" s="592"/>
      <c r="ACN9" s="592"/>
      <c r="ACO9" s="595" t="s">
        <v>209</v>
      </c>
      <c r="ACP9" s="595"/>
      <c r="ACQ9" s="595"/>
      <c r="ACR9" s="595"/>
      <c r="ACS9" s="587" t="s">
        <v>379</v>
      </c>
      <c r="ACT9" s="587"/>
      <c r="ACU9" s="587"/>
      <c r="ACV9" s="587"/>
      <c r="ACW9" s="587"/>
      <c r="ACX9" s="587"/>
      <c r="ACY9" s="587"/>
      <c r="ACZ9" s="587"/>
      <c r="ADA9" s="587"/>
      <c r="ADB9" s="587"/>
      <c r="ADC9" s="587"/>
      <c r="ADD9" s="587"/>
      <c r="ADE9" s="587"/>
      <c r="ADF9" s="587"/>
      <c r="ADG9" s="587"/>
      <c r="ADH9" s="587"/>
      <c r="ADI9" s="587"/>
      <c r="ADJ9" s="587"/>
      <c r="ADK9" s="587"/>
      <c r="ADL9" s="572" t="s">
        <v>236</v>
      </c>
      <c r="ADM9" s="572"/>
      <c r="ADN9" s="572"/>
      <c r="ADO9" s="572"/>
      <c r="ADP9" s="572"/>
      <c r="ADQ9" s="572"/>
      <c r="ADR9" s="569" t="s">
        <v>775</v>
      </c>
      <c r="ADS9" s="569"/>
      <c r="ADT9" s="569"/>
      <c r="ADU9" s="569"/>
      <c r="ADV9" s="569"/>
      <c r="ADW9" s="569"/>
      <c r="ADX9" s="569"/>
      <c r="ADY9" s="569"/>
      <c r="ADZ9" s="154"/>
      <c r="AEA9" s="154"/>
      <c r="AEB9" s="154"/>
      <c r="AEC9" s="154"/>
      <c r="AED9" s="154"/>
      <c r="AEE9" s="154"/>
      <c r="AEF9" s="154"/>
      <c r="AEG9" s="154"/>
      <c r="AEH9" s="154"/>
      <c r="AEI9" s="154"/>
      <c r="AEJ9" s="154"/>
      <c r="AEK9" s="154"/>
      <c r="AEL9" s="154"/>
      <c r="AEM9" s="154"/>
      <c r="AEN9" s="154"/>
      <c r="AEO9" s="154"/>
      <c r="AEP9" s="154"/>
      <c r="AEQ9" s="154"/>
      <c r="AER9" s="154"/>
      <c r="AES9" s="154"/>
      <c r="AET9" s="154"/>
      <c r="AEU9" s="154"/>
      <c r="AEV9" s="154"/>
      <c r="AEW9" s="154"/>
      <c r="AEX9" s="154"/>
      <c r="AEY9" s="154"/>
      <c r="AEZ9" s="154"/>
      <c r="AFA9" s="154"/>
      <c r="AFB9" s="154"/>
      <c r="AFC9" s="154"/>
      <c r="AFD9" s="154"/>
      <c r="AFE9" s="154"/>
      <c r="AFF9" s="154"/>
      <c r="AFG9" s="154"/>
      <c r="AFH9" s="154"/>
      <c r="AFI9" s="154"/>
      <c r="AFJ9" s="154"/>
      <c r="AFK9" s="154"/>
      <c r="AFL9" s="154"/>
      <c r="AFM9" s="154"/>
      <c r="AFN9" s="154"/>
      <c r="AFO9" s="154"/>
      <c r="AFP9" s="154"/>
      <c r="AFQ9" s="154"/>
      <c r="AFR9" s="154"/>
      <c r="AFS9" s="154"/>
      <c r="AFT9" s="154"/>
      <c r="AFU9" s="154"/>
      <c r="AFV9" s="154"/>
      <c r="AFW9" s="154"/>
      <c r="AFX9" s="154"/>
      <c r="AFY9" s="154"/>
      <c r="AFZ9" s="154"/>
      <c r="AGA9" s="154"/>
      <c r="AGB9" s="154"/>
      <c r="AGC9" s="154"/>
      <c r="AGD9" s="154"/>
      <c r="AGE9" s="154"/>
      <c r="AGF9" s="154"/>
      <c r="AGG9" s="154"/>
      <c r="AGH9" s="154"/>
      <c r="AGI9" s="154"/>
      <c r="AGJ9" s="154"/>
      <c r="AGK9" s="154"/>
      <c r="AGL9" s="154"/>
      <c r="AGM9" s="154"/>
      <c r="AGN9" s="154"/>
      <c r="AGO9" s="154"/>
      <c r="AGP9" s="154"/>
      <c r="AGQ9" s="154"/>
      <c r="AGR9" s="154"/>
      <c r="AGS9" s="154"/>
      <c r="AGT9" s="154"/>
      <c r="AGU9" s="154"/>
      <c r="AGV9" s="154"/>
      <c r="AGW9" s="154"/>
      <c r="AGX9" s="154"/>
      <c r="AGY9" s="154"/>
      <c r="AGZ9" s="154"/>
      <c r="AHA9" s="154"/>
      <c r="AHB9" s="154"/>
      <c r="AHC9" s="154"/>
      <c r="AHD9" s="154"/>
      <c r="AHE9" s="154"/>
      <c r="AHF9" s="154"/>
      <c r="AHG9" s="154"/>
      <c r="AHH9" s="154"/>
      <c r="AHI9" s="154"/>
      <c r="AHJ9" s="154"/>
      <c r="AHK9" s="154"/>
      <c r="AHL9" s="154"/>
      <c r="AHM9" s="154"/>
      <c r="AHN9" s="154"/>
      <c r="AHO9" s="154"/>
      <c r="AHP9" s="154"/>
      <c r="AHQ9" s="154"/>
      <c r="AHR9" s="154"/>
      <c r="AHS9" s="154"/>
      <c r="AHT9" s="154"/>
      <c r="AHU9" s="154"/>
      <c r="AHV9" s="154"/>
      <c r="AHW9" s="154"/>
      <c r="AHX9" s="154"/>
      <c r="AHY9" s="154"/>
      <c r="AHZ9" s="154"/>
      <c r="AIA9" s="154"/>
      <c r="AIB9" s="154"/>
      <c r="AIC9" s="154"/>
      <c r="AID9" s="154"/>
      <c r="AIE9" s="154"/>
      <c r="AIF9" s="154"/>
      <c r="AIG9" s="154"/>
      <c r="AIH9" s="154"/>
      <c r="AII9" s="154"/>
      <c r="AIJ9" s="154"/>
      <c r="AIK9" s="154"/>
      <c r="AIL9" s="154"/>
      <c r="AIM9" s="154"/>
      <c r="AIN9" s="154"/>
      <c r="AIO9" s="154"/>
      <c r="AIP9" s="154"/>
      <c r="AIQ9" s="154"/>
      <c r="AIR9" s="154"/>
      <c r="AIS9" s="154"/>
      <c r="AIT9" s="154"/>
      <c r="AIU9" s="158"/>
      <c r="AIV9" s="158"/>
      <c r="AIW9" s="158"/>
      <c r="AIX9" s="158"/>
      <c r="AIY9" s="158"/>
      <c r="AIZ9" s="158"/>
      <c r="AJA9" s="158"/>
      <c r="AJB9" s="158"/>
      <c r="AJC9" s="158"/>
      <c r="AJD9" s="158"/>
      <c r="AJE9" s="158"/>
      <c r="AJF9" s="158"/>
      <c r="AJG9" s="158"/>
      <c r="AJH9" s="158"/>
      <c r="AJI9" s="158"/>
      <c r="AJJ9" s="158"/>
      <c r="AJK9" s="158"/>
      <c r="AJL9" s="158"/>
      <c r="AJM9" s="158"/>
      <c r="AJN9" s="158"/>
      <c r="AJO9" s="158"/>
      <c r="AJP9" s="158"/>
      <c r="AJQ9" s="158"/>
      <c r="AJR9" s="158"/>
      <c r="AJS9" s="158"/>
      <c r="AJT9" s="158"/>
      <c r="AJU9" s="158"/>
      <c r="AJV9" s="158"/>
      <c r="AJW9" s="158"/>
      <c r="AJX9" s="158"/>
      <c r="AJY9" s="158"/>
      <c r="AJZ9" s="158"/>
      <c r="AKA9" s="158"/>
      <c r="AKB9" s="158"/>
      <c r="AKC9" s="158"/>
      <c r="AKD9" s="158"/>
      <c r="AKE9" s="158"/>
      <c r="AKF9" s="158"/>
      <c r="AKG9" s="158"/>
      <c r="AKH9" s="158"/>
      <c r="AKI9" s="158"/>
      <c r="AKJ9" s="158"/>
      <c r="AKK9" s="158"/>
      <c r="AKL9" s="158"/>
      <c r="AKM9" s="158"/>
      <c r="AKN9" s="158"/>
      <c r="AKO9" s="158"/>
      <c r="AKP9" s="158"/>
      <c r="AKQ9" s="158"/>
      <c r="AKR9" s="158"/>
      <c r="AKS9" s="158"/>
      <c r="AKT9" s="158"/>
      <c r="AKU9" s="158"/>
      <c r="AKV9" s="158"/>
      <c r="AKW9" s="158"/>
      <c r="AKX9" s="158"/>
      <c r="AKY9" s="158"/>
      <c r="AKZ9" s="158"/>
      <c r="ALA9" s="158"/>
      <c r="ALB9" s="158"/>
      <c r="ALC9" s="158"/>
      <c r="ALD9" s="158"/>
      <c r="ALE9" s="158"/>
      <c r="ALF9" s="158"/>
      <c r="ALG9" s="158"/>
      <c r="ALH9" s="158"/>
      <c r="ALI9" s="158"/>
      <c r="ALJ9" s="158"/>
      <c r="ALK9" s="158"/>
      <c r="ALL9" s="158"/>
      <c r="ALM9" s="158"/>
      <c r="ALN9" s="158"/>
      <c r="ALO9" s="158"/>
      <c r="ALP9" s="158"/>
      <c r="ALQ9" s="158"/>
      <c r="ALR9" s="158"/>
      <c r="ALS9" s="158"/>
      <c r="ALT9" s="158"/>
      <c r="ALU9" s="158"/>
      <c r="ALV9" s="158"/>
      <c r="ALW9" s="158"/>
      <c r="ALX9" s="158"/>
      <c r="ALY9" s="158"/>
      <c r="ALZ9" s="158"/>
      <c r="AMA9" s="158"/>
      <c r="AMB9" s="158"/>
      <c r="AMC9" s="158"/>
      <c r="AMD9" s="158"/>
      <c r="AME9" s="158"/>
      <c r="AMF9" s="158"/>
      <c r="AMG9" s="158"/>
      <c r="AMH9" s="158"/>
      <c r="AMI9" s="158"/>
      <c r="AMJ9" s="158"/>
      <c r="AMK9" s="158"/>
      <c r="AML9" s="158"/>
      <c r="AMM9" s="158"/>
      <c r="AMN9" s="158"/>
      <c r="AMO9" s="158"/>
      <c r="AMP9" s="158"/>
      <c r="AMQ9" s="158"/>
      <c r="AMR9" s="158"/>
      <c r="AMS9" s="158"/>
      <c r="AMT9" s="158"/>
      <c r="AMU9" s="158"/>
      <c r="AMV9" s="158"/>
      <c r="AMW9" s="158"/>
      <c r="AMX9" s="158"/>
      <c r="AMY9" s="158"/>
      <c r="AMZ9" s="158"/>
      <c r="ANA9" s="158"/>
      <c r="ANB9" s="158"/>
      <c r="ANC9" s="158"/>
      <c r="AND9" s="158"/>
      <c r="ANE9" s="158"/>
      <c r="ANF9" s="158"/>
      <c r="ANG9" s="158"/>
      <c r="ANH9" s="158"/>
      <c r="ANI9" s="158"/>
      <c r="ANJ9" s="158"/>
      <c r="ANK9" s="158"/>
      <c r="ANL9" s="158"/>
      <c r="ANM9" s="158"/>
      <c r="ANN9" s="158"/>
      <c r="ANO9" s="158"/>
      <c r="ANP9" s="158"/>
      <c r="ANQ9" s="158"/>
      <c r="ANR9" s="158"/>
      <c r="ANS9" s="158"/>
      <c r="ANT9" s="158"/>
      <c r="ANU9" s="158"/>
      <c r="ANV9" s="158"/>
      <c r="ANW9" s="158"/>
      <c r="ANX9" s="158"/>
      <c r="ANY9" s="158"/>
      <c r="ANZ9" s="158"/>
      <c r="AOA9" s="158"/>
      <c r="AOB9" s="158"/>
      <c r="AOC9" s="158"/>
      <c r="AOD9" s="158"/>
      <c r="AOE9" s="158"/>
      <c r="AOF9" s="158"/>
      <c r="AOG9" s="158"/>
      <c r="AOH9" s="158"/>
      <c r="AOI9" s="158"/>
      <c r="AOJ9" s="158"/>
      <c r="AOK9" s="158"/>
      <c r="AOL9" s="158"/>
      <c r="AOM9" s="158"/>
      <c r="AON9" s="158"/>
      <c r="AOO9" s="158"/>
      <c r="AOP9" s="158"/>
      <c r="AOQ9" s="158"/>
      <c r="AOR9" s="158"/>
      <c r="AOS9" s="158"/>
      <c r="AOT9" s="158"/>
      <c r="AOU9" s="158"/>
    </row>
    <row r="10" spans="1:1087" ht="205.8" customHeight="1" thickTop="1" thickBot="1">
      <c r="A10" s="176" t="s">
        <v>614</v>
      </c>
      <c r="B10" s="179" t="s">
        <v>665</v>
      </c>
      <c r="MA10" s="158"/>
      <c r="MB10" s="158"/>
      <c r="MC10" s="158"/>
      <c r="MD10" s="158"/>
      <c r="ME10" s="158"/>
      <c r="MF10" s="158"/>
      <c r="MG10" s="158"/>
      <c r="MH10" s="158"/>
      <c r="MI10" s="158"/>
      <c r="MJ10" s="158"/>
      <c r="MK10" s="158"/>
      <c r="ML10" s="158"/>
      <c r="MM10" s="158"/>
      <c r="MN10" s="158"/>
      <c r="MO10" s="158"/>
      <c r="MP10" s="158"/>
      <c r="MQ10" s="158"/>
      <c r="MR10" s="158"/>
      <c r="MS10" s="158"/>
      <c r="MT10" s="158"/>
      <c r="MU10" s="158"/>
      <c r="MV10" s="158"/>
      <c r="MW10" s="158"/>
      <c r="MX10" s="158"/>
      <c r="MY10" s="158"/>
      <c r="MZ10" s="158"/>
      <c r="NA10" s="158"/>
      <c r="NB10" s="158"/>
      <c r="NC10" s="158"/>
      <c r="ND10" s="158"/>
      <c r="NE10" s="158"/>
      <c r="NF10" s="158"/>
      <c r="NG10" s="158"/>
      <c r="NH10" s="158"/>
      <c r="NI10" s="158"/>
      <c r="NJ10" s="158"/>
      <c r="NK10" s="158"/>
      <c r="NL10" s="158"/>
      <c r="NM10" s="158"/>
      <c r="NN10" s="158"/>
      <c r="NO10" s="158"/>
      <c r="NP10" s="158"/>
      <c r="NQ10" s="158"/>
      <c r="NR10" s="158"/>
      <c r="NS10" s="158"/>
      <c r="NT10" s="158"/>
      <c r="NU10" s="158"/>
      <c r="NV10" s="158"/>
      <c r="NW10" s="158"/>
      <c r="NX10" s="158"/>
      <c r="NY10" s="158"/>
      <c r="NZ10" s="158"/>
      <c r="OA10" s="158"/>
      <c r="OB10" s="158"/>
      <c r="OC10" s="158"/>
      <c r="OD10" s="158"/>
      <c r="OE10" s="158"/>
      <c r="OF10" s="158"/>
      <c r="OG10" s="158"/>
      <c r="OH10" s="158"/>
      <c r="OI10" s="158"/>
      <c r="OJ10" s="158"/>
      <c r="OK10" s="158"/>
      <c r="OL10" s="158"/>
      <c r="OM10" s="158"/>
      <c r="ON10" s="158"/>
      <c r="OO10" s="158"/>
      <c r="OP10" s="158"/>
      <c r="OQ10" s="158"/>
      <c r="OR10" s="158"/>
      <c r="OS10" s="158"/>
      <c r="OT10" s="158"/>
      <c r="OU10" s="158"/>
      <c r="OV10" s="158"/>
      <c r="OW10" s="158"/>
      <c r="OX10" s="158"/>
      <c r="OY10" s="158"/>
      <c r="OZ10" s="158"/>
      <c r="PA10" s="158"/>
      <c r="PB10" s="158"/>
      <c r="PC10" s="158"/>
      <c r="PD10" s="158"/>
      <c r="PE10" s="158"/>
      <c r="PF10" s="158"/>
      <c r="PG10" s="158"/>
      <c r="PH10" s="158"/>
      <c r="PI10" s="158"/>
      <c r="PJ10" s="158"/>
      <c r="PK10" s="158"/>
      <c r="PL10" s="158"/>
      <c r="PM10" s="158"/>
      <c r="PN10" s="158"/>
      <c r="PO10" s="158"/>
      <c r="PP10" s="158"/>
      <c r="PQ10" s="158"/>
      <c r="PR10" s="158"/>
      <c r="PS10" s="158"/>
      <c r="PT10" s="158"/>
      <c r="PU10" s="158"/>
      <c r="PV10" s="158"/>
      <c r="PW10" s="158"/>
      <c r="PX10" s="158"/>
      <c r="PY10" s="158"/>
      <c r="PZ10" s="158"/>
      <c r="QA10" s="158"/>
      <c r="QB10" s="158"/>
      <c r="QC10" s="158"/>
      <c r="QD10" s="158"/>
      <c r="QE10" s="158"/>
      <c r="QF10" s="158"/>
      <c r="QG10" s="158"/>
      <c r="QH10" s="158"/>
      <c r="QI10" s="158"/>
      <c r="QJ10" s="158"/>
      <c r="QK10" s="158"/>
      <c r="QL10" s="158"/>
      <c r="QM10" s="158"/>
      <c r="QN10" s="158"/>
      <c r="QO10" s="158"/>
      <c r="QP10" s="158"/>
      <c r="QQ10" s="158"/>
      <c r="QR10" s="158"/>
      <c r="QS10" s="158"/>
      <c r="QT10" s="158"/>
      <c r="QU10" s="158"/>
      <c r="QV10" s="158"/>
      <c r="QW10" s="158"/>
      <c r="QX10" s="158"/>
      <c r="QY10" s="158"/>
      <c r="QZ10" s="158"/>
      <c r="RA10" s="158"/>
      <c r="RB10" s="158"/>
      <c r="RC10" s="158"/>
      <c r="RD10" s="158"/>
      <c r="RE10" s="158"/>
      <c r="RF10" s="158"/>
      <c r="RG10" s="158"/>
      <c r="RH10" s="158"/>
      <c r="RI10" s="158"/>
      <c r="RJ10" s="158"/>
      <c r="RK10" s="158"/>
      <c r="RL10" s="158"/>
      <c r="RM10" s="158"/>
      <c r="RN10" s="158"/>
      <c r="RO10" s="158"/>
      <c r="RP10" s="158"/>
      <c r="RQ10" s="158"/>
      <c r="RR10" s="158"/>
      <c r="RS10" s="158"/>
      <c r="RT10" s="158"/>
      <c r="RU10" s="158"/>
      <c r="RV10" s="158"/>
      <c r="RW10" s="158"/>
      <c r="RX10" s="158"/>
      <c r="RY10" s="158"/>
      <c r="RZ10" s="158"/>
      <c r="SA10" s="158"/>
      <c r="SB10" s="158"/>
      <c r="SC10" s="158"/>
      <c r="SD10" s="158"/>
      <c r="SE10" s="158"/>
      <c r="SF10" s="158"/>
      <c r="SG10" s="158"/>
      <c r="SH10" s="158"/>
      <c r="SI10" s="158"/>
      <c r="SJ10" s="158"/>
      <c r="SK10" s="158"/>
      <c r="SL10" s="158"/>
      <c r="SM10" s="158"/>
      <c r="SN10" s="158"/>
      <c r="SO10" s="158"/>
      <c r="SP10" s="158"/>
      <c r="SQ10" s="158"/>
      <c r="SR10" s="158"/>
      <c r="SS10" s="158"/>
      <c r="ST10" s="158"/>
      <c r="SU10" s="158"/>
      <c r="SV10" s="158"/>
      <c r="SW10" s="158"/>
      <c r="SX10" s="158"/>
      <c r="SY10" s="158"/>
      <c r="SZ10" s="158"/>
      <c r="TA10" s="158"/>
      <c r="TB10" s="158"/>
      <c r="TC10" s="158"/>
      <c r="TD10" s="158"/>
      <c r="TE10" s="158"/>
      <c r="TF10" s="158"/>
      <c r="TG10" s="158"/>
      <c r="TH10" s="158"/>
      <c r="TI10" s="158"/>
      <c r="TJ10" s="158"/>
      <c r="TK10" s="158"/>
      <c r="TL10" s="158"/>
      <c r="TM10" s="158"/>
      <c r="TN10" s="158"/>
      <c r="TO10" s="158"/>
      <c r="TP10" s="158"/>
      <c r="TQ10" s="158"/>
      <c r="TR10" s="158"/>
      <c r="TS10" s="158"/>
      <c r="TT10" s="158"/>
      <c r="TU10" s="158"/>
      <c r="TV10" s="158"/>
      <c r="TW10" s="158"/>
      <c r="TX10" s="158"/>
      <c r="TY10" s="158"/>
      <c r="TZ10" s="158"/>
      <c r="UA10" s="158"/>
      <c r="UB10" s="158"/>
      <c r="UC10" s="158"/>
      <c r="UD10" s="158"/>
      <c r="UE10" s="158"/>
      <c r="UF10" s="158"/>
      <c r="UG10" s="158"/>
      <c r="UH10" s="158"/>
      <c r="UI10" s="158"/>
      <c r="UJ10" s="158"/>
      <c r="UK10" s="158"/>
      <c r="UL10" s="158"/>
      <c r="UM10" s="158"/>
      <c r="UN10" s="158"/>
      <c r="UO10" s="158"/>
      <c r="UP10" s="158"/>
      <c r="UQ10" s="158"/>
      <c r="UR10" s="158"/>
      <c r="US10" s="158"/>
      <c r="UT10" s="158"/>
      <c r="UU10" s="158"/>
      <c r="UV10" s="158"/>
      <c r="UW10" s="158"/>
      <c r="UX10" s="158"/>
      <c r="UY10" s="158"/>
      <c r="UZ10" s="158"/>
      <c r="VA10" s="158"/>
      <c r="VB10" s="158"/>
      <c r="VC10" s="158"/>
      <c r="VD10" s="158"/>
      <c r="VE10" s="158"/>
      <c r="VF10" s="158"/>
      <c r="VG10" s="158"/>
      <c r="VH10" s="158"/>
      <c r="VI10" s="158"/>
      <c r="VJ10" s="158"/>
      <c r="VK10" s="158"/>
      <c r="VL10" s="158"/>
      <c r="VM10" s="158"/>
      <c r="VN10" s="158"/>
      <c r="VO10" s="158"/>
      <c r="VP10" s="158"/>
      <c r="VQ10" s="158"/>
      <c r="VR10" s="158"/>
      <c r="VS10" s="158"/>
      <c r="VT10" s="158"/>
      <c r="VU10" s="158"/>
      <c r="VV10" s="158"/>
      <c r="VW10" s="158"/>
      <c r="VX10" s="158"/>
      <c r="VY10" s="158"/>
      <c r="VZ10" s="158"/>
      <c r="WA10" s="158"/>
      <c r="WB10" s="158"/>
      <c r="WC10" s="158"/>
      <c r="WD10" s="158"/>
      <c r="WE10" s="158"/>
      <c r="WF10" s="158"/>
      <c r="WG10" s="158"/>
      <c r="WH10" s="158"/>
      <c r="WI10" s="158"/>
      <c r="WJ10" s="158"/>
      <c r="WK10" s="158"/>
      <c r="WL10" s="158"/>
      <c r="WM10" s="158"/>
      <c r="WN10" s="158"/>
      <c r="WO10" s="158"/>
      <c r="WP10" s="158"/>
      <c r="WQ10" s="158"/>
      <c r="WR10" s="158"/>
      <c r="WS10" s="158"/>
      <c r="WT10" s="158"/>
      <c r="WU10" s="158"/>
      <c r="WV10" s="158"/>
      <c r="WW10" s="158"/>
      <c r="WX10" s="158"/>
      <c r="WY10" s="158"/>
      <c r="WZ10" s="158"/>
      <c r="XA10" s="158"/>
      <c r="XB10" s="158"/>
      <c r="XC10" s="158"/>
      <c r="XD10" s="158"/>
      <c r="XE10" s="158"/>
      <c r="XF10" s="158"/>
      <c r="XG10" s="158"/>
      <c r="XH10" s="158"/>
      <c r="XI10" s="158"/>
      <c r="XJ10" s="158"/>
      <c r="XK10" s="158"/>
      <c r="XL10" s="158"/>
      <c r="XM10" s="158"/>
      <c r="XN10" s="158"/>
      <c r="XO10" s="158"/>
      <c r="XP10" s="158"/>
      <c r="XQ10" s="158"/>
      <c r="XR10" s="158"/>
      <c r="XS10" s="158"/>
      <c r="XT10" s="158"/>
      <c r="XU10" s="158"/>
      <c r="XV10" s="158"/>
      <c r="XW10" s="158"/>
      <c r="XX10" s="158"/>
      <c r="XY10" s="158"/>
      <c r="XZ10" s="158"/>
      <c r="YA10" s="158"/>
      <c r="YB10" s="158"/>
      <c r="YC10" s="158"/>
      <c r="YD10" s="158"/>
      <c r="YE10" s="158"/>
      <c r="YF10" s="158"/>
      <c r="YG10" s="158"/>
      <c r="YH10" s="158"/>
      <c r="YI10" s="158"/>
      <c r="YJ10" s="158"/>
      <c r="YK10" s="158"/>
      <c r="YL10" s="158"/>
      <c r="YM10" s="158"/>
      <c r="YN10" s="158"/>
      <c r="YO10" s="158"/>
      <c r="YP10" s="158"/>
      <c r="YQ10" s="158"/>
      <c r="YR10" s="158"/>
      <c r="YS10" s="158"/>
      <c r="YT10" s="158"/>
      <c r="YU10" s="158"/>
      <c r="YV10" s="158"/>
      <c r="YW10" s="158"/>
      <c r="YX10" s="158"/>
      <c r="YY10" s="158"/>
      <c r="YZ10" s="158"/>
      <c r="ZA10" s="158"/>
      <c r="ZB10" s="158"/>
      <c r="ZC10" s="158"/>
      <c r="ZD10" s="158"/>
      <c r="ZE10" s="158"/>
      <c r="ZF10" s="158"/>
      <c r="ZG10" s="158"/>
      <c r="ZH10" s="158"/>
      <c r="ZI10" s="158"/>
      <c r="ZJ10" s="158"/>
      <c r="ZK10" s="158"/>
      <c r="ZL10" s="158"/>
      <c r="ZM10" s="158"/>
      <c r="ZN10" s="158"/>
      <c r="ZO10" s="158"/>
      <c r="ZP10" s="158"/>
      <c r="ZQ10" s="158"/>
      <c r="ZR10" s="158"/>
      <c r="ZS10" s="158"/>
      <c r="ZT10" s="158"/>
      <c r="ZU10" s="158"/>
      <c r="ZV10" s="158"/>
      <c r="ZW10" s="158"/>
      <c r="ZX10" s="158"/>
      <c r="ZY10" s="158"/>
      <c r="ZZ10" s="158"/>
      <c r="AAA10" s="158"/>
      <c r="AAB10" s="158"/>
      <c r="AAC10" s="158"/>
      <c r="AAD10" s="158"/>
      <c r="AAE10" s="158"/>
      <c r="AAF10" s="158"/>
      <c r="AAG10" s="158"/>
      <c r="AAH10" s="158"/>
      <c r="AAI10" s="158"/>
      <c r="AAJ10" s="158"/>
      <c r="AAK10" s="158"/>
      <c r="AAL10" s="158"/>
      <c r="AAM10" s="158"/>
      <c r="AAN10" s="158"/>
      <c r="AAO10" s="579" t="s">
        <v>771</v>
      </c>
      <c r="AAP10" s="579"/>
      <c r="AAQ10" s="579"/>
      <c r="AAR10" s="579"/>
      <c r="AAS10" s="579"/>
      <c r="AAT10" s="579"/>
      <c r="AAU10" s="572" t="s">
        <v>772</v>
      </c>
      <c r="AAV10" s="572"/>
      <c r="AAW10" s="572"/>
      <c r="AAX10" s="572"/>
      <c r="AAY10" s="572"/>
      <c r="AAZ10" s="572"/>
      <c r="ABA10" s="569" t="s">
        <v>596</v>
      </c>
      <c r="ABB10" s="569"/>
      <c r="ABC10" s="569"/>
      <c r="ABD10" s="569"/>
      <c r="ABE10" s="569"/>
      <c r="ABF10" s="569"/>
      <c r="ABG10" s="569"/>
      <c r="ABH10" s="569"/>
      <c r="ABI10" s="569"/>
      <c r="ABJ10" s="569"/>
      <c r="ABK10" s="569"/>
      <c r="ABL10" s="569"/>
      <c r="ABM10" s="569"/>
      <c r="ABN10" s="569"/>
      <c r="ABO10" s="569" t="s">
        <v>597</v>
      </c>
      <c r="ABP10" s="569"/>
      <c r="ABQ10" s="569"/>
      <c r="ABR10" s="569"/>
      <c r="ABS10" s="569"/>
      <c r="ABT10" s="569"/>
      <c r="ABU10" s="569"/>
      <c r="ABV10" s="569"/>
      <c r="ABW10" s="569"/>
      <c r="ABX10" s="569"/>
      <c r="ABY10" s="569"/>
      <c r="ABZ10" s="569"/>
      <c r="ACA10" s="569"/>
      <c r="ACB10" s="569"/>
      <c r="ACC10" s="569"/>
      <c r="ACD10" s="569" t="s">
        <v>658</v>
      </c>
      <c r="ACE10" s="569"/>
      <c r="ACF10" s="569"/>
      <c r="ACG10" s="569"/>
      <c r="ACH10" s="569"/>
      <c r="ACI10" s="569"/>
      <c r="ACJ10" s="569"/>
      <c r="ACK10" s="569"/>
      <c r="ACL10" s="569"/>
      <c r="ACM10" s="569"/>
      <c r="ACN10" s="569"/>
      <c r="ACO10" s="569"/>
      <c r="ACP10" s="569"/>
      <c r="ACQ10" s="569"/>
      <c r="ACR10" s="569"/>
      <c r="ACS10" s="569"/>
      <c r="ACT10" s="569"/>
      <c r="ACU10" s="569"/>
      <c r="ACV10" s="569"/>
      <c r="ACW10" s="569"/>
      <c r="ACX10" s="569"/>
      <c r="ACY10" s="569"/>
      <c r="ACZ10" s="569"/>
      <c r="ADA10" s="569"/>
      <c r="ADB10" s="574" t="s">
        <v>595</v>
      </c>
      <c r="ADC10" s="574"/>
      <c r="ADD10" s="574"/>
      <c r="ADE10" s="574"/>
      <c r="ADF10" s="574"/>
      <c r="ADG10" s="574"/>
      <c r="ADH10" s="574"/>
      <c r="ADI10" s="574"/>
      <c r="ADJ10" s="574"/>
      <c r="ADK10" s="574"/>
      <c r="ADL10" s="574"/>
      <c r="ADM10" s="574"/>
      <c r="ADN10" s="574"/>
      <c r="ADO10" s="574"/>
      <c r="ADP10" s="574"/>
      <c r="ADQ10" s="574"/>
      <c r="ADR10" s="574"/>
      <c r="ADS10" s="574"/>
      <c r="ADT10" s="574"/>
      <c r="ADU10" s="574"/>
      <c r="ADV10" s="574"/>
      <c r="ADW10" s="574"/>
      <c r="ADX10" s="574"/>
      <c r="ADY10" s="574"/>
      <c r="ADZ10" s="574"/>
      <c r="AEA10" s="574"/>
      <c r="AEB10" s="598" t="s">
        <v>702</v>
      </c>
      <c r="AEC10" s="598"/>
      <c r="AED10" s="598"/>
      <c r="AEE10" s="598"/>
      <c r="AEF10" s="598"/>
      <c r="AEG10" s="598"/>
      <c r="AEH10" s="598"/>
      <c r="AEI10" s="569" t="s">
        <v>703</v>
      </c>
      <c r="AEJ10" s="569"/>
      <c r="AEK10" s="569"/>
      <c r="AEL10" s="569"/>
      <c r="AEM10" s="569" t="s">
        <v>706</v>
      </c>
      <c r="AEN10" s="569"/>
      <c r="AEO10" s="569"/>
      <c r="AEP10" s="569"/>
      <c r="AEQ10" s="569"/>
      <c r="AER10" s="569"/>
      <c r="AES10" s="154"/>
      <c r="AET10" s="154"/>
      <c r="AEU10" s="154"/>
      <c r="AEV10" s="154"/>
      <c r="AEW10" s="154"/>
      <c r="AEX10" s="154"/>
      <c r="AEY10" s="154"/>
      <c r="AEZ10" s="154"/>
      <c r="AFA10" s="154"/>
      <c r="AFB10" s="154"/>
      <c r="AFC10" s="154"/>
      <c r="AFD10" s="154"/>
      <c r="AFE10" s="154"/>
      <c r="AFF10" s="154"/>
      <c r="AFG10" s="154"/>
      <c r="AFH10" s="154"/>
      <c r="AFI10" s="154"/>
      <c r="AFJ10" s="154"/>
      <c r="AFK10" s="154"/>
      <c r="AFL10" s="154"/>
      <c r="AFM10" s="154"/>
      <c r="AFN10" s="154"/>
      <c r="AFO10" s="154"/>
      <c r="AFP10" s="154"/>
      <c r="AFQ10" s="154"/>
      <c r="AFR10" s="154"/>
      <c r="AFS10" s="154"/>
      <c r="AFT10" s="154"/>
      <c r="AFU10" s="154"/>
      <c r="AFV10" s="154"/>
      <c r="AFW10" s="154"/>
      <c r="AFX10" s="154"/>
      <c r="AFY10" s="154"/>
      <c r="AFZ10" s="154"/>
      <c r="AGA10" s="154"/>
      <c r="AGB10" s="154"/>
      <c r="AGC10" s="154"/>
      <c r="AGD10" s="154"/>
      <c r="AGE10" s="154"/>
      <c r="AGF10" s="154"/>
      <c r="AGG10" s="154"/>
      <c r="AGH10" s="154"/>
      <c r="AGI10" s="154"/>
      <c r="AGJ10" s="154"/>
      <c r="AGK10" s="154"/>
      <c r="AGL10" s="154"/>
      <c r="AGM10" s="154"/>
      <c r="AGN10" s="154"/>
      <c r="AGO10" s="154"/>
      <c r="AGP10" s="154"/>
      <c r="AGQ10" s="154"/>
      <c r="AGR10" s="154"/>
      <c r="AGS10" s="154"/>
      <c r="AGT10" s="154"/>
      <c r="AGU10" s="154"/>
      <c r="AGV10" s="154"/>
      <c r="AGW10" s="154"/>
      <c r="AGX10" s="154"/>
      <c r="AGY10" s="154"/>
      <c r="AGZ10" s="154"/>
      <c r="AHA10" s="154"/>
      <c r="AHB10" s="154"/>
      <c r="AHC10" s="154"/>
      <c r="AHD10" s="154"/>
      <c r="AHE10" s="154"/>
      <c r="AHF10" s="154"/>
      <c r="AHG10" s="154"/>
      <c r="AHH10" s="154"/>
      <c r="AHI10" s="154"/>
      <c r="AHJ10" s="154"/>
      <c r="AHK10" s="154"/>
      <c r="AHL10" s="154"/>
      <c r="AHM10" s="154"/>
      <c r="AHN10" s="154"/>
      <c r="AHO10" s="154"/>
      <c r="AHP10" s="154"/>
      <c r="AHQ10" s="154"/>
      <c r="AHR10" s="154"/>
      <c r="AHS10" s="154"/>
      <c r="AHT10" s="154"/>
      <c r="AHU10" s="154"/>
      <c r="AHV10" s="154"/>
      <c r="AHW10" s="154"/>
      <c r="AHX10" s="154"/>
      <c r="AHY10" s="154"/>
      <c r="AHZ10" s="154"/>
      <c r="AIA10" s="154"/>
      <c r="AIB10" s="154"/>
      <c r="AIC10" s="154"/>
      <c r="AID10" s="154"/>
      <c r="AIE10" s="154"/>
      <c r="AIF10" s="154"/>
      <c r="AIG10" s="154"/>
      <c r="AIH10" s="154"/>
      <c r="AII10" s="154"/>
      <c r="AIJ10" s="154"/>
      <c r="AIK10" s="154"/>
      <c r="AIL10" s="154"/>
      <c r="AIM10" s="154"/>
      <c r="AIN10" s="154"/>
      <c r="AIO10" s="154"/>
      <c r="AIP10" s="154"/>
      <c r="AIQ10" s="154"/>
      <c r="AIR10" s="154"/>
      <c r="AIS10" s="154"/>
      <c r="AIT10" s="154"/>
      <c r="AIU10" s="158"/>
      <c r="AIV10" s="158"/>
      <c r="AIW10" s="158"/>
      <c r="AIX10" s="158"/>
      <c r="AIY10" s="158"/>
      <c r="AIZ10" s="158"/>
      <c r="AJA10" s="158"/>
      <c r="AJB10" s="158"/>
      <c r="AJC10" s="158"/>
      <c r="AJD10" s="158"/>
      <c r="AJE10" s="158"/>
      <c r="AJF10" s="158"/>
      <c r="AJG10" s="158"/>
      <c r="AJH10" s="158"/>
      <c r="AJI10" s="158"/>
      <c r="AJJ10" s="158"/>
      <c r="AJK10" s="158"/>
      <c r="AJL10" s="158"/>
      <c r="AJM10" s="158"/>
      <c r="AJN10" s="158"/>
      <c r="AJO10" s="158"/>
      <c r="AJP10" s="158"/>
      <c r="AJQ10" s="158"/>
      <c r="AJR10" s="158"/>
      <c r="AJS10" s="158"/>
      <c r="AJT10" s="158"/>
      <c r="AJU10" s="158"/>
      <c r="AJV10" s="158"/>
      <c r="AJW10" s="158"/>
      <c r="AJX10" s="158"/>
      <c r="AJY10" s="158"/>
      <c r="AJZ10" s="158"/>
      <c r="AKA10" s="158"/>
      <c r="AKB10" s="158"/>
      <c r="AKC10" s="158"/>
      <c r="AKD10" s="158"/>
      <c r="AKE10" s="158"/>
      <c r="AKF10" s="158"/>
      <c r="AKG10" s="158"/>
      <c r="AKH10" s="158"/>
      <c r="AKI10" s="158"/>
      <c r="AKJ10" s="158"/>
      <c r="AKK10" s="158"/>
      <c r="AKL10" s="158"/>
      <c r="AKM10" s="158"/>
      <c r="AKN10" s="158"/>
      <c r="AKO10" s="158"/>
      <c r="AKP10" s="158"/>
      <c r="AKQ10" s="158"/>
      <c r="AKR10" s="158"/>
      <c r="AKS10" s="158"/>
      <c r="AKT10" s="158"/>
      <c r="AKU10" s="158"/>
      <c r="AKV10" s="158"/>
      <c r="AKW10" s="158"/>
      <c r="AKX10" s="158"/>
      <c r="AKY10" s="158"/>
      <c r="AKZ10" s="158"/>
      <c r="ALA10" s="158"/>
      <c r="ALB10" s="158"/>
      <c r="ALC10" s="158"/>
      <c r="ALD10" s="158"/>
      <c r="ALE10" s="158"/>
      <c r="ALF10" s="158"/>
      <c r="ALG10" s="158"/>
      <c r="ALH10" s="158"/>
      <c r="ALI10" s="158"/>
      <c r="ALJ10" s="158"/>
      <c r="ALK10" s="158"/>
      <c r="ALL10" s="158"/>
      <c r="ALM10" s="158"/>
      <c r="ALN10" s="158"/>
      <c r="ALO10" s="158"/>
      <c r="ALP10" s="158"/>
      <c r="ALQ10" s="158"/>
      <c r="ALR10" s="158"/>
      <c r="ALS10" s="158"/>
      <c r="ALT10" s="158"/>
      <c r="ALU10" s="158"/>
      <c r="ALV10" s="158"/>
      <c r="ALW10" s="158"/>
      <c r="ALX10" s="158"/>
      <c r="ALY10" s="158"/>
      <c r="ALZ10" s="158"/>
      <c r="AMA10" s="158"/>
      <c r="AMB10" s="158"/>
      <c r="AMC10" s="158"/>
      <c r="AMD10" s="158"/>
      <c r="AME10" s="158"/>
      <c r="AMF10" s="158"/>
      <c r="AMG10" s="158"/>
      <c r="AMH10" s="158"/>
      <c r="AMI10" s="158"/>
      <c r="AMJ10" s="158"/>
      <c r="AMK10" s="158"/>
      <c r="AML10" s="158"/>
      <c r="AMM10" s="158"/>
      <c r="AMN10" s="158"/>
      <c r="AMO10" s="158"/>
      <c r="AMP10" s="158"/>
      <c r="AMQ10" s="158"/>
      <c r="AMR10" s="158"/>
      <c r="AMS10" s="158"/>
      <c r="AMT10" s="158"/>
      <c r="AMU10" s="158"/>
      <c r="AMV10" s="158"/>
      <c r="AMW10" s="158"/>
      <c r="AMX10" s="158"/>
      <c r="AMY10" s="158"/>
      <c r="AMZ10" s="158"/>
      <c r="ANA10" s="158"/>
      <c r="ANB10" s="158"/>
      <c r="ANC10" s="158"/>
      <c r="AND10" s="158"/>
      <c r="ANE10" s="158"/>
      <c r="ANF10" s="158"/>
      <c r="ANG10" s="158"/>
      <c r="ANH10" s="158"/>
      <c r="ANI10" s="158"/>
      <c r="ANJ10" s="158"/>
      <c r="ANK10" s="158"/>
      <c r="ANL10" s="158"/>
      <c r="ANM10" s="158"/>
      <c r="ANN10" s="158"/>
      <c r="ANO10" s="158"/>
      <c r="ANP10" s="158"/>
      <c r="ANQ10" s="158"/>
      <c r="ANR10" s="158"/>
      <c r="ANS10" s="158"/>
      <c r="ANT10" s="158"/>
      <c r="ANU10" s="158"/>
      <c r="ANV10" s="158"/>
      <c r="ANW10" s="158"/>
      <c r="ANX10" s="158"/>
      <c r="ANY10" s="158"/>
      <c r="ANZ10" s="158"/>
      <c r="AOA10" s="158"/>
      <c r="AOB10" s="158"/>
      <c r="AOC10" s="158"/>
      <c r="AOD10" s="158"/>
      <c r="AOE10" s="158"/>
      <c r="AOF10" s="158"/>
      <c r="AOG10" s="158"/>
      <c r="AOH10" s="158"/>
      <c r="AOI10" s="158"/>
      <c r="AOJ10" s="158"/>
      <c r="AOK10" s="158"/>
      <c r="AOL10" s="158"/>
      <c r="AOM10" s="158"/>
      <c r="AON10" s="158"/>
      <c r="AOO10" s="158"/>
      <c r="AOP10" s="158"/>
      <c r="AOQ10" s="158"/>
      <c r="AOR10" s="158"/>
      <c r="AOS10" s="158"/>
      <c r="AOT10" s="158"/>
      <c r="AOU10" s="158"/>
    </row>
    <row r="11" spans="1:1087" ht="205.8" customHeight="1" thickTop="1" thickBot="1">
      <c r="A11" s="176" t="s">
        <v>614</v>
      </c>
      <c r="B11" s="179" t="s">
        <v>666</v>
      </c>
      <c r="MA11" s="158"/>
      <c r="MB11" s="158"/>
      <c r="MC11" s="158"/>
      <c r="MD11" s="158"/>
      <c r="ME11" s="158"/>
      <c r="MF11" s="158"/>
      <c r="MG11" s="158"/>
      <c r="MH11" s="158"/>
      <c r="MI11" s="158"/>
      <c r="MJ11" s="158"/>
      <c r="MK11" s="158"/>
      <c r="ML11" s="158"/>
      <c r="MM11" s="158"/>
      <c r="MN11" s="158"/>
      <c r="MO11" s="158"/>
      <c r="MP11" s="158"/>
      <c r="MQ11" s="158"/>
      <c r="MR11" s="158"/>
      <c r="MS11" s="158"/>
      <c r="MT11" s="158"/>
      <c r="MU11" s="158"/>
      <c r="MV11" s="158"/>
      <c r="MW11" s="158"/>
      <c r="MX11" s="158"/>
      <c r="MY11" s="158"/>
      <c r="MZ11" s="158"/>
      <c r="NA11" s="158"/>
      <c r="NB11" s="158"/>
      <c r="NC11" s="158"/>
      <c r="ND11" s="158"/>
      <c r="NE11" s="158"/>
      <c r="NF11" s="158"/>
      <c r="NG11" s="158"/>
      <c r="NH11" s="158"/>
      <c r="NI11" s="158"/>
      <c r="NJ11" s="158"/>
      <c r="NK11" s="158"/>
      <c r="NL11" s="158"/>
      <c r="NM11" s="158"/>
      <c r="NN11" s="158"/>
      <c r="NO11" s="158"/>
      <c r="NP11" s="158"/>
      <c r="NQ11" s="158"/>
      <c r="NR11" s="158"/>
      <c r="NS11" s="158"/>
      <c r="NT11" s="158"/>
      <c r="NU11" s="158"/>
      <c r="NV11" s="158"/>
      <c r="NW11" s="158"/>
      <c r="NX11" s="158"/>
      <c r="NY11" s="158"/>
      <c r="NZ11" s="158"/>
      <c r="OA11" s="158"/>
      <c r="OB11" s="158"/>
      <c r="OC11" s="158"/>
      <c r="OD11" s="158"/>
      <c r="OE11" s="158"/>
      <c r="OF11" s="158"/>
      <c r="OG11" s="158"/>
      <c r="OH11" s="158"/>
      <c r="OI11" s="158"/>
      <c r="OJ11" s="158"/>
      <c r="OK11" s="158"/>
      <c r="OL11" s="158"/>
      <c r="OM11" s="158"/>
      <c r="ON11" s="158"/>
      <c r="OO11" s="158"/>
      <c r="OP11" s="158"/>
      <c r="OQ11" s="158"/>
      <c r="OR11" s="158"/>
      <c r="OS11" s="158"/>
      <c r="OT11" s="158"/>
      <c r="OU11" s="158"/>
      <c r="OV11" s="158"/>
      <c r="OW11" s="158"/>
      <c r="OX11" s="158"/>
      <c r="OY11" s="158"/>
      <c r="OZ11" s="158"/>
      <c r="PA11" s="158"/>
      <c r="PB11" s="158"/>
      <c r="PC11" s="158"/>
      <c r="PD11" s="158"/>
      <c r="PE11" s="158"/>
      <c r="PF11" s="158"/>
      <c r="PG11" s="158"/>
      <c r="PH11" s="158"/>
      <c r="PI11" s="158"/>
      <c r="PJ11" s="158"/>
      <c r="PK11" s="158"/>
      <c r="PL11" s="158"/>
      <c r="PM11" s="158"/>
      <c r="PN11" s="158"/>
      <c r="PO11" s="158"/>
      <c r="PP11" s="158"/>
      <c r="PQ11" s="158"/>
      <c r="PR11" s="158"/>
      <c r="PS11" s="158"/>
      <c r="PT11" s="158"/>
      <c r="PU11" s="158"/>
      <c r="PV11" s="158"/>
      <c r="PW11" s="158"/>
      <c r="PX11" s="158"/>
      <c r="PY11" s="158"/>
      <c r="PZ11" s="158"/>
      <c r="QA11" s="158"/>
      <c r="QB11" s="158"/>
      <c r="QC11" s="158"/>
      <c r="QD11" s="158"/>
      <c r="QE11" s="158"/>
      <c r="QF11" s="158"/>
      <c r="QG11" s="158"/>
      <c r="QH11" s="158"/>
      <c r="QI11" s="158"/>
      <c r="QJ11" s="158"/>
      <c r="QK11" s="158"/>
      <c r="QL11" s="158"/>
      <c r="QM11" s="158"/>
      <c r="QN11" s="158"/>
      <c r="QO11" s="158"/>
      <c r="QP11" s="158"/>
      <c r="QQ11" s="158"/>
      <c r="QR11" s="158"/>
      <c r="QS11" s="158"/>
      <c r="QT11" s="158"/>
      <c r="QU11" s="158"/>
      <c r="QV11" s="158"/>
      <c r="QW11" s="158"/>
      <c r="QX11" s="158"/>
      <c r="QY11" s="158"/>
      <c r="QZ11" s="158"/>
      <c r="RA11" s="158"/>
      <c r="RB11" s="158"/>
      <c r="RC11" s="158"/>
      <c r="RD11" s="158"/>
      <c r="RE11" s="158"/>
      <c r="RF11" s="158"/>
      <c r="RG11" s="158"/>
      <c r="RH11" s="158"/>
      <c r="RI11" s="158"/>
      <c r="RJ11" s="158"/>
      <c r="RK11" s="158"/>
      <c r="RL11" s="158"/>
      <c r="RM11" s="158"/>
      <c r="RN11" s="158"/>
      <c r="RO11" s="158"/>
      <c r="RP11" s="158"/>
      <c r="RQ11" s="158"/>
      <c r="RR11" s="158"/>
      <c r="RS11" s="158"/>
      <c r="RT11" s="158"/>
      <c r="RU11" s="158"/>
      <c r="RV11" s="158"/>
      <c r="RW11" s="158"/>
      <c r="RX11" s="158"/>
      <c r="RY11" s="158"/>
      <c r="RZ11" s="158"/>
      <c r="SA11" s="158"/>
      <c r="SB11" s="158"/>
      <c r="SC11" s="158"/>
      <c r="SD11" s="158"/>
      <c r="SE11" s="158"/>
      <c r="SF11" s="158"/>
      <c r="SG11" s="158"/>
      <c r="SH11" s="158"/>
      <c r="SI11" s="158"/>
      <c r="SJ11" s="158"/>
      <c r="SK11" s="158"/>
      <c r="SL11" s="158"/>
      <c r="SM11" s="158"/>
      <c r="SN11" s="158"/>
      <c r="SO11" s="158"/>
      <c r="SP11" s="158"/>
      <c r="SQ11" s="158"/>
      <c r="SR11" s="158"/>
      <c r="SS11" s="158"/>
      <c r="ST11" s="158"/>
      <c r="SU11" s="158"/>
      <c r="SV11" s="158"/>
      <c r="SW11" s="158"/>
      <c r="SX11" s="158"/>
      <c r="SY11" s="158"/>
      <c r="SZ11" s="158"/>
      <c r="TA11" s="158"/>
      <c r="TB11" s="158"/>
      <c r="TC11" s="158"/>
      <c r="TD11" s="158"/>
      <c r="TE11" s="158"/>
      <c r="TF11" s="158"/>
      <c r="TG11" s="158"/>
      <c r="TH11" s="158"/>
      <c r="TI11" s="158"/>
      <c r="TJ11" s="158"/>
      <c r="TK11" s="158"/>
      <c r="TL11" s="158"/>
      <c r="TM11" s="158"/>
      <c r="TN11" s="158"/>
      <c r="TO11" s="158"/>
      <c r="TP11" s="158"/>
      <c r="TQ11" s="158"/>
      <c r="TR11" s="158"/>
      <c r="TS11" s="158"/>
      <c r="TT11" s="158"/>
      <c r="TU11" s="158"/>
      <c r="TV11" s="158"/>
      <c r="TW11" s="158"/>
      <c r="TX11" s="158"/>
      <c r="TY11" s="158"/>
      <c r="TZ11" s="158"/>
      <c r="UA11" s="158"/>
      <c r="UB11" s="158"/>
      <c r="UC11" s="158"/>
      <c r="UD11" s="158"/>
      <c r="UE11" s="158"/>
      <c r="UF11" s="158"/>
      <c r="UG11" s="158"/>
      <c r="UH11" s="158"/>
      <c r="UI11" s="158"/>
      <c r="UJ11" s="158"/>
      <c r="UK11" s="158"/>
      <c r="UL11" s="158"/>
      <c r="UM11" s="158"/>
      <c r="UN11" s="158"/>
      <c r="UO11" s="158"/>
      <c r="UP11" s="158"/>
      <c r="UQ11" s="158"/>
      <c r="UR11" s="158"/>
      <c r="US11" s="158"/>
      <c r="UT11" s="158"/>
      <c r="UU11" s="158"/>
      <c r="UV11" s="158"/>
      <c r="UW11" s="158"/>
      <c r="UX11" s="158"/>
      <c r="UY11" s="158"/>
      <c r="UZ11" s="158"/>
      <c r="VA11" s="158"/>
      <c r="VB11" s="158"/>
      <c r="VC11" s="158"/>
      <c r="VD11" s="158"/>
      <c r="VE11" s="158"/>
      <c r="VF11" s="158"/>
      <c r="VG11" s="158"/>
      <c r="VH11" s="158"/>
      <c r="VI11" s="158"/>
      <c r="VJ11" s="158"/>
      <c r="VK11" s="158"/>
      <c r="VL11" s="158"/>
      <c r="VM11" s="158"/>
      <c r="VN11" s="158"/>
      <c r="VO11" s="158"/>
      <c r="VP11" s="158"/>
      <c r="VQ11" s="158"/>
      <c r="VR11" s="158"/>
      <c r="VS11" s="158"/>
      <c r="VT11" s="158"/>
      <c r="VU11" s="158"/>
      <c r="VV11" s="158"/>
      <c r="VW11" s="158"/>
      <c r="VX11" s="158"/>
      <c r="VY11" s="158"/>
      <c r="VZ11" s="158"/>
      <c r="WA11" s="158"/>
      <c r="WB11" s="158"/>
      <c r="WC11" s="158"/>
      <c r="WD11" s="158"/>
      <c r="WE11" s="158"/>
      <c r="WF11" s="158"/>
      <c r="WG11" s="158"/>
      <c r="WH11" s="158"/>
      <c r="WI11" s="158"/>
      <c r="WJ11" s="158"/>
      <c r="WK11" s="158"/>
      <c r="WL11" s="158"/>
      <c r="WM11" s="158"/>
      <c r="WN11" s="158"/>
      <c r="WO11" s="158"/>
      <c r="WP11" s="158"/>
      <c r="WQ11" s="158"/>
      <c r="WR11" s="158"/>
      <c r="WS11" s="158"/>
      <c r="WT11" s="158"/>
      <c r="WU11" s="158"/>
      <c r="WV11" s="158"/>
      <c r="WW11" s="158"/>
      <c r="WX11" s="158"/>
      <c r="WY11" s="158"/>
      <c r="WZ11" s="158"/>
      <c r="XA11" s="158"/>
      <c r="XB11" s="158"/>
      <c r="XC11" s="158"/>
      <c r="XD11" s="158"/>
      <c r="XE11" s="158"/>
      <c r="XF11" s="158"/>
      <c r="XG11" s="158"/>
      <c r="XH11" s="158"/>
      <c r="XI11" s="158"/>
      <c r="XJ11" s="158"/>
      <c r="XK11" s="158"/>
      <c r="XL11" s="158"/>
      <c r="XM11" s="158"/>
      <c r="XN11" s="158"/>
      <c r="XO11" s="158"/>
      <c r="XP11" s="158"/>
      <c r="XQ11" s="158"/>
      <c r="XR11" s="158"/>
      <c r="XS11" s="158"/>
      <c r="XT11" s="158"/>
      <c r="XU11" s="158"/>
      <c r="XV11" s="158"/>
      <c r="XW11" s="158"/>
      <c r="XX11" s="158"/>
      <c r="XY11" s="158"/>
      <c r="XZ11" s="158"/>
      <c r="YA11" s="158"/>
      <c r="YB11" s="158"/>
      <c r="YC11" s="158"/>
      <c r="YD11" s="158"/>
      <c r="YE11" s="158"/>
      <c r="YF11" s="158"/>
      <c r="YG11" s="158"/>
      <c r="YH11" s="158"/>
      <c r="YI11" s="158"/>
      <c r="YJ11" s="158"/>
      <c r="YK11" s="158"/>
      <c r="YL11" s="158"/>
      <c r="YM11" s="158"/>
      <c r="YN11" s="158"/>
      <c r="YO11" s="158"/>
      <c r="YP11" s="158"/>
      <c r="YQ11" s="158"/>
      <c r="YR11" s="158"/>
      <c r="YS11" s="158"/>
      <c r="YT11" s="158"/>
      <c r="YU11" s="158"/>
      <c r="YV11" s="158"/>
      <c r="YW11" s="158"/>
      <c r="YX11" s="158"/>
      <c r="YY11" s="158"/>
      <c r="YZ11" s="158"/>
      <c r="ZA11" s="158"/>
      <c r="ZB11" s="158"/>
      <c r="ZC11" s="158"/>
      <c r="ZD11" s="158"/>
      <c r="ZE11" s="158"/>
      <c r="ZF11" s="158"/>
      <c r="ZG11" s="158"/>
      <c r="ZH11" s="158"/>
      <c r="ZI11" s="158"/>
      <c r="ZJ11" s="158"/>
      <c r="ZK11" s="158"/>
      <c r="ZL11" s="158"/>
      <c r="ZM11" s="158"/>
      <c r="ZN11" s="158"/>
      <c r="ZO11" s="158"/>
      <c r="ZP11" s="158"/>
      <c r="ZQ11" s="158"/>
      <c r="ZR11" s="158"/>
      <c r="ZS11" s="158"/>
      <c r="ZT11" s="158"/>
      <c r="ZU11" s="158"/>
      <c r="ZV11" s="158"/>
      <c r="ZW11" s="158"/>
      <c r="ZX11" s="158"/>
      <c r="ZY11" s="158"/>
      <c r="ZZ11" s="158"/>
      <c r="AAA11" s="158"/>
      <c r="AAB11" s="158"/>
      <c r="AAC11" s="158"/>
      <c r="AAD11" s="158"/>
      <c r="AAE11" s="158"/>
      <c r="AAF11" s="158"/>
      <c r="AAG11" s="158"/>
      <c r="AAH11" s="158"/>
      <c r="AAI11" s="158"/>
      <c r="AAJ11" s="158"/>
      <c r="AAK11" s="158"/>
      <c r="AAL11" s="158"/>
      <c r="AAM11" s="158"/>
      <c r="AAN11" s="158"/>
      <c r="AAO11" s="158"/>
      <c r="AAP11" s="158"/>
      <c r="AAQ11" s="158"/>
      <c r="AAR11" s="158"/>
      <c r="AAS11" s="158"/>
      <c r="AAT11" s="158"/>
      <c r="AAU11" s="158"/>
      <c r="AAV11" s="158"/>
      <c r="AAW11" s="158"/>
      <c r="AAX11" s="158"/>
      <c r="AAY11" s="158"/>
      <c r="AAZ11" s="158"/>
      <c r="ABA11" s="154"/>
      <c r="ABB11" s="154"/>
      <c r="ABC11" s="154"/>
      <c r="ABD11" s="154"/>
      <c r="ABE11" s="154"/>
      <c r="ABF11" s="154"/>
      <c r="ABG11" s="154"/>
      <c r="ABH11" s="154"/>
      <c r="ABI11" s="154"/>
      <c r="ABJ11" s="154"/>
      <c r="ABK11" s="154"/>
      <c r="ABL11" s="154"/>
      <c r="ABM11" s="154"/>
      <c r="ABN11" s="154"/>
      <c r="ABO11" s="154"/>
      <c r="ABP11" s="154"/>
      <c r="ABQ11" s="154"/>
      <c r="ABR11" s="154"/>
      <c r="ABS11" s="154"/>
      <c r="ABT11" s="154"/>
      <c r="ABU11" s="154"/>
      <c r="ABV11" s="154"/>
      <c r="ABW11" s="154"/>
      <c r="ABX11" s="154"/>
      <c r="ABY11" s="154"/>
      <c r="ABZ11" s="154"/>
      <c r="ACA11" s="154"/>
      <c r="ACB11" s="154"/>
      <c r="ACC11" s="154"/>
      <c r="ACD11" s="154"/>
      <c r="ACE11" s="154"/>
      <c r="ACF11" s="154"/>
      <c r="ACG11" s="154"/>
      <c r="ACH11" s="154"/>
      <c r="ACI11" s="154"/>
      <c r="ACJ11" s="154"/>
      <c r="ACK11" s="154"/>
      <c r="ACL11" s="154"/>
      <c r="ACM11" s="154"/>
      <c r="ACN11" s="154"/>
      <c r="ACO11" s="154"/>
      <c r="ACP11" s="154"/>
      <c r="ACQ11" s="154"/>
      <c r="ACR11" s="154"/>
      <c r="ACS11" s="154"/>
      <c r="ACT11" s="154"/>
      <c r="ACU11" s="154"/>
      <c r="ACV11" s="154"/>
      <c r="ACW11" s="154"/>
      <c r="ACX11" s="154"/>
      <c r="ACY11" s="154"/>
      <c r="ACZ11" s="154"/>
      <c r="ADA11" s="154"/>
      <c r="ADB11" s="154"/>
      <c r="ADC11" s="154"/>
      <c r="ADD11" s="591" t="s">
        <v>147</v>
      </c>
      <c r="ADE11" s="591"/>
      <c r="ADF11" s="591"/>
      <c r="ADG11" s="591"/>
      <c r="ADH11" s="591"/>
      <c r="ADI11" s="591"/>
      <c r="ADJ11" s="593" t="s">
        <v>776</v>
      </c>
      <c r="ADK11" s="593"/>
      <c r="ADL11" s="593"/>
      <c r="ADM11" s="593"/>
      <c r="ADN11" s="593"/>
      <c r="ADO11" s="593"/>
      <c r="ADP11" s="593"/>
      <c r="ADQ11" s="573" t="s">
        <v>603</v>
      </c>
      <c r="ADR11" s="573"/>
      <c r="ADS11" s="573"/>
      <c r="ADT11" s="573"/>
      <c r="ADU11" s="573"/>
      <c r="ADV11" s="573"/>
      <c r="ADW11" s="573"/>
      <c r="ADX11" s="573"/>
      <c r="ADY11" s="573"/>
      <c r="ADZ11" s="573"/>
      <c r="AEA11" s="573"/>
      <c r="AEB11" s="573"/>
      <c r="AEC11" s="573"/>
      <c r="AED11" s="573"/>
      <c r="AEE11" s="573"/>
      <c r="AEF11" s="573"/>
      <c r="AEG11" s="573"/>
      <c r="AEH11" s="573"/>
      <c r="AEI11" s="573"/>
      <c r="AEJ11" s="573"/>
      <c r="AEK11" s="573"/>
      <c r="AEL11" s="573"/>
      <c r="AEM11" s="573"/>
      <c r="AEN11" s="573"/>
      <c r="AEO11" s="573"/>
      <c r="AEP11" s="573"/>
      <c r="AEQ11" s="573"/>
      <c r="AER11" s="573"/>
      <c r="AES11" s="573"/>
      <c r="AET11" s="573"/>
      <c r="AEU11" s="573"/>
      <c r="AEV11" s="573"/>
      <c r="AEW11" s="573"/>
      <c r="AEX11" s="573"/>
      <c r="AEY11" s="573"/>
      <c r="AEZ11" s="573"/>
      <c r="AFA11" s="573"/>
      <c r="AFB11" s="573"/>
      <c r="AFC11" s="573"/>
      <c r="AFD11" s="573"/>
      <c r="AFE11" s="573"/>
      <c r="AFF11" s="573"/>
      <c r="AFG11" s="573"/>
      <c r="AFH11" s="573"/>
      <c r="AFI11" s="573"/>
      <c r="AFJ11" s="573"/>
      <c r="AFK11" s="573"/>
      <c r="AFL11" s="573"/>
      <c r="AFM11" s="573"/>
      <c r="AFN11" s="573"/>
      <c r="AFO11" s="573"/>
      <c r="AFP11" s="573"/>
      <c r="AFQ11" s="573"/>
      <c r="AFR11" s="573"/>
      <c r="AFS11" s="573"/>
      <c r="AFT11" s="573"/>
      <c r="AFU11" s="573"/>
      <c r="AFV11" s="573"/>
      <c r="AFW11" s="573"/>
      <c r="AFX11" s="573"/>
      <c r="AFY11" s="573"/>
      <c r="AFZ11" s="573"/>
      <c r="AGA11" s="573"/>
      <c r="AGB11" s="573"/>
      <c r="AGC11" s="573"/>
      <c r="AGD11" s="573"/>
      <c r="AGE11" s="573"/>
      <c r="AGF11" s="596" t="s">
        <v>602</v>
      </c>
      <c r="AGG11" s="596"/>
      <c r="AGH11" s="596"/>
      <c r="AGI11" s="596"/>
      <c r="AGJ11" s="596"/>
      <c r="AGK11" s="596"/>
      <c r="AGL11" s="596"/>
      <c r="AGM11" s="596"/>
      <c r="AGN11" s="596"/>
      <c r="AGO11" s="596"/>
      <c r="AGP11" s="596"/>
      <c r="AGQ11" s="596"/>
      <c r="AGR11" s="596"/>
      <c r="AGS11" s="596"/>
      <c r="AGT11" s="596"/>
      <c r="AGU11" s="596"/>
      <c r="AGV11" s="596"/>
      <c r="AGW11" s="596"/>
      <c r="AGX11" s="596"/>
      <c r="AGY11" s="596"/>
      <c r="AGZ11" s="596"/>
      <c r="AHA11" s="596"/>
      <c r="AHB11" s="596"/>
      <c r="AHC11" s="596"/>
      <c r="AHD11" s="596"/>
      <c r="AHE11" s="596"/>
      <c r="AHF11" s="596"/>
      <c r="AHG11" s="596"/>
      <c r="AHH11" s="596"/>
      <c r="AHI11" s="596"/>
      <c r="AHJ11" s="596"/>
      <c r="AHK11" s="596"/>
      <c r="AHL11" s="596"/>
      <c r="AHM11" s="596"/>
      <c r="AHN11" s="596"/>
      <c r="AHO11" s="596"/>
      <c r="AHP11" s="596"/>
      <c r="AHQ11" s="596"/>
      <c r="AHR11" s="596"/>
      <c r="AHS11" s="596"/>
      <c r="AHT11" s="596"/>
      <c r="AHU11" s="596"/>
      <c r="AHV11" s="596"/>
      <c r="AHW11" s="596"/>
      <c r="AHX11" s="596"/>
      <c r="AHY11" s="596"/>
      <c r="AHZ11" s="596"/>
      <c r="AIA11" s="596"/>
      <c r="AIB11" s="596"/>
      <c r="AIC11" s="596"/>
      <c r="AID11" s="596"/>
      <c r="AIE11" s="596"/>
      <c r="AIF11" s="596"/>
      <c r="AIG11" s="596"/>
      <c r="AIH11" s="596"/>
      <c r="AII11" s="596"/>
      <c r="AIJ11" s="596"/>
      <c r="AIK11" s="596"/>
      <c r="AIL11" s="596"/>
      <c r="AIM11" s="596"/>
      <c r="AIN11" s="596"/>
      <c r="AIO11" s="596"/>
      <c r="AIP11" s="596"/>
      <c r="AIQ11" s="596"/>
      <c r="AIR11" s="596"/>
      <c r="AIS11" s="596"/>
      <c r="AIT11" s="596"/>
      <c r="AIU11" s="597" t="s">
        <v>601</v>
      </c>
      <c r="AIV11" s="597"/>
      <c r="AIW11" s="597"/>
      <c r="AIX11" s="597"/>
      <c r="AIY11" s="597"/>
      <c r="AIZ11" s="597"/>
      <c r="AJA11" s="597"/>
      <c r="AJB11" s="597"/>
      <c r="AJC11" s="597"/>
      <c r="AJD11" s="597"/>
      <c r="AJE11" s="597"/>
      <c r="AJF11" s="597"/>
      <c r="AJG11" s="597"/>
      <c r="AJH11" s="597"/>
      <c r="AJI11" s="597"/>
      <c r="AJJ11" s="597"/>
      <c r="AJK11" s="597"/>
      <c r="AJL11" s="597"/>
      <c r="AJM11" s="597"/>
      <c r="AJN11" s="597"/>
      <c r="AJO11" s="597"/>
      <c r="AJP11" s="597"/>
      <c r="AJQ11" s="597"/>
      <c r="AJR11" s="597"/>
      <c r="AJS11" s="597"/>
      <c r="AJT11" s="597"/>
      <c r="AJU11" s="597"/>
      <c r="AJV11" s="597"/>
      <c r="AJW11" s="597"/>
      <c r="AJX11" s="597"/>
      <c r="AJY11" s="597"/>
      <c r="AJZ11" s="597"/>
      <c r="AKA11" s="597"/>
      <c r="AKB11" s="597"/>
      <c r="AKC11" s="597"/>
      <c r="AKD11" s="597"/>
      <c r="AKE11" s="597"/>
      <c r="AKF11" s="597"/>
      <c r="AKG11" s="597"/>
      <c r="AKH11" s="597"/>
      <c r="AKI11" s="597"/>
      <c r="AKJ11" s="597"/>
      <c r="AKK11" s="597"/>
      <c r="AKL11" s="597"/>
      <c r="AKM11" s="597"/>
      <c r="AKN11" s="597"/>
      <c r="AKO11" s="597"/>
      <c r="AKP11" s="597"/>
      <c r="AKQ11" s="597"/>
      <c r="AKR11" s="597"/>
      <c r="AKS11" s="597"/>
      <c r="AKT11" s="597"/>
      <c r="AKU11" s="597"/>
      <c r="AKV11" s="597"/>
      <c r="AKW11" s="597"/>
      <c r="AKX11" s="597"/>
      <c r="AKY11" s="597"/>
      <c r="AKZ11" s="597"/>
      <c r="ALA11" s="597"/>
      <c r="ALB11" s="597"/>
      <c r="ALC11" s="597"/>
      <c r="ALD11" s="597"/>
      <c r="ALE11" s="597"/>
      <c r="ALF11" s="597"/>
      <c r="ALG11" s="597"/>
      <c r="ALH11" s="597"/>
      <c r="ALI11" s="597"/>
      <c r="ALJ11" s="158"/>
      <c r="ALK11" s="158"/>
      <c r="ALL11" s="158"/>
      <c r="ALM11" s="158"/>
      <c r="ALN11" s="158"/>
      <c r="ALO11" s="158"/>
      <c r="ALP11" s="158"/>
      <c r="ALQ11" s="158"/>
      <c r="ALR11" s="158"/>
      <c r="ALS11" s="158"/>
      <c r="ALT11" s="158"/>
      <c r="ALU11" s="158"/>
      <c r="ALV11" s="158"/>
      <c r="ALW11" s="158"/>
      <c r="ALX11" s="158"/>
      <c r="ALY11" s="158"/>
      <c r="ALZ11" s="158"/>
      <c r="AMA11" s="158"/>
      <c r="AMB11" s="158"/>
      <c r="AMC11" s="158"/>
      <c r="AMD11" s="158"/>
      <c r="AME11" s="158"/>
      <c r="AMF11" s="158"/>
      <c r="AMG11" s="158"/>
      <c r="AMH11" s="158"/>
      <c r="AMI11" s="158"/>
      <c r="AMJ11" s="158"/>
      <c r="AMK11" s="158"/>
      <c r="AML11" s="158"/>
      <c r="AMM11" s="158"/>
      <c r="AMN11" s="158"/>
      <c r="AMO11" s="158"/>
      <c r="AMP11" s="158"/>
      <c r="AMQ11" s="158"/>
      <c r="AMR11" s="158"/>
      <c r="AMS11" s="158"/>
      <c r="AMT11" s="158"/>
      <c r="AMU11" s="158"/>
      <c r="AMV11" s="158"/>
      <c r="AMW11" s="158"/>
      <c r="AMX11" s="158"/>
      <c r="AMY11" s="158"/>
      <c r="AMZ11" s="158"/>
      <c r="ANA11" s="158"/>
      <c r="ANB11" s="158"/>
      <c r="ANC11" s="158"/>
      <c r="AND11" s="158"/>
      <c r="ANE11" s="158"/>
      <c r="ANF11" s="158"/>
      <c r="ANG11" s="158"/>
      <c r="ANH11" s="158"/>
      <c r="ANI11" s="158"/>
      <c r="ANJ11" s="158"/>
      <c r="ANK11" s="158"/>
      <c r="ANL11" s="158"/>
      <c r="ANM11" s="158"/>
      <c r="ANN11" s="158"/>
      <c r="ANO11" s="158"/>
      <c r="ANP11" s="158"/>
      <c r="ANQ11" s="158"/>
      <c r="ANR11" s="158"/>
      <c r="ANS11" s="158"/>
      <c r="ANT11" s="158"/>
      <c r="ANU11" s="158"/>
      <c r="ANV11" s="158"/>
      <c r="ANW11" s="158"/>
      <c r="ANX11" s="158"/>
      <c r="ANY11" s="158"/>
      <c r="ANZ11" s="158"/>
      <c r="AOA11" s="158"/>
      <c r="AOB11" s="158"/>
      <c r="AOC11" s="158"/>
      <c r="AOD11" s="158"/>
      <c r="AOE11" s="158"/>
      <c r="AOF11" s="158"/>
      <c r="AOG11" s="158"/>
      <c r="AOH11" s="158"/>
      <c r="AOI11" s="158"/>
      <c r="AOJ11" s="158"/>
      <c r="AOK11" s="158"/>
      <c r="AOL11" s="158"/>
      <c r="AOM11" s="158"/>
      <c r="AON11" s="158"/>
      <c r="AOO11" s="158"/>
      <c r="AOP11" s="158"/>
      <c r="AOQ11" s="158"/>
      <c r="AOR11" s="158"/>
      <c r="AOS11" s="158"/>
      <c r="AOT11" s="158"/>
      <c r="AOU11" s="158"/>
    </row>
    <row r="12" spans="1:1087" ht="15" thickTop="1"/>
  </sheetData>
  <mergeCells count="242">
    <mergeCell ref="AAO10:AAT10"/>
    <mergeCell ref="AAU10:AAZ10"/>
    <mergeCell ref="ABA10:ABN10"/>
    <mergeCell ref="ABO10:ACC10"/>
    <mergeCell ref="ACD10:ADA10"/>
    <mergeCell ref="AGF11:AIT11"/>
    <mergeCell ref="AIU11:ALI11"/>
    <mergeCell ref="ADB10:AEA10"/>
    <mergeCell ref="AEB10:AEH10"/>
    <mergeCell ref="AEI10:AEL10"/>
    <mergeCell ref="AEM10:AER10"/>
    <mergeCell ref="ADD11:ADI11"/>
    <mergeCell ref="ADJ11:ADP11"/>
    <mergeCell ref="ADQ11:AGE11"/>
    <mergeCell ref="WC8:XV8"/>
    <mergeCell ref="AFT8:AHA8"/>
    <mergeCell ref="ABD9:ABG9"/>
    <mergeCell ref="ABH9:ABR9"/>
    <mergeCell ref="ABS9:ABX9"/>
    <mergeCell ref="ABY9:ACD9"/>
    <mergeCell ref="ACE9:ACH9"/>
    <mergeCell ref="ACI9:ACN9"/>
    <mergeCell ref="ACO9:ACR9"/>
    <mergeCell ref="ACS9:ADK9"/>
    <mergeCell ref="ADL9:ADQ9"/>
    <mergeCell ref="ADR9:ADY9"/>
    <mergeCell ref="QV6:RD6"/>
    <mergeCell ref="RE6:RH6"/>
    <mergeCell ref="RD8:RG8"/>
    <mergeCell ref="RH8:RM8"/>
    <mergeCell ref="RN8:RV8"/>
    <mergeCell ref="RW8:RY8"/>
    <mergeCell ref="RZ8:SH8"/>
    <mergeCell ref="SI8:TM8"/>
    <mergeCell ref="UL7:VZ7"/>
    <mergeCell ref="TN8:TQ8"/>
    <mergeCell ref="TR8:UU8"/>
    <mergeCell ref="VI8:VS8"/>
    <mergeCell ref="WK7:WP7"/>
    <mergeCell ref="WQ7:WS7"/>
    <mergeCell ref="WU7:XB7"/>
    <mergeCell ref="SO7:TA7"/>
    <mergeCell ref="TB7:TF7"/>
    <mergeCell ref="TG7:TN7"/>
    <mergeCell ref="TO7:TS7"/>
    <mergeCell ref="TT7:TU7"/>
    <mergeCell ref="TV7:UK7"/>
    <mergeCell ref="WA7:WE7"/>
    <mergeCell ref="WF7:WJ7"/>
    <mergeCell ref="L7:AZ7"/>
    <mergeCell ref="BB7:CU7"/>
    <mergeCell ref="RA7:RD7"/>
    <mergeCell ref="RE7:RH7"/>
    <mergeCell ref="RI7:RN7"/>
    <mergeCell ref="RO7:RV7"/>
    <mergeCell ref="RW7:RY7"/>
    <mergeCell ref="RZ7:SH7"/>
    <mergeCell ref="SI7:SN7"/>
    <mergeCell ref="VB4:ZJ4"/>
    <mergeCell ref="ABA4:AGT4"/>
    <mergeCell ref="CZ5:DK5"/>
    <mergeCell ref="DO5:DQ5"/>
    <mergeCell ref="DR5:EL5"/>
    <mergeCell ref="EO5:EZ5"/>
    <mergeCell ref="FC5:FE5"/>
    <mergeCell ref="YM6:YR6"/>
    <mergeCell ref="UB6:UD6"/>
    <mergeCell ref="UE6:UH6"/>
    <mergeCell ref="UI6:VB6"/>
    <mergeCell ref="VC6:VQ6"/>
    <mergeCell ref="VR6:VW6"/>
    <mergeCell ref="VX6:YL6"/>
    <mergeCell ref="RI6:SA6"/>
    <mergeCell ref="SB6:SG6"/>
    <mergeCell ref="SH6:SK6"/>
    <mergeCell ref="SL6:ST6"/>
    <mergeCell ref="SU6:TU6"/>
    <mergeCell ref="TV6:TZ6"/>
    <mergeCell ref="PJ6:PW6"/>
    <mergeCell ref="PX6:QD6"/>
    <mergeCell ref="QE6:QI6"/>
    <mergeCell ref="QJ6:QT6"/>
    <mergeCell ref="ANM1:ANS1"/>
    <mergeCell ref="ANT1:ANZ1"/>
    <mergeCell ref="AOA1:AOG1"/>
    <mergeCell ref="AOH1:AON1"/>
    <mergeCell ref="AOO1:AOU1"/>
    <mergeCell ref="NM2:OU2"/>
    <mergeCell ref="PJ2:QZ2"/>
    <mergeCell ref="XR2:AAO2"/>
    <mergeCell ref="ABF2:AID2"/>
    <mergeCell ref="ALW1:AMC1"/>
    <mergeCell ref="AMD1:AMJ1"/>
    <mergeCell ref="AMK1:AMQ1"/>
    <mergeCell ref="AMR1:AMX1"/>
    <mergeCell ref="AMY1:ANE1"/>
    <mergeCell ref="ANF1:ANL1"/>
    <mergeCell ref="AKG1:AKM1"/>
    <mergeCell ref="AKN1:AKT1"/>
    <mergeCell ref="AKU1:ALA1"/>
    <mergeCell ref="ALB1:ALH1"/>
    <mergeCell ref="ALI1:ALO1"/>
    <mergeCell ref="ALP1:ALV1"/>
    <mergeCell ref="AIQ1:AIW1"/>
    <mergeCell ref="AIX1:AJD1"/>
    <mergeCell ref="AJE1:AJK1"/>
    <mergeCell ref="AJL1:AJR1"/>
    <mergeCell ref="AJS1:AJY1"/>
    <mergeCell ref="AJZ1:AKF1"/>
    <mergeCell ref="AHA1:AHG1"/>
    <mergeCell ref="AHH1:AHN1"/>
    <mergeCell ref="AHO1:AHU1"/>
    <mergeCell ref="AHV1:AIB1"/>
    <mergeCell ref="AIC1:AII1"/>
    <mergeCell ref="AIJ1:AIP1"/>
    <mergeCell ref="AFK1:AFQ1"/>
    <mergeCell ref="AFR1:AFX1"/>
    <mergeCell ref="AFY1:AGE1"/>
    <mergeCell ref="AGF1:AGL1"/>
    <mergeCell ref="AGM1:AGS1"/>
    <mergeCell ref="AGT1:AGZ1"/>
    <mergeCell ref="ADU1:AEA1"/>
    <mergeCell ref="AEB1:AEH1"/>
    <mergeCell ref="AEI1:AEO1"/>
    <mergeCell ref="AEP1:AEV1"/>
    <mergeCell ref="AEW1:AFC1"/>
    <mergeCell ref="AFD1:AFJ1"/>
    <mergeCell ref="ACE1:ACK1"/>
    <mergeCell ref="ACL1:ACR1"/>
    <mergeCell ref="ACS1:ACY1"/>
    <mergeCell ref="ACZ1:ADF1"/>
    <mergeCell ref="ADG1:ADM1"/>
    <mergeCell ref="ADN1:ADT1"/>
    <mergeCell ref="AAO1:AAU1"/>
    <mergeCell ref="AAV1:ABB1"/>
    <mergeCell ref="ABC1:ABI1"/>
    <mergeCell ref="ABJ1:ABP1"/>
    <mergeCell ref="ABQ1:ABW1"/>
    <mergeCell ref="ABX1:ACD1"/>
    <mergeCell ref="YY1:ZE1"/>
    <mergeCell ref="ZF1:ZL1"/>
    <mergeCell ref="ZM1:ZS1"/>
    <mergeCell ref="ZT1:ZZ1"/>
    <mergeCell ref="AAA1:AAG1"/>
    <mergeCell ref="AAH1:AAN1"/>
    <mergeCell ref="XI1:XO1"/>
    <mergeCell ref="XP1:XV1"/>
    <mergeCell ref="XW1:YC1"/>
    <mergeCell ref="YD1:YJ1"/>
    <mergeCell ref="YK1:YQ1"/>
    <mergeCell ref="YR1:YX1"/>
    <mergeCell ref="VS1:VY1"/>
    <mergeCell ref="VZ1:WF1"/>
    <mergeCell ref="WG1:WM1"/>
    <mergeCell ref="WN1:WT1"/>
    <mergeCell ref="WU1:XA1"/>
    <mergeCell ref="XB1:XH1"/>
    <mergeCell ref="UC1:UI1"/>
    <mergeCell ref="UJ1:UP1"/>
    <mergeCell ref="UQ1:UW1"/>
    <mergeCell ref="UX1:VD1"/>
    <mergeCell ref="VE1:VK1"/>
    <mergeCell ref="VL1:VR1"/>
    <mergeCell ref="SM1:SS1"/>
    <mergeCell ref="ST1:SZ1"/>
    <mergeCell ref="TA1:TG1"/>
    <mergeCell ref="TH1:TN1"/>
    <mergeCell ref="TO1:TU1"/>
    <mergeCell ref="TV1:UB1"/>
    <mergeCell ref="QW1:RC1"/>
    <mergeCell ref="RD1:RJ1"/>
    <mergeCell ref="RK1:RQ1"/>
    <mergeCell ref="RR1:RX1"/>
    <mergeCell ref="RY1:SE1"/>
    <mergeCell ref="SF1:SL1"/>
    <mergeCell ref="PG1:PM1"/>
    <mergeCell ref="PN1:PT1"/>
    <mergeCell ref="PU1:QA1"/>
    <mergeCell ref="QB1:QH1"/>
    <mergeCell ref="QI1:QO1"/>
    <mergeCell ref="QP1:QV1"/>
    <mergeCell ref="NQ1:NW1"/>
    <mergeCell ref="NX1:OD1"/>
    <mergeCell ref="OE1:OK1"/>
    <mergeCell ref="OL1:OR1"/>
    <mergeCell ref="OS1:OY1"/>
    <mergeCell ref="OZ1:PF1"/>
    <mergeCell ref="MA1:MG1"/>
    <mergeCell ref="MH1:MN1"/>
    <mergeCell ref="MO1:MU1"/>
    <mergeCell ref="MV1:NB1"/>
    <mergeCell ref="NC1:NI1"/>
    <mergeCell ref="NJ1:NP1"/>
    <mergeCell ref="KK1:KQ1"/>
    <mergeCell ref="KR1:KX1"/>
    <mergeCell ref="KY1:LE1"/>
    <mergeCell ref="LF1:LL1"/>
    <mergeCell ref="LM1:LS1"/>
    <mergeCell ref="LT1:LZ1"/>
    <mergeCell ref="JI1:JO1"/>
    <mergeCell ref="JP1:JV1"/>
    <mergeCell ref="JW1:KC1"/>
    <mergeCell ref="KD1:KJ1"/>
    <mergeCell ref="HE1:HK1"/>
    <mergeCell ref="HL1:HR1"/>
    <mergeCell ref="HS1:HY1"/>
    <mergeCell ref="HZ1:IF1"/>
    <mergeCell ref="IG1:IM1"/>
    <mergeCell ref="IN1:IT1"/>
    <mergeCell ref="GX1:HD1"/>
    <mergeCell ref="DY1:EE1"/>
    <mergeCell ref="EF1:EL1"/>
    <mergeCell ref="EM1:ES1"/>
    <mergeCell ref="ET1:EZ1"/>
    <mergeCell ref="FA1:FG1"/>
    <mergeCell ref="FH1:FN1"/>
    <mergeCell ref="IU1:JA1"/>
    <mergeCell ref="JB1:JH1"/>
    <mergeCell ref="C1:I1"/>
    <mergeCell ref="J1:P1"/>
    <mergeCell ref="Q1:W1"/>
    <mergeCell ref="X1:AD1"/>
    <mergeCell ref="AE1:AK1"/>
    <mergeCell ref="AL1:AR1"/>
    <mergeCell ref="AJJ2:AJM2"/>
    <mergeCell ref="CI1:CO1"/>
    <mergeCell ref="CP1:CV1"/>
    <mergeCell ref="CW1:DC1"/>
    <mergeCell ref="DD1:DJ1"/>
    <mergeCell ref="DK1:DQ1"/>
    <mergeCell ref="DR1:DX1"/>
    <mergeCell ref="AS1:AY1"/>
    <mergeCell ref="AZ1:BF1"/>
    <mergeCell ref="BG1:BM1"/>
    <mergeCell ref="BN1:BT1"/>
    <mergeCell ref="BU1:CA1"/>
    <mergeCell ref="CB1:CH1"/>
    <mergeCell ref="FO1:FU1"/>
    <mergeCell ref="FV1:GB1"/>
    <mergeCell ref="GC1:GI1"/>
    <mergeCell ref="GJ1:GP1"/>
    <mergeCell ref="GQ1:GW1"/>
  </mergeCells>
  <pageMargins left="0.7" right="0.7" top="0.75" bottom="0.75" header="0.3" footer="0.3"/>
  <pageSetup paperSize="260" orientation="landscape" r:id="rId1"/>
  <headerFooter>
    <oddFooter>&amp;L&amp;1#&amp;"Calibri"&amp;10&amp;K737373Caterpillar: Confidential Green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2B97-1960-4300-87DA-35FB0D50979C}">
  <dimension ref="A1:AOU11"/>
  <sheetViews>
    <sheetView zoomScale="40" zoomScaleNormal="40" workbookViewId="0">
      <selection activeCell="RT3" sqref="RT3:RX3"/>
    </sheetView>
  </sheetViews>
  <sheetFormatPr defaultColWidth="20.44140625" defaultRowHeight="14.4"/>
  <cols>
    <col min="1" max="1" width="27.33203125" customWidth="1"/>
    <col min="2" max="2" width="26.6640625" customWidth="1"/>
    <col min="3" max="3" width="8.109375" hidden="1" customWidth="1"/>
    <col min="4" max="6" width="0" hidden="1" customWidth="1"/>
    <col min="7" max="7" width="8.109375" hidden="1" customWidth="1"/>
    <col min="8" max="10" width="0" hidden="1" customWidth="1"/>
    <col min="11" max="11" width="7.88671875" hidden="1" customWidth="1"/>
    <col min="12" max="29" width="0" hidden="1" customWidth="1"/>
    <col min="30" max="30" width="7.88671875" hidden="1" customWidth="1"/>
    <col min="31" max="117" width="0" hidden="1" customWidth="1"/>
    <col min="118" max="118" width="7.109375" hidden="1" customWidth="1"/>
    <col min="119" max="139" width="0" hidden="1" customWidth="1"/>
    <col min="140" max="140" width="7.33203125" hidden="1" customWidth="1"/>
    <col min="141" max="143" width="0" hidden="1" customWidth="1"/>
    <col min="144" max="144" width="7.33203125" hidden="1" customWidth="1"/>
    <col min="145" max="147" width="0" hidden="1" customWidth="1"/>
    <col min="148" max="148" width="7.33203125" hidden="1" customWidth="1"/>
    <col min="149" max="156" width="0" hidden="1" customWidth="1"/>
    <col min="157" max="520" width="3.44140625" customWidth="1"/>
    <col min="521" max="521" width="6" customWidth="1"/>
    <col min="522" max="541" width="3.44140625" customWidth="1"/>
    <col min="542" max="542" width="7.109375" customWidth="1"/>
    <col min="543" max="551" width="3.44140625" customWidth="1"/>
    <col min="552" max="552" width="4.33203125" customWidth="1"/>
    <col min="553" max="585" width="3.44140625" customWidth="1"/>
    <col min="586" max="586" width="8.5546875" customWidth="1"/>
    <col min="587" max="596" width="3.44140625" customWidth="1"/>
    <col min="597" max="597" width="7.6640625" customWidth="1"/>
    <col min="598" max="598" width="18.21875" customWidth="1"/>
    <col min="599" max="621" width="3.44140625" customWidth="1"/>
    <col min="622" max="622" width="11" customWidth="1"/>
    <col min="623" max="817" width="3.44140625" customWidth="1"/>
    <col min="818" max="818" width="7.6640625" customWidth="1"/>
    <col min="819" max="1083" width="3.44140625" customWidth="1"/>
    <col min="1084" max="1084" width="6.5546875" customWidth="1"/>
    <col min="1085" max="1085" width="3.44140625" customWidth="1"/>
    <col min="1086" max="1086" width="7.6640625" customWidth="1"/>
    <col min="1087" max="1087" width="3.44140625" customWidth="1"/>
  </cols>
  <sheetData>
    <row r="1" spans="1:1087" s="173" customFormat="1" ht="162" customHeight="1" thickTop="1" thickBot="1">
      <c r="A1" s="123" t="s">
        <v>610</v>
      </c>
      <c r="B1" s="123" t="s">
        <v>611</v>
      </c>
      <c r="C1" s="620">
        <v>43497</v>
      </c>
      <c r="D1" s="621"/>
      <c r="E1" s="621"/>
      <c r="F1" s="621"/>
      <c r="G1" s="621"/>
      <c r="H1" s="621"/>
      <c r="I1" s="621"/>
      <c r="J1" s="621">
        <v>43504</v>
      </c>
      <c r="K1" s="621"/>
      <c r="L1" s="621"/>
      <c r="M1" s="621"/>
      <c r="N1" s="621"/>
      <c r="O1" s="621"/>
      <c r="P1" s="621"/>
      <c r="Q1" s="621">
        <v>43511</v>
      </c>
      <c r="R1" s="621"/>
      <c r="S1" s="621"/>
      <c r="T1" s="621"/>
      <c r="U1" s="621"/>
      <c r="V1" s="621"/>
      <c r="W1" s="621"/>
      <c r="X1" s="621">
        <v>43518</v>
      </c>
      <c r="Y1" s="621"/>
      <c r="Z1" s="621"/>
      <c r="AA1" s="621"/>
      <c r="AB1" s="621"/>
      <c r="AC1" s="621"/>
      <c r="AD1" s="621"/>
      <c r="AE1" s="621">
        <v>43525</v>
      </c>
      <c r="AF1" s="621"/>
      <c r="AG1" s="621"/>
      <c r="AH1" s="621"/>
      <c r="AI1" s="621"/>
      <c r="AJ1" s="621"/>
      <c r="AK1" s="621"/>
      <c r="AL1" s="621">
        <v>43532</v>
      </c>
      <c r="AM1" s="621"/>
      <c r="AN1" s="621"/>
      <c r="AO1" s="621"/>
      <c r="AP1" s="621"/>
      <c r="AQ1" s="621"/>
      <c r="AR1" s="621"/>
      <c r="AS1" s="621">
        <v>43539</v>
      </c>
      <c r="AT1" s="621"/>
      <c r="AU1" s="621"/>
      <c r="AV1" s="621"/>
      <c r="AW1" s="621"/>
      <c r="AX1" s="621"/>
      <c r="AY1" s="621"/>
      <c r="AZ1" s="621">
        <v>43546</v>
      </c>
      <c r="BA1" s="621"/>
      <c r="BB1" s="621"/>
      <c r="BC1" s="621"/>
      <c r="BD1" s="621"/>
      <c r="BE1" s="621"/>
      <c r="BF1" s="621"/>
      <c r="BG1" s="621">
        <v>43553</v>
      </c>
      <c r="BH1" s="621"/>
      <c r="BI1" s="621"/>
      <c r="BJ1" s="621"/>
      <c r="BK1" s="621"/>
      <c r="BL1" s="621"/>
      <c r="BM1" s="621"/>
      <c r="BN1" s="621">
        <v>43560</v>
      </c>
      <c r="BO1" s="621"/>
      <c r="BP1" s="621"/>
      <c r="BQ1" s="621"/>
      <c r="BR1" s="621"/>
      <c r="BS1" s="621"/>
      <c r="BT1" s="621"/>
      <c r="BU1" s="621">
        <v>43567</v>
      </c>
      <c r="BV1" s="621"/>
      <c r="BW1" s="621"/>
      <c r="BX1" s="621"/>
      <c r="BY1" s="621"/>
      <c r="BZ1" s="621"/>
      <c r="CA1" s="621"/>
      <c r="CB1" s="621">
        <v>43574</v>
      </c>
      <c r="CC1" s="621"/>
      <c r="CD1" s="621"/>
      <c r="CE1" s="621"/>
      <c r="CF1" s="621"/>
      <c r="CG1" s="621"/>
      <c r="CH1" s="621"/>
      <c r="CI1" s="621">
        <v>43581</v>
      </c>
      <c r="CJ1" s="621"/>
      <c r="CK1" s="621"/>
      <c r="CL1" s="621"/>
      <c r="CM1" s="621"/>
      <c r="CN1" s="621"/>
      <c r="CO1" s="621"/>
      <c r="CP1" s="621">
        <v>43588</v>
      </c>
      <c r="CQ1" s="621"/>
      <c r="CR1" s="621"/>
      <c r="CS1" s="621"/>
      <c r="CT1" s="621"/>
      <c r="CU1" s="621"/>
      <c r="CV1" s="621"/>
      <c r="CW1" s="621">
        <v>43595</v>
      </c>
      <c r="CX1" s="621"/>
      <c r="CY1" s="621"/>
      <c r="CZ1" s="621"/>
      <c r="DA1" s="621"/>
      <c r="DB1" s="621"/>
      <c r="DC1" s="621"/>
      <c r="DD1" s="621">
        <v>43602</v>
      </c>
      <c r="DE1" s="621"/>
      <c r="DF1" s="621"/>
      <c r="DG1" s="621"/>
      <c r="DH1" s="621"/>
      <c r="DI1" s="621"/>
      <c r="DJ1" s="621"/>
      <c r="DK1" s="621">
        <v>43609</v>
      </c>
      <c r="DL1" s="621"/>
      <c r="DM1" s="621"/>
      <c r="DN1" s="621"/>
      <c r="DO1" s="621"/>
      <c r="DP1" s="621"/>
      <c r="DQ1" s="621"/>
      <c r="DR1" s="621">
        <v>43616</v>
      </c>
      <c r="DS1" s="621"/>
      <c r="DT1" s="621"/>
      <c r="DU1" s="621"/>
      <c r="DV1" s="621"/>
      <c r="DW1" s="621"/>
      <c r="DX1" s="621"/>
      <c r="DY1" s="621">
        <v>43623</v>
      </c>
      <c r="DZ1" s="621"/>
      <c r="EA1" s="621"/>
      <c r="EB1" s="621"/>
      <c r="EC1" s="621"/>
      <c r="ED1" s="621"/>
      <c r="EE1" s="621"/>
      <c r="EF1" s="621">
        <v>43630</v>
      </c>
      <c r="EG1" s="621"/>
      <c r="EH1" s="621"/>
      <c r="EI1" s="621"/>
      <c r="EJ1" s="621"/>
      <c r="EK1" s="621"/>
      <c r="EL1" s="621"/>
      <c r="EM1" s="621">
        <v>43637</v>
      </c>
      <c r="EN1" s="621"/>
      <c r="EO1" s="621"/>
      <c r="EP1" s="621"/>
      <c r="EQ1" s="621"/>
      <c r="ER1" s="621"/>
      <c r="ES1" s="621"/>
      <c r="ET1" s="621">
        <v>43644</v>
      </c>
      <c r="EU1" s="621"/>
      <c r="EV1" s="621"/>
      <c r="EW1" s="621"/>
      <c r="EX1" s="621"/>
      <c r="EY1" s="621"/>
      <c r="EZ1" s="621"/>
      <c r="FA1" s="621">
        <v>43651</v>
      </c>
      <c r="FB1" s="621"/>
      <c r="FC1" s="621"/>
      <c r="FD1" s="621"/>
      <c r="FE1" s="621"/>
      <c r="FF1" s="621"/>
      <c r="FG1" s="621"/>
      <c r="FH1" s="621">
        <v>43658</v>
      </c>
      <c r="FI1" s="621"/>
      <c r="FJ1" s="621"/>
      <c r="FK1" s="621"/>
      <c r="FL1" s="621"/>
      <c r="FM1" s="621"/>
      <c r="FN1" s="621"/>
      <c r="FO1" s="621">
        <v>43665</v>
      </c>
      <c r="FP1" s="621"/>
      <c r="FQ1" s="621"/>
      <c r="FR1" s="621"/>
      <c r="FS1" s="621"/>
      <c r="FT1" s="621"/>
      <c r="FU1" s="621"/>
      <c r="FV1" s="621">
        <v>43672</v>
      </c>
      <c r="FW1" s="621"/>
      <c r="FX1" s="621"/>
      <c r="FY1" s="621"/>
      <c r="FZ1" s="621"/>
      <c r="GA1" s="621"/>
      <c r="GB1" s="621"/>
      <c r="GC1" s="621">
        <v>43679</v>
      </c>
      <c r="GD1" s="621"/>
      <c r="GE1" s="621"/>
      <c r="GF1" s="621"/>
      <c r="GG1" s="621"/>
      <c r="GH1" s="621"/>
      <c r="GI1" s="621"/>
      <c r="GJ1" s="621">
        <v>43686</v>
      </c>
      <c r="GK1" s="621"/>
      <c r="GL1" s="621"/>
      <c r="GM1" s="621"/>
      <c r="GN1" s="621"/>
      <c r="GO1" s="621"/>
      <c r="GP1" s="621"/>
      <c r="GQ1" s="621">
        <v>43693</v>
      </c>
      <c r="GR1" s="621"/>
      <c r="GS1" s="621"/>
      <c r="GT1" s="621"/>
      <c r="GU1" s="621"/>
      <c r="GV1" s="621"/>
      <c r="GW1" s="621"/>
      <c r="GX1" s="621">
        <v>43700</v>
      </c>
      <c r="GY1" s="621"/>
      <c r="GZ1" s="621"/>
      <c r="HA1" s="621"/>
      <c r="HB1" s="621"/>
      <c r="HC1" s="621"/>
      <c r="HD1" s="621"/>
      <c r="HE1" s="621">
        <v>43707</v>
      </c>
      <c r="HF1" s="621"/>
      <c r="HG1" s="621"/>
      <c r="HH1" s="621"/>
      <c r="HI1" s="621"/>
      <c r="HJ1" s="621"/>
      <c r="HK1" s="621"/>
      <c r="HL1" s="621">
        <v>43714</v>
      </c>
      <c r="HM1" s="621"/>
      <c r="HN1" s="621"/>
      <c r="HO1" s="621"/>
      <c r="HP1" s="621"/>
      <c r="HQ1" s="621"/>
      <c r="HR1" s="621"/>
      <c r="HS1" s="621">
        <v>43721</v>
      </c>
      <c r="HT1" s="621"/>
      <c r="HU1" s="621"/>
      <c r="HV1" s="621"/>
      <c r="HW1" s="621"/>
      <c r="HX1" s="621"/>
      <c r="HY1" s="621"/>
      <c r="HZ1" s="621">
        <v>43728</v>
      </c>
      <c r="IA1" s="621"/>
      <c r="IB1" s="621"/>
      <c r="IC1" s="621"/>
      <c r="ID1" s="621"/>
      <c r="IE1" s="621"/>
      <c r="IF1" s="621"/>
      <c r="IG1" s="621">
        <v>43735</v>
      </c>
      <c r="IH1" s="621"/>
      <c r="II1" s="621"/>
      <c r="IJ1" s="621"/>
      <c r="IK1" s="621"/>
      <c r="IL1" s="621"/>
      <c r="IM1" s="621"/>
      <c r="IN1" s="621">
        <v>43742</v>
      </c>
      <c r="IO1" s="621"/>
      <c r="IP1" s="621"/>
      <c r="IQ1" s="621"/>
      <c r="IR1" s="621"/>
      <c r="IS1" s="621"/>
      <c r="IT1" s="621"/>
      <c r="IU1" s="621">
        <v>43749</v>
      </c>
      <c r="IV1" s="621"/>
      <c r="IW1" s="621"/>
      <c r="IX1" s="621"/>
      <c r="IY1" s="621"/>
      <c r="IZ1" s="621"/>
      <c r="JA1" s="621"/>
      <c r="JB1" s="621">
        <v>43756</v>
      </c>
      <c r="JC1" s="621"/>
      <c r="JD1" s="621"/>
      <c r="JE1" s="621"/>
      <c r="JF1" s="621"/>
      <c r="JG1" s="621"/>
      <c r="JH1" s="621"/>
      <c r="JI1" s="621">
        <v>43763</v>
      </c>
      <c r="JJ1" s="621"/>
      <c r="JK1" s="621"/>
      <c r="JL1" s="621"/>
      <c r="JM1" s="621"/>
      <c r="JN1" s="621"/>
      <c r="JO1" s="621"/>
      <c r="JP1" s="621">
        <v>43770</v>
      </c>
      <c r="JQ1" s="621"/>
      <c r="JR1" s="621"/>
      <c r="JS1" s="621"/>
      <c r="JT1" s="621"/>
      <c r="JU1" s="621"/>
      <c r="JV1" s="621"/>
      <c r="JW1" s="621">
        <v>43777</v>
      </c>
      <c r="JX1" s="621"/>
      <c r="JY1" s="621"/>
      <c r="JZ1" s="621"/>
      <c r="KA1" s="621"/>
      <c r="KB1" s="621"/>
      <c r="KC1" s="621"/>
      <c r="KD1" s="621">
        <v>43784</v>
      </c>
      <c r="KE1" s="621"/>
      <c r="KF1" s="621"/>
      <c r="KG1" s="621"/>
      <c r="KH1" s="621"/>
      <c r="KI1" s="621"/>
      <c r="KJ1" s="621"/>
      <c r="KK1" s="621">
        <v>43791</v>
      </c>
      <c r="KL1" s="621"/>
      <c r="KM1" s="621"/>
      <c r="KN1" s="621"/>
      <c r="KO1" s="621"/>
      <c r="KP1" s="621"/>
      <c r="KQ1" s="621"/>
      <c r="KR1" s="621">
        <v>43798</v>
      </c>
      <c r="KS1" s="621"/>
      <c r="KT1" s="621"/>
      <c r="KU1" s="621"/>
      <c r="KV1" s="621"/>
      <c r="KW1" s="621"/>
      <c r="KX1" s="621"/>
      <c r="KY1" s="621">
        <v>43805</v>
      </c>
      <c r="KZ1" s="621"/>
      <c r="LA1" s="621"/>
      <c r="LB1" s="621"/>
      <c r="LC1" s="621"/>
      <c r="LD1" s="621"/>
      <c r="LE1" s="621"/>
      <c r="LF1" s="621">
        <v>43812</v>
      </c>
      <c r="LG1" s="621"/>
      <c r="LH1" s="621"/>
      <c r="LI1" s="621"/>
      <c r="LJ1" s="621"/>
      <c r="LK1" s="621"/>
      <c r="LL1" s="621"/>
      <c r="LM1" s="621">
        <v>43819</v>
      </c>
      <c r="LN1" s="621"/>
      <c r="LO1" s="621"/>
      <c r="LP1" s="621"/>
      <c r="LQ1" s="621"/>
      <c r="LR1" s="621"/>
      <c r="LS1" s="621"/>
      <c r="LT1" s="621">
        <v>43826</v>
      </c>
      <c r="LU1" s="621"/>
      <c r="LV1" s="621"/>
      <c r="LW1" s="621"/>
      <c r="LX1" s="621"/>
      <c r="LY1" s="621"/>
      <c r="LZ1" s="621"/>
      <c r="MA1" s="621">
        <v>43833</v>
      </c>
      <c r="MB1" s="621"/>
      <c r="MC1" s="621"/>
      <c r="MD1" s="621"/>
      <c r="ME1" s="621"/>
      <c r="MF1" s="621"/>
      <c r="MG1" s="621"/>
      <c r="MH1" s="621">
        <v>43840</v>
      </c>
      <c r="MI1" s="621"/>
      <c r="MJ1" s="621"/>
      <c r="MK1" s="621"/>
      <c r="ML1" s="621"/>
      <c r="MM1" s="621"/>
      <c r="MN1" s="621"/>
      <c r="MO1" s="621">
        <v>43847</v>
      </c>
      <c r="MP1" s="621"/>
      <c r="MQ1" s="621"/>
      <c r="MR1" s="621"/>
      <c r="MS1" s="621"/>
      <c r="MT1" s="621"/>
      <c r="MU1" s="621"/>
      <c r="MV1" s="621">
        <v>43854</v>
      </c>
      <c r="MW1" s="621"/>
      <c r="MX1" s="621"/>
      <c r="MY1" s="621"/>
      <c r="MZ1" s="621"/>
      <c r="NA1" s="621"/>
      <c r="NB1" s="621"/>
      <c r="NC1" s="621">
        <v>43861</v>
      </c>
      <c r="ND1" s="621"/>
      <c r="NE1" s="621"/>
      <c r="NF1" s="621"/>
      <c r="NG1" s="621"/>
      <c r="NH1" s="621"/>
      <c r="NI1" s="621"/>
      <c r="NJ1" s="621">
        <v>43868</v>
      </c>
      <c r="NK1" s="621"/>
      <c r="NL1" s="621"/>
      <c r="NM1" s="621"/>
      <c r="NN1" s="621"/>
      <c r="NO1" s="621"/>
      <c r="NP1" s="621"/>
      <c r="NQ1" s="621">
        <v>43875</v>
      </c>
      <c r="NR1" s="621"/>
      <c r="NS1" s="621"/>
      <c r="NT1" s="621"/>
      <c r="NU1" s="621"/>
      <c r="NV1" s="621"/>
      <c r="NW1" s="621"/>
      <c r="NX1" s="621">
        <v>43882</v>
      </c>
      <c r="NY1" s="621"/>
      <c r="NZ1" s="621"/>
      <c r="OA1" s="621"/>
      <c r="OB1" s="621"/>
      <c r="OC1" s="621"/>
      <c r="OD1" s="621"/>
      <c r="OE1" s="621">
        <v>43889</v>
      </c>
      <c r="OF1" s="621"/>
      <c r="OG1" s="621"/>
      <c r="OH1" s="621"/>
      <c r="OI1" s="621"/>
      <c r="OJ1" s="621"/>
      <c r="OK1" s="621"/>
      <c r="OL1" s="621">
        <v>43896</v>
      </c>
      <c r="OM1" s="621"/>
      <c r="ON1" s="621"/>
      <c r="OO1" s="621"/>
      <c r="OP1" s="621"/>
      <c r="OQ1" s="621"/>
      <c r="OR1" s="621"/>
      <c r="OS1" s="621">
        <v>43903</v>
      </c>
      <c r="OT1" s="621"/>
      <c r="OU1" s="621"/>
      <c r="OV1" s="621"/>
      <c r="OW1" s="621"/>
      <c r="OX1" s="621"/>
      <c r="OY1" s="621"/>
      <c r="OZ1" s="621">
        <v>43910</v>
      </c>
      <c r="PA1" s="621"/>
      <c r="PB1" s="621"/>
      <c r="PC1" s="621"/>
      <c r="PD1" s="621"/>
      <c r="PE1" s="621"/>
      <c r="PF1" s="621"/>
      <c r="PG1" s="621">
        <v>43917</v>
      </c>
      <c r="PH1" s="621"/>
      <c r="PI1" s="621"/>
      <c r="PJ1" s="621"/>
      <c r="PK1" s="621"/>
      <c r="PL1" s="621"/>
      <c r="PM1" s="621"/>
      <c r="PN1" s="621">
        <v>43924</v>
      </c>
      <c r="PO1" s="621"/>
      <c r="PP1" s="621"/>
      <c r="PQ1" s="621"/>
      <c r="PR1" s="621"/>
      <c r="PS1" s="621"/>
      <c r="PT1" s="621"/>
      <c r="PU1" s="621">
        <v>43931</v>
      </c>
      <c r="PV1" s="621"/>
      <c r="PW1" s="621"/>
      <c r="PX1" s="621"/>
      <c r="PY1" s="621"/>
      <c r="PZ1" s="621"/>
      <c r="QA1" s="621"/>
      <c r="QB1" s="621">
        <v>43938</v>
      </c>
      <c r="QC1" s="621"/>
      <c r="QD1" s="621"/>
      <c r="QE1" s="621"/>
      <c r="QF1" s="621"/>
      <c r="QG1" s="621"/>
      <c r="QH1" s="621"/>
      <c r="QI1" s="621">
        <v>43945</v>
      </c>
      <c r="QJ1" s="621"/>
      <c r="QK1" s="621"/>
      <c r="QL1" s="621"/>
      <c r="QM1" s="621"/>
      <c r="QN1" s="621"/>
      <c r="QO1" s="621"/>
      <c r="QP1" s="621">
        <v>43952</v>
      </c>
      <c r="QQ1" s="621"/>
      <c r="QR1" s="621"/>
      <c r="QS1" s="621"/>
      <c r="QT1" s="621"/>
      <c r="QU1" s="621"/>
      <c r="QV1" s="621"/>
      <c r="QW1" s="621">
        <v>43959</v>
      </c>
      <c r="QX1" s="621"/>
      <c r="QY1" s="621"/>
      <c r="QZ1" s="621"/>
      <c r="RA1" s="621"/>
      <c r="RB1" s="621"/>
      <c r="RC1" s="621"/>
      <c r="RD1" s="621">
        <v>43966</v>
      </c>
      <c r="RE1" s="621"/>
      <c r="RF1" s="621"/>
      <c r="RG1" s="621"/>
      <c r="RH1" s="621"/>
      <c r="RI1" s="621"/>
      <c r="RJ1" s="621"/>
      <c r="RK1" s="621">
        <v>43973</v>
      </c>
      <c r="RL1" s="621"/>
      <c r="RM1" s="621"/>
      <c r="RN1" s="621"/>
      <c r="RO1" s="621"/>
      <c r="RP1" s="621"/>
      <c r="RQ1" s="621"/>
      <c r="RR1" s="621">
        <v>43980</v>
      </c>
      <c r="RS1" s="621"/>
      <c r="RT1" s="621"/>
      <c r="RU1" s="621"/>
      <c r="RV1" s="621"/>
      <c r="RW1" s="621"/>
      <c r="RX1" s="621"/>
      <c r="RY1" s="621">
        <v>43987</v>
      </c>
      <c r="RZ1" s="621"/>
      <c r="SA1" s="621"/>
      <c r="SB1" s="621"/>
      <c r="SC1" s="621"/>
      <c r="SD1" s="621"/>
      <c r="SE1" s="621"/>
      <c r="SF1" s="621">
        <v>43994</v>
      </c>
      <c r="SG1" s="621"/>
      <c r="SH1" s="621"/>
      <c r="SI1" s="621"/>
      <c r="SJ1" s="621"/>
      <c r="SK1" s="621"/>
      <c r="SL1" s="621"/>
      <c r="SM1" s="621">
        <v>44001</v>
      </c>
      <c r="SN1" s="621"/>
      <c r="SO1" s="621"/>
      <c r="SP1" s="621"/>
      <c r="SQ1" s="621"/>
      <c r="SR1" s="621"/>
      <c r="SS1" s="621"/>
      <c r="ST1" s="621">
        <v>44008</v>
      </c>
      <c r="SU1" s="621"/>
      <c r="SV1" s="621"/>
      <c r="SW1" s="621"/>
      <c r="SX1" s="621"/>
      <c r="SY1" s="621"/>
      <c r="SZ1" s="621"/>
      <c r="TA1" s="621">
        <v>44015</v>
      </c>
      <c r="TB1" s="621"/>
      <c r="TC1" s="621"/>
      <c r="TD1" s="621"/>
      <c r="TE1" s="621"/>
      <c r="TF1" s="621"/>
      <c r="TG1" s="621"/>
      <c r="TH1" s="621">
        <v>44022</v>
      </c>
      <c r="TI1" s="621"/>
      <c r="TJ1" s="621"/>
      <c r="TK1" s="621"/>
      <c r="TL1" s="621"/>
      <c r="TM1" s="621"/>
      <c r="TN1" s="621"/>
      <c r="TO1" s="621">
        <v>44029</v>
      </c>
      <c r="TP1" s="621"/>
      <c r="TQ1" s="621"/>
      <c r="TR1" s="621"/>
      <c r="TS1" s="621"/>
      <c r="TT1" s="621"/>
      <c r="TU1" s="621"/>
      <c r="TV1" s="621">
        <v>44036</v>
      </c>
      <c r="TW1" s="621"/>
      <c r="TX1" s="621"/>
      <c r="TY1" s="621"/>
      <c r="TZ1" s="621"/>
      <c r="UA1" s="621"/>
      <c r="UB1" s="621"/>
      <c r="UC1" s="621">
        <v>44043</v>
      </c>
      <c r="UD1" s="621"/>
      <c r="UE1" s="621"/>
      <c r="UF1" s="621"/>
      <c r="UG1" s="621"/>
      <c r="UH1" s="621"/>
      <c r="UI1" s="621"/>
      <c r="UJ1" s="621">
        <v>44050</v>
      </c>
      <c r="UK1" s="621"/>
      <c r="UL1" s="621"/>
      <c r="UM1" s="621"/>
      <c r="UN1" s="621"/>
      <c r="UO1" s="621"/>
      <c r="UP1" s="621"/>
      <c r="UQ1" s="621">
        <v>44057</v>
      </c>
      <c r="UR1" s="621"/>
      <c r="US1" s="621"/>
      <c r="UT1" s="621"/>
      <c r="UU1" s="621"/>
      <c r="UV1" s="621"/>
      <c r="UW1" s="621"/>
      <c r="UX1" s="621">
        <v>44064</v>
      </c>
      <c r="UY1" s="621"/>
      <c r="UZ1" s="621"/>
      <c r="VA1" s="621"/>
      <c r="VB1" s="621"/>
      <c r="VC1" s="621"/>
      <c r="VD1" s="621"/>
      <c r="VE1" s="621">
        <v>44071</v>
      </c>
      <c r="VF1" s="621"/>
      <c r="VG1" s="621"/>
      <c r="VH1" s="621"/>
      <c r="VI1" s="621"/>
      <c r="VJ1" s="621"/>
      <c r="VK1" s="621"/>
      <c r="VL1" s="621">
        <v>44078</v>
      </c>
      <c r="VM1" s="621"/>
      <c r="VN1" s="621"/>
      <c r="VO1" s="621"/>
      <c r="VP1" s="621"/>
      <c r="VQ1" s="621"/>
      <c r="VR1" s="621"/>
      <c r="VS1" s="621">
        <v>44085</v>
      </c>
      <c r="VT1" s="621"/>
      <c r="VU1" s="621"/>
      <c r="VV1" s="621"/>
      <c r="VW1" s="621"/>
      <c r="VX1" s="621"/>
      <c r="VY1" s="621"/>
      <c r="VZ1" s="621">
        <v>44092</v>
      </c>
      <c r="WA1" s="621"/>
      <c r="WB1" s="621"/>
      <c r="WC1" s="621"/>
      <c r="WD1" s="621"/>
      <c r="WE1" s="621"/>
      <c r="WF1" s="621"/>
      <c r="WG1" s="621">
        <v>44099</v>
      </c>
      <c r="WH1" s="621"/>
      <c r="WI1" s="621"/>
      <c r="WJ1" s="621"/>
      <c r="WK1" s="621"/>
      <c r="WL1" s="621"/>
      <c r="WM1" s="621"/>
      <c r="WN1" s="621">
        <v>44106</v>
      </c>
      <c r="WO1" s="621"/>
      <c r="WP1" s="621"/>
      <c r="WQ1" s="621"/>
      <c r="WR1" s="621"/>
      <c r="WS1" s="621"/>
      <c r="WT1" s="621"/>
      <c r="WU1" s="621">
        <v>44113</v>
      </c>
      <c r="WV1" s="621"/>
      <c r="WW1" s="621"/>
      <c r="WX1" s="621"/>
      <c r="WY1" s="621"/>
      <c r="WZ1" s="621"/>
      <c r="XA1" s="621"/>
      <c r="XB1" s="621">
        <v>44120</v>
      </c>
      <c r="XC1" s="621"/>
      <c r="XD1" s="621"/>
      <c r="XE1" s="621"/>
      <c r="XF1" s="621"/>
      <c r="XG1" s="621"/>
      <c r="XH1" s="621"/>
      <c r="XI1" s="621">
        <v>44127</v>
      </c>
      <c r="XJ1" s="621"/>
      <c r="XK1" s="621"/>
      <c r="XL1" s="621"/>
      <c r="XM1" s="621"/>
      <c r="XN1" s="621"/>
      <c r="XO1" s="621"/>
      <c r="XP1" s="621">
        <v>44134</v>
      </c>
      <c r="XQ1" s="621"/>
      <c r="XR1" s="621"/>
      <c r="XS1" s="621"/>
      <c r="XT1" s="621"/>
      <c r="XU1" s="621"/>
      <c r="XV1" s="621"/>
      <c r="XW1" s="621">
        <v>44141</v>
      </c>
      <c r="XX1" s="621"/>
      <c r="XY1" s="621"/>
      <c r="XZ1" s="621"/>
      <c r="YA1" s="621"/>
      <c r="YB1" s="621"/>
      <c r="YC1" s="621"/>
      <c r="YD1" s="621">
        <v>44148</v>
      </c>
      <c r="YE1" s="621"/>
      <c r="YF1" s="621"/>
      <c r="YG1" s="621"/>
      <c r="YH1" s="621"/>
      <c r="YI1" s="621"/>
      <c r="YJ1" s="621"/>
      <c r="YK1" s="621">
        <v>44155</v>
      </c>
      <c r="YL1" s="621"/>
      <c r="YM1" s="621"/>
      <c r="YN1" s="621"/>
      <c r="YO1" s="621"/>
      <c r="YP1" s="621"/>
      <c r="YQ1" s="621"/>
      <c r="YR1" s="621">
        <v>44162</v>
      </c>
      <c r="YS1" s="621"/>
      <c r="YT1" s="621"/>
      <c r="YU1" s="621"/>
      <c r="YV1" s="621"/>
      <c r="YW1" s="621"/>
      <c r="YX1" s="621"/>
      <c r="YY1" s="621">
        <v>44169</v>
      </c>
      <c r="YZ1" s="621"/>
      <c r="ZA1" s="621"/>
      <c r="ZB1" s="621"/>
      <c r="ZC1" s="621"/>
      <c r="ZD1" s="621"/>
      <c r="ZE1" s="621"/>
      <c r="ZF1" s="621">
        <v>44176</v>
      </c>
      <c r="ZG1" s="621"/>
      <c r="ZH1" s="621"/>
      <c r="ZI1" s="621"/>
      <c r="ZJ1" s="621"/>
      <c r="ZK1" s="621"/>
      <c r="ZL1" s="621"/>
      <c r="ZM1" s="621">
        <v>44183</v>
      </c>
      <c r="ZN1" s="621"/>
      <c r="ZO1" s="621"/>
      <c r="ZP1" s="621"/>
      <c r="ZQ1" s="621"/>
      <c r="ZR1" s="621"/>
      <c r="ZS1" s="621"/>
      <c r="ZT1" s="621">
        <v>44190</v>
      </c>
      <c r="ZU1" s="621"/>
      <c r="ZV1" s="621"/>
      <c r="ZW1" s="621"/>
      <c r="ZX1" s="621"/>
      <c r="ZY1" s="621"/>
      <c r="ZZ1" s="621"/>
      <c r="AAA1" s="621">
        <v>44197</v>
      </c>
      <c r="AAB1" s="621"/>
      <c r="AAC1" s="621"/>
      <c r="AAD1" s="621"/>
      <c r="AAE1" s="621"/>
      <c r="AAF1" s="621"/>
      <c r="AAG1" s="621"/>
      <c r="AAH1" s="621">
        <v>44204</v>
      </c>
      <c r="AAI1" s="621"/>
      <c r="AAJ1" s="621"/>
      <c r="AAK1" s="621"/>
      <c r="AAL1" s="621"/>
      <c r="AAM1" s="621"/>
      <c r="AAN1" s="621"/>
      <c r="AAO1" s="621">
        <v>44211</v>
      </c>
      <c r="AAP1" s="621"/>
      <c r="AAQ1" s="621"/>
      <c r="AAR1" s="621"/>
      <c r="AAS1" s="621"/>
      <c r="AAT1" s="621"/>
      <c r="AAU1" s="621"/>
      <c r="AAV1" s="621">
        <v>44218</v>
      </c>
      <c r="AAW1" s="621"/>
      <c r="AAX1" s="621"/>
      <c r="AAY1" s="621"/>
      <c r="AAZ1" s="621"/>
      <c r="ABA1" s="621"/>
      <c r="ABB1" s="621"/>
      <c r="ABC1" s="621">
        <v>44225</v>
      </c>
      <c r="ABD1" s="621"/>
      <c r="ABE1" s="621"/>
      <c r="ABF1" s="621"/>
      <c r="ABG1" s="621"/>
      <c r="ABH1" s="621"/>
      <c r="ABI1" s="621"/>
      <c r="ABJ1" s="621">
        <v>44232</v>
      </c>
      <c r="ABK1" s="621"/>
      <c r="ABL1" s="621"/>
      <c r="ABM1" s="621"/>
      <c r="ABN1" s="621"/>
      <c r="ABO1" s="621"/>
      <c r="ABP1" s="621"/>
      <c r="ABQ1" s="621">
        <v>44239</v>
      </c>
      <c r="ABR1" s="621"/>
      <c r="ABS1" s="621"/>
      <c r="ABT1" s="621"/>
      <c r="ABU1" s="621"/>
      <c r="ABV1" s="621"/>
      <c r="ABW1" s="621"/>
      <c r="ABX1" s="621">
        <v>44246</v>
      </c>
      <c r="ABY1" s="621"/>
      <c r="ABZ1" s="621"/>
      <c r="ACA1" s="621"/>
      <c r="ACB1" s="621"/>
      <c r="ACC1" s="621"/>
      <c r="ACD1" s="621"/>
      <c r="ACE1" s="621">
        <v>44253</v>
      </c>
      <c r="ACF1" s="621"/>
      <c r="ACG1" s="621"/>
      <c r="ACH1" s="621"/>
      <c r="ACI1" s="621"/>
      <c r="ACJ1" s="621"/>
      <c r="ACK1" s="621"/>
      <c r="ACL1" s="621">
        <v>44260</v>
      </c>
      <c r="ACM1" s="621"/>
      <c r="ACN1" s="621"/>
      <c r="ACO1" s="621"/>
      <c r="ACP1" s="621"/>
      <c r="ACQ1" s="621"/>
      <c r="ACR1" s="621"/>
      <c r="ACS1" s="621">
        <v>44267</v>
      </c>
      <c r="ACT1" s="621"/>
      <c r="ACU1" s="621"/>
      <c r="ACV1" s="621"/>
      <c r="ACW1" s="621"/>
      <c r="ACX1" s="621"/>
      <c r="ACY1" s="621"/>
      <c r="ACZ1" s="621">
        <v>44274</v>
      </c>
      <c r="ADA1" s="621"/>
      <c r="ADB1" s="621"/>
      <c r="ADC1" s="621"/>
      <c r="ADD1" s="621"/>
      <c r="ADE1" s="621"/>
      <c r="ADF1" s="621"/>
      <c r="ADG1" s="621">
        <v>44281</v>
      </c>
      <c r="ADH1" s="621"/>
      <c r="ADI1" s="621"/>
      <c r="ADJ1" s="621"/>
      <c r="ADK1" s="621"/>
      <c r="ADL1" s="621"/>
      <c r="ADM1" s="621"/>
      <c r="ADN1" s="621">
        <v>44288</v>
      </c>
      <c r="ADO1" s="621"/>
      <c r="ADP1" s="621"/>
      <c r="ADQ1" s="621"/>
      <c r="ADR1" s="621"/>
      <c r="ADS1" s="621"/>
      <c r="ADT1" s="621"/>
      <c r="ADU1" s="621">
        <v>44295</v>
      </c>
      <c r="ADV1" s="621"/>
      <c r="ADW1" s="621"/>
      <c r="ADX1" s="621"/>
      <c r="ADY1" s="621"/>
      <c r="ADZ1" s="621"/>
      <c r="AEA1" s="621"/>
      <c r="AEB1" s="621">
        <v>44302</v>
      </c>
      <c r="AEC1" s="621"/>
      <c r="AED1" s="621"/>
      <c r="AEE1" s="621"/>
      <c r="AEF1" s="621"/>
      <c r="AEG1" s="621"/>
      <c r="AEH1" s="621"/>
      <c r="AEI1" s="621">
        <v>44309</v>
      </c>
      <c r="AEJ1" s="621"/>
      <c r="AEK1" s="621"/>
      <c r="AEL1" s="621"/>
      <c r="AEM1" s="621"/>
      <c r="AEN1" s="621"/>
      <c r="AEO1" s="621"/>
      <c r="AEP1" s="621">
        <v>44316</v>
      </c>
      <c r="AEQ1" s="621"/>
      <c r="AER1" s="621"/>
      <c r="AES1" s="621"/>
      <c r="AET1" s="621"/>
      <c r="AEU1" s="621"/>
      <c r="AEV1" s="621"/>
      <c r="AEW1" s="621">
        <v>44323</v>
      </c>
      <c r="AEX1" s="621"/>
      <c r="AEY1" s="621"/>
      <c r="AEZ1" s="621"/>
      <c r="AFA1" s="621"/>
      <c r="AFB1" s="621"/>
      <c r="AFC1" s="621"/>
      <c r="AFD1" s="621">
        <v>44330</v>
      </c>
      <c r="AFE1" s="621"/>
      <c r="AFF1" s="621"/>
      <c r="AFG1" s="621"/>
      <c r="AFH1" s="621"/>
      <c r="AFI1" s="621"/>
      <c r="AFJ1" s="621"/>
      <c r="AFK1" s="621">
        <v>44337</v>
      </c>
      <c r="AFL1" s="621"/>
      <c r="AFM1" s="621"/>
      <c r="AFN1" s="621"/>
      <c r="AFO1" s="621"/>
      <c r="AFP1" s="621"/>
      <c r="AFQ1" s="621"/>
      <c r="AFR1" s="621">
        <v>44344</v>
      </c>
      <c r="AFS1" s="621"/>
      <c r="AFT1" s="621"/>
      <c r="AFU1" s="621"/>
      <c r="AFV1" s="621"/>
      <c r="AFW1" s="621"/>
      <c r="AFX1" s="621"/>
      <c r="AFY1" s="621">
        <v>44351</v>
      </c>
      <c r="AFZ1" s="621"/>
      <c r="AGA1" s="621"/>
      <c r="AGB1" s="621"/>
      <c r="AGC1" s="621"/>
      <c r="AGD1" s="621"/>
      <c r="AGE1" s="621"/>
      <c r="AGF1" s="621">
        <v>44358</v>
      </c>
      <c r="AGG1" s="621"/>
      <c r="AGH1" s="621"/>
      <c r="AGI1" s="621"/>
      <c r="AGJ1" s="621"/>
      <c r="AGK1" s="621"/>
      <c r="AGL1" s="621"/>
      <c r="AGM1" s="621">
        <v>44365</v>
      </c>
      <c r="AGN1" s="621"/>
      <c r="AGO1" s="621"/>
      <c r="AGP1" s="621"/>
      <c r="AGQ1" s="621"/>
      <c r="AGR1" s="621"/>
      <c r="AGS1" s="621"/>
      <c r="AGT1" s="621">
        <v>44372</v>
      </c>
      <c r="AGU1" s="621"/>
      <c r="AGV1" s="621"/>
      <c r="AGW1" s="621"/>
      <c r="AGX1" s="621"/>
      <c r="AGY1" s="621"/>
      <c r="AGZ1" s="621"/>
      <c r="AHA1" s="621">
        <v>44379</v>
      </c>
      <c r="AHB1" s="621"/>
      <c r="AHC1" s="621"/>
      <c r="AHD1" s="621"/>
      <c r="AHE1" s="621"/>
      <c r="AHF1" s="621"/>
      <c r="AHG1" s="621"/>
      <c r="AHH1" s="621">
        <v>44386</v>
      </c>
      <c r="AHI1" s="621"/>
      <c r="AHJ1" s="621"/>
      <c r="AHK1" s="621"/>
      <c r="AHL1" s="621"/>
      <c r="AHM1" s="621"/>
      <c r="AHN1" s="621"/>
      <c r="AHO1" s="621">
        <v>44393</v>
      </c>
      <c r="AHP1" s="621"/>
      <c r="AHQ1" s="621"/>
      <c r="AHR1" s="621"/>
      <c r="AHS1" s="621"/>
      <c r="AHT1" s="621"/>
      <c r="AHU1" s="621"/>
      <c r="AHV1" s="621">
        <v>44400</v>
      </c>
      <c r="AHW1" s="621"/>
      <c r="AHX1" s="621"/>
      <c r="AHY1" s="621"/>
      <c r="AHZ1" s="621"/>
      <c r="AIA1" s="621"/>
      <c r="AIB1" s="621"/>
      <c r="AIC1" s="621">
        <v>44407</v>
      </c>
      <c r="AID1" s="621"/>
      <c r="AIE1" s="621"/>
      <c r="AIF1" s="621"/>
      <c r="AIG1" s="621"/>
      <c r="AIH1" s="621"/>
      <c r="AII1" s="621"/>
      <c r="AIJ1" s="621">
        <v>44414</v>
      </c>
      <c r="AIK1" s="621"/>
      <c r="AIL1" s="621"/>
      <c r="AIM1" s="621"/>
      <c r="AIN1" s="621"/>
      <c r="AIO1" s="621"/>
      <c r="AIP1" s="621"/>
      <c r="AIQ1" s="621">
        <v>44421</v>
      </c>
      <c r="AIR1" s="621"/>
      <c r="AIS1" s="621"/>
      <c r="AIT1" s="621"/>
      <c r="AIU1" s="621"/>
      <c r="AIV1" s="621"/>
      <c r="AIW1" s="621"/>
      <c r="AIX1" s="621">
        <v>44428</v>
      </c>
      <c r="AIY1" s="621"/>
      <c r="AIZ1" s="621"/>
      <c r="AJA1" s="621"/>
      <c r="AJB1" s="621"/>
      <c r="AJC1" s="621"/>
      <c r="AJD1" s="621"/>
      <c r="AJE1" s="621">
        <v>44435</v>
      </c>
      <c r="AJF1" s="621"/>
      <c r="AJG1" s="621"/>
      <c r="AJH1" s="621"/>
      <c r="AJI1" s="621"/>
      <c r="AJJ1" s="621"/>
      <c r="AJK1" s="621"/>
      <c r="AJL1" s="621">
        <v>44442</v>
      </c>
      <c r="AJM1" s="621"/>
      <c r="AJN1" s="621"/>
      <c r="AJO1" s="621"/>
      <c r="AJP1" s="621"/>
      <c r="AJQ1" s="621"/>
      <c r="AJR1" s="621"/>
      <c r="AJS1" s="621">
        <v>44449</v>
      </c>
      <c r="AJT1" s="621"/>
      <c r="AJU1" s="621"/>
      <c r="AJV1" s="621"/>
      <c r="AJW1" s="621"/>
      <c r="AJX1" s="621"/>
      <c r="AJY1" s="621"/>
      <c r="AJZ1" s="621">
        <v>44456</v>
      </c>
      <c r="AKA1" s="621"/>
      <c r="AKB1" s="621"/>
      <c r="AKC1" s="621"/>
      <c r="AKD1" s="621"/>
      <c r="AKE1" s="621"/>
      <c r="AKF1" s="621"/>
      <c r="AKG1" s="621">
        <v>44463</v>
      </c>
      <c r="AKH1" s="621"/>
      <c r="AKI1" s="621"/>
      <c r="AKJ1" s="621"/>
      <c r="AKK1" s="621"/>
      <c r="AKL1" s="621"/>
      <c r="AKM1" s="621"/>
      <c r="AKN1" s="621">
        <v>44470</v>
      </c>
      <c r="AKO1" s="621"/>
      <c r="AKP1" s="621"/>
      <c r="AKQ1" s="621"/>
      <c r="AKR1" s="621"/>
      <c r="AKS1" s="621"/>
      <c r="AKT1" s="621"/>
      <c r="AKU1" s="621">
        <v>44477</v>
      </c>
      <c r="AKV1" s="621"/>
      <c r="AKW1" s="621"/>
      <c r="AKX1" s="621"/>
      <c r="AKY1" s="621"/>
      <c r="AKZ1" s="621"/>
      <c r="ALA1" s="621"/>
      <c r="ALB1" s="621">
        <v>44484</v>
      </c>
      <c r="ALC1" s="621"/>
      <c r="ALD1" s="621"/>
      <c r="ALE1" s="621"/>
      <c r="ALF1" s="621"/>
      <c r="ALG1" s="621"/>
      <c r="ALH1" s="621"/>
      <c r="ALI1" s="621">
        <v>44491</v>
      </c>
      <c r="ALJ1" s="621"/>
      <c r="ALK1" s="621"/>
      <c r="ALL1" s="621"/>
      <c r="ALM1" s="621"/>
      <c r="ALN1" s="621"/>
      <c r="ALO1" s="621"/>
      <c r="ALP1" s="621">
        <v>44498</v>
      </c>
      <c r="ALQ1" s="621"/>
      <c r="ALR1" s="621"/>
      <c r="ALS1" s="621"/>
      <c r="ALT1" s="621"/>
      <c r="ALU1" s="621"/>
      <c r="ALV1" s="621"/>
      <c r="ALW1" s="621">
        <v>44505</v>
      </c>
      <c r="ALX1" s="621"/>
      <c r="ALY1" s="621"/>
      <c r="ALZ1" s="621"/>
      <c r="AMA1" s="621"/>
      <c r="AMB1" s="621"/>
      <c r="AMC1" s="621"/>
      <c r="AMD1" s="621">
        <v>44512</v>
      </c>
      <c r="AME1" s="621"/>
      <c r="AMF1" s="621"/>
      <c r="AMG1" s="621"/>
      <c r="AMH1" s="621"/>
      <c r="AMI1" s="621"/>
      <c r="AMJ1" s="621"/>
      <c r="AMK1" s="621">
        <v>44519</v>
      </c>
      <c r="AML1" s="621"/>
      <c r="AMM1" s="621"/>
      <c r="AMN1" s="621"/>
      <c r="AMO1" s="621"/>
      <c r="AMP1" s="621"/>
      <c r="AMQ1" s="621"/>
      <c r="AMR1" s="621">
        <v>44526</v>
      </c>
      <c r="AMS1" s="621"/>
      <c r="AMT1" s="621"/>
      <c r="AMU1" s="621"/>
      <c r="AMV1" s="621"/>
      <c r="AMW1" s="621"/>
      <c r="AMX1" s="621"/>
      <c r="AMY1" s="621">
        <v>44533</v>
      </c>
      <c r="AMZ1" s="621"/>
      <c r="ANA1" s="621"/>
      <c r="ANB1" s="621"/>
      <c r="ANC1" s="621"/>
      <c r="AND1" s="621"/>
      <c r="ANE1" s="621"/>
      <c r="ANF1" s="621">
        <v>44540</v>
      </c>
      <c r="ANG1" s="621"/>
      <c r="ANH1" s="621"/>
      <c r="ANI1" s="621"/>
      <c r="ANJ1" s="621"/>
      <c r="ANK1" s="621"/>
      <c r="ANL1" s="621"/>
      <c r="ANM1" s="621">
        <v>44547</v>
      </c>
      <c r="ANN1" s="621"/>
      <c r="ANO1" s="621"/>
      <c r="ANP1" s="621"/>
      <c r="ANQ1" s="621"/>
      <c r="ANR1" s="621"/>
      <c r="ANS1" s="621"/>
      <c r="ANT1" s="621">
        <v>44554</v>
      </c>
      <c r="ANU1" s="621"/>
      <c r="ANV1" s="621"/>
      <c r="ANW1" s="621"/>
      <c r="ANX1" s="621"/>
      <c r="ANY1" s="621"/>
      <c r="ANZ1" s="621"/>
      <c r="AOA1" s="621">
        <v>44561</v>
      </c>
      <c r="AOB1" s="621"/>
      <c r="AOC1" s="621"/>
      <c r="AOD1" s="621"/>
      <c r="AOE1" s="621"/>
      <c r="AOF1" s="621"/>
      <c r="AOG1" s="621"/>
      <c r="AOH1" s="621">
        <v>44568</v>
      </c>
      <c r="AOI1" s="621"/>
      <c r="AOJ1" s="621"/>
      <c r="AOK1" s="621"/>
      <c r="AOL1" s="621"/>
      <c r="AOM1" s="621"/>
      <c r="AON1" s="621"/>
      <c r="AOO1" s="621">
        <v>44575</v>
      </c>
      <c r="AOP1" s="621"/>
      <c r="AOQ1" s="621"/>
      <c r="AOR1" s="621"/>
      <c r="AOS1" s="621"/>
      <c r="AOT1" s="621"/>
      <c r="AOU1" s="621"/>
    </row>
    <row r="2" spans="1:1087" s="154" customFormat="1" ht="123" customHeight="1" thickTop="1" thickBot="1">
      <c r="A2" s="176" t="s">
        <v>679</v>
      </c>
      <c r="B2" s="176" t="s">
        <v>679</v>
      </c>
      <c r="AD2" s="156" t="s">
        <v>627</v>
      </c>
      <c r="FB2" s="182"/>
      <c r="FC2" s="182"/>
      <c r="FD2" s="182"/>
      <c r="FE2" s="182"/>
      <c r="FF2" s="182"/>
      <c r="FG2" s="182"/>
      <c r="FH2" s="182"/>
      <c r="FI2" s="182"/>
      <c r="FJ2" s="182"/>
      <c r="FK2" s="183" t="s">
        <v>632</v>
      </c>
      <c r="FL2" s="182"/>
      <c r="FM2" s="182"/>
      <c r="FN2" s="182"/>
      <c r="FO2" s="182"/>
      <c r="FP2" s="182"/>
      <c r="FQ2" s="182"/>
      <c r="FR2" s="182"/>
      <c r="FS2" s="182"/>
      <c r="FT2" s="182"/>
      <c r="FU2" s="182"/>
      <c r="FV2" s="182"/>
      <c r="FW2" s="182"/>
      <c r="FX2" s="182"/>
      <c r="FY2" s="182"/>
      <c r="FZ2" s="182"/>
      <c r="GA2" s="182"/>
      <c r="GB2" s="182"/>
      <c r="GC2" s="182"/>
      <c r="GD2" s="182"/>
      <c r="GE2" s="182"/>
      <c r="GF2" s="182"/>
      <c r="GG2" s="624" t="s">
        <v>634</v>
      </c>
      <c r="GH2" s="624"/>
      <c r="GI2" s="624"/>
      <c r="GJ2" s="182"/>
      <c r="GK2" s="182"/>
      <c r="GL2" s="182"/>
      <c r="GM2" s="182"/>
      <c r="GN2" s="182"/>
      <c r="GO2" s="182"/>
      <c r="GP2" s="184" t="s">
        <v>633</v>
      </c>
      <c r="GQ2" s="182"/>
      <c r="GR2" s="182"/>
      <c r="GS2" s="182"/>
      <c r="GT2" s="182"/>
      <c r="GU2" s="182"/>
      <c r="GV2" s="182"/>
      <c r="GW2" s="182"/>
      <c r="GX2" s="182"/>
      <c r="GY2" s="182"/>
      <c r="GZ2" s="182"/>
      <c r="HA2" s="182"/>
      <c r="HB2" s="182"/>
      <c r="HC2" s="182"/>
      <c r="HD2" s="182"/>
      <c r="HE2" s="182"/>
      <c r="HF2" s="182"/>
      <c r="HG2" s="182"/>
      <c r="HH2" s="182"/>
      <c r="HI2" s="182"/>
      <c r="HJ2" s="182"/>
      <c r="HK2" s="182"/>
      <c r="HL2" s="182"/>
      <c r="HM2" s="182"/>
      <c r="HN2" s="606" t="s">
        <v>652</v>
      </c>
      <c r="HO2" s="606"/>
      <c r="HP2" s="606"/>
      <c r="HQ2" s="182"/>
      <c r="HR2" s="182"/>
      <c r="HS2" s="182"/>
      <c r="HT2" s="182"/>
      <c r="HU2" s="182"/>
      <c r="HV2" s="182"/>
      <c r="HW2" s="182"/>
      <c r="HX2" s="182"/>
      <c r="HY2" s="182"/>
      <c r="HZ2" s="182"/>
      <c r="IA2" s="182"/>
      <c r="IB2" s="182"/>
      <c r="IC2" s="182"/>
      <c r="ID2" s="182"/>
      <c r="IE2" s="182"/>
      <c r="IF2" s="182"/>
      <c r="IG2" s="182"/>
      <c r="IH2" s="182"/>
      <c r="II2" s="182"/>
      <c r="IJ2" s="182"/>
      <c r="IK2" s="182"/>
      <c r="IL2" s="182"/>
      <c r="IM2" s="182"/>
      <c r="IN2" s="182"/>
      <c r="IO2" s="182"/>
      <c r="IP2" s="182"/>
      <c r="IQ2" s="182"/>
      <c r="IR2" s="182"/>
      <c r="IS2" s="182"/>
      <c r="IT2" s="182"/>
      <c r="IU2" s="182"/>
      <c r="IV2" s="182"/>
      <c r="IW2" s="182"/>
      <c r="IX2" s="182"/>
      <c r="IY2" s="182"/>
      <c r="IZ2" s="182"/>
      <c r="JA2" s="182"/>
      <c r="JB2" s="182"/>
      <c r="JC2" s="182"/>
      <c r="JD2" s="182"/>
      <c r="JE2" s="182"/>
      <c r="JF2" s="182"/>
      <c r="JG2" s="182"/>
      <c r="JH2" s="182"/>
      <c r="JI2" s="182"/>
      <c r="JJ2" s="182"/>
      <c r="JK2" s="182"/>
      <c r="JL2" s="182"/>
      <c r="JM2" s="182"/>
      <c r="JN2" s="182"/>
      <c r="JO2" s="182"/>
      <c r="JP2" s="182"/>
      <c r="JQ2" s="182"/>
      <c r="JR2" s="182"/>
      <c r="JS2" s="182"/>
      <c r="JT2" s="182"/>
      <c r="JU2" s="182"/>
      <c r="JV2" s="182"/>
      <c r="JW2" s="182"/>
      <c r="JX2" s="182"/>
      <c r="JY2" s="182"/>
      <c r="JZ2" s="182"/>
      <c r="KA2" s="182"/>
      <c r="KB2" s="182"/>
      <c r="KC2" s="182"/>
      <c r="KD2" s="182"/>
      <c r="KE2" s="182"/>
      <c r="KF2" s="182"/>
      <c r="KG2" s="182"/>
      <c r="KH2" s="182"/>
      <c r="KI2" s="182"/>
      <c r="KJ2" s="182"/>
      <c r="KK2" s="182"/>
      <c r="KL2" s="182"/>
      <c r="KM2" s="182"/>
      <c r="KN2" s="182"/>
      <c r="KO2" s="182"/>
      <c r="KP2" s="182"/>
      <c r="KQ2" s="182"/>
      <c r="KR2" s="182"/>
      <c r="KS2" s="182"/>
      <c r="KT2" s="185" t="s">
        <v>698</v>
      </c>
      <c r="KU2" s="182"/>
      <c r="KV2" s="182"/>
      <c r="KW2" s="182"/>
      <c r="KX2" s="182"/>
      <c r="KY2" s="182"/>
      <c r="KZ2" s="182"/>
      <c r="LA2" s="182"/>
      <c r="LB2" s="182"/>
      <c r="LC2" s="182"/>
      <c r="LD2" s="182"/>
      <c r="LE2" s="182"/>
      <c r="LF2" s="182"/>
      <c r="LG2" s="182"/>
      <c r="LH2" s="182"/>
      <c r="LI2" s="182"/>
      <c r="LJ2" s="182"/>
      <c r="LK2" s="182"/>
      <c r="LL2" s="182"/>
      <c r="LM2" s="182"/>
      <c r="LN2" s="182"/>
      <c r="LO2" s="182"/>
      <c r="LP2" s="182"/>
      <c r="LQ2" s="182"/>
      <c r="LR2" s="182"/>
      <c r="LS2" s="182"/>
      <c r="LT2" s="182"/>
      <c r="LU2" s="182"/>
      <c r="LV2" s="182"/>
      <c r="LW2" s="182"/>
      <c r="LX2" s="182"/>
      <c r="LY2" s="182"/>
      <c r="LZ2" s="182"/>
      <c r="MA2" s="182"/>
      <c r="MB2" s="182"/>
      <c r="MC2" s="182"/>
      <c r="MD2" s="182"/>
      <c r="ME2" s="182"/>
      <c r="MF2" s="182"/>
      <c r="MG2" s="182"/>
      <c r="MH2" s="182"/>
      <c r="MI2" s="182"/>
      <c r="MJ2" s="182"/>
      <c r="MK2" s="182"/>
      <c r="ML2" s="182"/>
      <c r="MM2" s="184" t="s">
        <v>71</v>
      </c>
      <c r="MN2" s="182"/>
      <c r="MO2" s="182"/>
      <c r="MP2" s="182"/>
      <c r="MQ2" s="182"/>
      <c r="MR2" s="182"/>
      <c r="MS2" s="182"/>
      <c r="MT2" s="182"/>
      <c r="MU2" s="182"/>
      <c r="MV2" s="182"/>
      <c r="MW2" s="182"/>
      <c r="MX2" s="182"/>
      <c r="MY2" s="182"/>
      <c r="MZ2" s="182"/>
      <c r="NA2" s="182"/>
      <c r="NB2" s="182"/>
      <c r="NC2" s="182"/>
      <c r="ND2" s="182"/>
      <c r="NE2" s="182"/>
      <c r="NF2" s="182"/>
      <c r="NG2" s="182"/>
      <c r="NH2" s="182"/>
      <c r="NI2" s="182"/>
      <c r="NJ2" s="182"/>
      <c r="NK2" s="182"/>
      <c r="NL2" s="182"/>
      <c r="NM2" s="629" t="s">
        <v>86</v>
      </c>
      <c r="NN2" s="629"/>
      <c r="NO2" s="629"/>
      <c r="NP2" s="629"/>
      <c r="NQ2" s="629"/>
      <c r="NR2" s="629"/>
      <c r="NS2" s="629"/>
      <c r="NT2" s="629"/>
      <c r="NU2" s="629"/>
      <c r="NV2" s="629"/>
      <c r="NW2" s="629"/>
      <c r="NX2" s="629"/>
      <c r="NY2" s="629"/>
      <c r="NZ2" s="629"/>
      <c r="OA2" s="629"/>
      <c r="OB2" s="629"/>
      <c r="OC2" s="629"/>
      <c r="OD2" s="629"/>
      <c r="OE2" s="629"/>
      <c r="OF2" s="629"/>
      <c r="OG2" s="629"/>
      <c r="OH2" s="629"/>
      <c r="OI2" s="629"/>
      <c r="OJ2" s="629"/>
      <c r="OK2" s="629"/>
      <c r="OL2" s="629"/>
      <c r="OM2" s="629"/>
      <c r="ON2" s="629"/>
      <c r="OO2" s="629"/>
      <c r="OP2" s="629"/>
      <c r="OQ2" s="629"/>
      <c r="OR2" s="629"/>
      <c r="OS2" s="629"/>
      <c r="OT2" s="629"/>
      <c r="OU2" s="629"/>
      <c r="OV2" s="182"/>
      <c r="OW2" s="182"/>
      <c r="OX2" s="182"/>
      <c r="OY2" s="182"/>
      <c r="OZ2" s="182"/>
      <c r="PA2" s="182"/>
      <c r="PB2" s="182"/>
      <c r="PC2" s="182"/>
      <c r="PD2" s="182"/>
      <c r="PE2" s="182"/>
      <c r="PF2" s="182"/>
      <c r="PG2" s="182"/>
      <c r="PH2" s="182"/>
      <c r="PI2" s="182"/>
      <c r="PJ2" s="629" t="s">
        <v>696</v>
      </c>
      <c r="PK2" s="629"/>
      <c r="PL2" s="629"/>
      <c r="PM2" s="629"/>
      <c r="PN2" s="629"/>
      <c r="PO2" s="629"/>
      <c r="PP2" s="629"/>
      <c r="PQ2" s="629"/>
      <c r="PR2" s="629"/>
      <c r="PS2" s="629"/>
      <c r="PT2" s="629"/>
      <c r="PU2" s="629"/>
      <c r="PV2" s="629"/>
      <c r="PW2" s="629"/>
      <c r="PX2" s="629"/>
      <c r="PY2" s="629"/>
      <c r="PZ2" s="629"/>
      <c r="QA2" s="629"/>
      <c r="QB2" s="629"/>
      <c r="QC2" s="629"/>
      <c r="QD2" s="629"/>
      <c r="QE2" s="629"/>
      <c r="QF2" s="629"/>
      <c r="QG2" s="629"/>
      <c r="QH2" s="629"/>
      <c r="QI2" s="629"/>
      <c r="QJ2" s="629"/>
      <c r="QK2" s="629"/>
      <c r="QL2" s="629"/>
      <c r="QM2" s="629"/>
      <c r="QN2" s="629"/>
      <c r="QO2" s="629"/>
      <c r="QP2" s="629"/>
      <c r="QQ2" s="629"/>
      <c r="QR2" s="629"/>
      <c r="QS2" s="629"/>
      <c r="QT2" s="629"/>
      <c r="QU2" s="629"/>
      <c r="QV2" s="629"/>
      <c r="QW2" s="629"/>
      <c r="QX2" s="629"/>
      <c r="QY2" s="629"/>
      <c r="QZ2" s="629"/>
      <c r="RA2" s="182"/>
      <c r="RB2" s="182"/>
      <c r="RC2" s="182"/>
      <c r="RD2" s="182"/>
      <c r="RE2" s="182"/>
      <c r="RF2" s="182"/>
      <c r="RG2" s="182"/>
      <c r="RH2" s="182"/>
      <c r="RI2" s="182"/>
      <c r="RJ2" s="182"/>
      <c r="RK2" s="182"/>
      <c r="RL2" s="182"/>
      <c r="RM2" s="182"/>
      <c r="RN2" s="182"/>
      <c r="RO2" s="182"/>
      <c r="RP2" s="182"/>
      <c r="RQ2" s="182"/>
      <c r="RR2" s="182"/>
      <c r="RS2" s="182"/>
      <c r="RT2" s="182"/>
      <c r="RU2" s="182"/>
      <c r="RV2" s="182"/>
      <c r="RW2" s="182"/>
      <c r="RX2" s="182"/>
      <c r="RY2" s="182"/>
      <c r="RZ2" s="182"/>
      <c r="SA2" s="182"/>
      <c r="SB2" s="182"/>
      <c r="SC2" s="182"/>
      <c r="SD2" s="182"/>
      <c r="SE2" s="182"/>
      <c r="SF2" s="182"/>
      <c r="SG2" s="182"/>
      <c r="SH2" s="182"/>
      <c r="SI2" s="182"/>
      <c r="SJ2" s="182"/>
      <c r="SK2" s="182"/>
      <c r="SL2" s="182"/>
      <c r="SM2" s="182"/>
      <c r="SN2" s="182"/>
      <c r="SO2" s="182"/>
      <c r="SP2" s="182"/>
      <c r="SQ2" s="182"/>
      <c r="SR2" s="182"/>
      <c r="SS2" s="182"/>
      <c r="ST2" s="182"/>
      <c r="SU2" s="182"/>
      <c r="SV2" s="182"/>
      <c r="SW2" s="182"/>
      <c r="SX2" s="182"/>
      <c r="SY2" s="600" t="s">
        <v>649</v>
      </c>
      <c r="SZ2" s="601"/>
      <c r="TA2" s="601"/>
      <c r="TB2" s="182"/>
      <c r="TC2" s="182"/>
      <c r="TD2" s="182"/>
      <c r="TE2" s="182"/>
      <c r="TF2" s="182"/>
      <c r="TG2" s="182"/>
      <c r="TH2" s="182"/>
      <c r="TI2" s="182"/>
      <c r="TJ2" s="182"/>
      <c r="TK2" s="182"/>
      <c r="TL2" s="182"/>
      <c r="TM2" s="182"/>
      <c r="TN2" s="182"/>
      <c r="TO2" s="182"/>
      <c r="TP2" s="182"/>
      <c r="TQ2" s="182"/>
      <c r="TR2" s="182"/>
      <c r="TS2" s="182"/>
      <c r="TT2" s="182"/>
      <c r="TU2" s="182"/>
      <c r="TV2" s="182"/>
      <c r="TW2" s="182"/>
      <c r="TX2" s="182"/>
      <c r="TY2" s="182"/>
      <c r="TZ2" s="182"/>
      <c r="UA2" s="182"/>
      <c r="UB2" s="182"/>
      <c r="UC2" s="182"/>
      <c r="UD2" s="182"/>
      <c r="UE2" s="182"/>
      <c r="UF2" s="182"/>
      <c r="UG2" s="182"/>
      <c r="UH2" s="182"/>
      <c r="UI2" s="182"/>
      <c r="UJ2" s="182"/>
      <c r="UK2" s="182"/>
      <c r="UL2" s="182"/>
      <c r="UM2" s="182"/>
      <c r="UN2" s="182"/>
      <c r="UO2" s="182"/>
      <c r="UP2" s="182"/>
      <c r="UQ2" s="182"/>
      <c r="UR2" s="182"/>
      <c r="US2" s="182"/>
      <c r="UT2" s="182"/>
      <c r="UU2" s="182"/>
      <c r="UV2" s="182"/>
      <c r="UW2" s="182"/>
      <c r="UX2" s="182"/>
      <c r="UY2" s="182"/>
      <c r="UZ2" s="182"/>
      <c r="VA2" s="182"/>
      <c r="VB2" s="182"/>
      <c r="VC2" s="182"/>
      <c r="VD2" s="182"/>
      <c r="VE2" s="182"/>
      <c r="VF2" s="182"/>
      <c r="VG2" s="182"/>
      <c r="VH2" s="182"/>
      <c r="VI2" s="182"/>
      <c r="VJ2" s="182"/>
      <c r="VK2" s="182"/>
      <c r="VL2" s="182"/>
      <c r="VM2" s="182"/>
      <c r="VN2" s="182"/>
      <c r="VO2" s="182"/>
      <c r="VP2" s="182"/>
      <c r="VQ2" s="182"/>
      <c r="VR2" s="182"/>
      <c r="VS2" s="182"/>
      <c r="VT2" s="182"/>
      <c r="VU2" s="182"/>
      <c r="VV2" s="182"/>
      <c r="VW2" s="182"/>
      <c r="VX2" s="182"/>
      <c r="VY2" s="182"/>
      <c r="VZ2" s="182"/>
      <c r="WA2" s="182"/>
      <c r="WB2" s="182"/>
      <c r="WC2" s="182"/>
      <c r="WD2" s="182"/>
      <c r="WE2" s="182"/>
      <c r="WF2" s="182"/>
      <c r="WG2" s="182"/>
      <c r="WH2" s="182"/>
      <c r="WI2" s="182"/>
      <c r="WJ2" s="182"/>
      <c r="WK2" s="182"/>
      <c r="WL2" s="182"/>
      <c r="WM2" s="182"/>
      <c r="WN2" s="182"/>
      <c r="WO2" s="182"/>
      <c r="WP2" s="182"/>
      <c r="WQ2" s="182"/>
      <c r="WR2" s="182"/>
      <c r="WS2" s="182"/>
      <c r="WT2" s="182"/>
      <c r="WU2" s="182"/>
      <c r="WV2" s="182"/>
      <c r="WW2" s="182"/>
      <c r="WX2" s="182"/>
      <c r="WY2" s="182"/>
      <c r="WZ2" s="182"/>
      <c r="XA2" s="182"/>
      <c r="XB2" s="182"/>
      <c r="XC2" s="182"/>
      <c r="XD2" s="182"/>
      <c r="XE2" s="182"/>
      <c r="XF2" s="182"/>
      <c r="XG2" s="182"/>
      <c r="XH2" s="182"/>
      <c r="XI2" s="182"/>
      <c r="XJ2" s="182"/>
      <c r="XK2" s="182"/>
      <c r="XL2" s="182"/>
      <c r="XM2" s="182"/>
      <c r="XN2" s="182"/>
      <c r="XO2" s="182"/>
      <c r="XP2" s="182"/>
      <c r="XQ2" s="182"/>
      <c r="XR2" s="629" t="s">
        <v>89</v>
      </c>
      <c r="XS2" s="629"/>
      <c r="XT2" s="629"/>
      <c r="XU2" s="629"/>
      <c r="XV2" s="629"/>
      <c r="XW2" s="629"/>
      <c r="XX2" s="629"/>
      <c r="XY2" s="629"/>
      <c r="XZ2" s="629"/>
      <c r="YA2" s="629"/>
      <c r="YB2" s="629"/>
      <c r="YC2" s="629"/>
      <c r="YD2" s="629"/>
      <c r="YE2" s="629"/>
      <c r="YF2" s="629"/>
      <c r="YG2" s="629"/>
      <c r="YH2" s="629"/>
      <c r="YI2" s="629"/>
      <c r="YJ2" s="629"/>
      <c r="YK2" s="629"/>
      <c r="YL2" s="629"/>
      <c r="YM2" s="629"/>
      <c r="YN2" s="629"/>
      <c r="YO2" s="629"/>
      <c r="YP2" s="629"/>
      <c r="YQ2" s="629"/>
      <c r="YR2" s="629"/>
      <c r="YS2" s="629"/>
      <c r="YT2" s="629"/>
      <c r="YU2" s="629"/>
      <c r="YV2" s="629"/>
      <c r="YW2" s="629"/>
      <c r="YX2" s="629"/>
      <c r="YY2" s="629"/>
      <c r="YZ2" s="629"/>
      <c r="ZA2" s="629"/>
      <c r="ZB2" s="629"/>
      <c r="ZC2" s="629"/>
      <c r="ZD2" s="629"/>
      <c r="ZE2" s="629"/>
      <c r="ZF2" s="629"/>
      <c r="ZG2" s="629"/>
      <c r="ZH2" s="629"/>
      <c r="ZI2" s="629"/>
      <c r="ZJ2" s="629"/>
      <c r="ZK2" s="629"/>
      <c r="ZL2" s="629"/>
      <c r="ZM2" s="629"/>
      <c r="ZN2" s="629"/>
      <c r="ZO2" s="629"/>
      <c r="ZP2" s="629"/>
      <c r="ZQ2" s="629"/>
      <c r="ZR2" s="629"/>
      <c r="ZS2" s="629"/>
      <c r="ZT2" s="629"/>
      <c r="ZU2" s="629"/>
      <c r="ZV2" s="629"/>
      <c r="ZW2" s="629"/>
      <c r="ZX2" s="629"/>
      <c r="ZY2" s="629"/>
      <c r="ZZ2" s="629"/>
      <c r="AAA2" s="629"/>
      <c r="AAB2" s="629"/>
      <c r="AAC2" s="629"/>
      <c r="AAD2" s="629"/>
      <c r="AAE2" s="629"/>
      <c r="AAF2" s="629"/>
      <c r="AAG2" s="629"/>
      <c r="AAH2" s="629"/>
      <c r="AAI2" s="629"/>
      <c r="AAJ2" s="629"/>
      <c r="AAK2" s="629"/>
      <c r="AAL2" s="629"/>
      <c r="AAM2" s="629"/>
      <c r="AAN2" s="629"/>
      <c r="AAO2" s="629"/>
      <c r="AAP2" s="182"/>
      <c r="AAQ2" s="182"/>
      <c r="AAR2" s="182"/>
      <c r="AAS2" s="182"/>
      <c r="AAT2" s="182"/>
      <c r="AAU2" s="182"/>
      <c r="AAV2" s="182"/>
      <c r="AAW2" s="182"/>
      <c r="AAX2" s="182"/>
      <c r="AAY2" s="182"/>
      <c r="AAZ2" s="182"/>
      <c r="ABA2" s="182"/>
      <c r="ABB2" s="182"/>
      <c r="ABC2" s="182"/>
      <c r="ABD2" s="182"/>
      <c r="ABE2" s="182"/>
      <c r="ABF2" s="630" t="s">
        <v>699</v>
      </c>
      <c r="ABG2" s="630"/>
      <c r="ABH2" s="630"/>
      <c r="ABI2" s="630"/>
      <c r="ABJ2" s="630"/>
      <c r="ABK2" s="630"/>
      <c r="ABL2" s="630"/>
      <c r="ABM2" s="630"/>
      <c r="ABN2" s="630"/>
      <c r="ABO2" s="630"/>
      <c r="ABP2" s="630"/>
      <c r="ABQ2" s="630"/>
      <c r="ABR2" s="630"/>
      <c r="ABS2" s="630"/>
      <c r="ABT2" s="630"/>
      <c r="ABU2" s="630"/>
      <c r="ABV2" s="630"/>
      <c r="ABW2" s="630"/>
      <c r="ABX2" s="630"/>
      <c r="ABY2" s="630"/>
      <c r="ABZ2" s="630"/>
      <c r="ACA2" s="630"/>
      <c r="ACB2" s="630"/>
      <c r="ACC2" s="630"/>
      <c r="ACD2" s="630"/>
      <c r="ACE2" s="630"/>
      <c r="ACF2" s="630"/>
      <c r="ACG2" s="630"/>
      <c r="ACH2" s="630"/>
      <c r="ACI2" s="630"/>
      <c r="ACJ2" s="630"/>
      <c r="ACK2" s="630"/>
      <c r="ACL2" s="630"/>
      <c r="ACM2" s="630"/>
      <c r="ACN2" s="630"/>
      <c r="ACO2" s="630"/>
      <c r="ACP2" s="630"/>
      <c r="ACQ2" s="630"/>
      <c r="ACR2" s="630"/>
      <c r="ACS2" s="630"/>
      <c r="ACT2" s="630"/>
      <c r="ACU2" s="630"/>
      <c r="ACV2" s="630"/>
      <c r="ACW2" s="630"/>
      <c r="ACX2" s="630"/>
      <c r="ACY2" s="630"/>
      <c r="ACZ2" s="630"/>
      <c r="ADA2" s="630"/>
      <c r="ADB2" s="630"/>
      <c r="ADC2" s="630"/>
      <c r="ADD2" s="630"/>
      <c r="ADE2" s="630"/>
      <c r="ADF2" s="630"/>
      <c r="ADG2" s="630"/>
      <c r="ADH2" s="630"/>
      <c r="ADI2" s="630"/>
      <c r="ADJ2" s="630"/>
      <c r="ADK2" s="630"/>
      <c r="ADL2" s="630"/>
      <c r="ADM2" s="630"/>
      <c r="ADN2" s="630"/>
      <c r="ADO2" s="630"/>
      <c r="ADP2" s="630"/>
      <c r="ADQ2" s="630"/>
      <c r="ADR2" s="630"/>
      <c r="ADS2" s="630"/>
      <c r="ADT2" s="630"/>
      <c r="ADU2" s="630"/>
      <c r="ADV2" s="630"/>
      <c r="ADW2" s="630"/>
      <c r="ADX2" s="630"/>
      <c r="ADY2" s="630"/>
      <c r="ADZ2" s="630"/>
      <c r="AEA2" s="630"/>
      <c r="AEB2" s="630"/>
      <c r="AEC2" s="630"/>
      <c r="AED2" s="630"/>
      <c r="AEE2" s="630"/>
      <c r="AEF2" s="630"/>
      <c r="AEG2" s="630"/>
      <c r="AEH2" s="630"/>
      <c r="AEI2" s="630"/>
      <c r="AEJ2" s="630"/>
      <c r="AEK2" s="630"/>
      <c r="AEL2" s="630"/>
      <c r="AEM2" s="630"/>
      <c r="AEN2" s="630"/>
      <c r="AEO2" s="630"/>
      <c r="AEP2" s="630"/>
      <c r="AEQ2" s="630"/>
      <c r="AER2" s="630"/>
      <c r="AES2" s="630"/>
      <c r="AET2" s="630"/>
      <c r="AEU2" s="630"/>
      <c r="AEV2" s="630"/>
      <c r="AEW2" s="630"/>
      <c r="AEX2" s="630"/>
      <c r="AEY2" s="630"/>
      <c r="AEZ2" s="630"/>
      <c r="AFA2" s="630"/>
      <c r="AFB2" s="630"/>
      <c r="AFC2" s="630"/>
      <c r="AFD2" s="630"/>
      <c r="AFE2" s="630"/>
      <c r="AFF2" s="630"/>
      <c r="AFG2" s="630"/>
      <c r="AFH2" s="630"/>
      <c r="AFI2" s="630"/>
      <c r="AFJ2" s="630"/>
      <c r="AFK2" s="630"/>
      <c r="AFL2" s="630"/>
      <c r="AFM2" s="630"/>
      <c r="AFN2" s="630"/>
      <c r="AFO2" s="630"/>
      <c r="AFP2" s="630"/>
      <c r="AFQ2" s="630"/>
      <c r="AFR2" s="630"/>
      <c r="AFS2" s="630"/>
      <c r="AFT2" s="630"/>
      <c r="AFU2" s="630"/>
      <c r="AFV2" s="630"/>
      <c r="AFW2" s="630"/>
      <c r="AFX2" s="630"/>
      <c r="AFY2" s="630"/>
      <c r="AFZ2" s="630"/>
      <c r="AGA2" s="630"/>
      <c r="AGB2" s="630"/>
      <c r="AGC2" s="630"/>
      <c r="AGD2" s="630"/>
      <c r="AGE2" s="630"/>
      <c r="AGF2" s="630"/>
      <c r="AGG2" s="630"/>
      <c r="AGH2" s="630"/>
      <c r="AGI2" s="630"/>
      <c r="AGJ2" s="630"/>
      <c r="AGK2" s="630"/>
      <c r="AGL2" s="630"/>
      <c r="AGM2" s="630"/>
      <c r="AGN2" s="630"/>
      <c r="AGO2" s="630"/>
      <c r="AGP2" s="630"/>
      <c r="AGQ2" s="630"/>
      <c r="AGR2" s="630"/>
      <c r="AGS2" s="630"/>
      <c r="AGT2" s="630"/>
      <c r="AGU2" s="630"/>
      <c r="AGV2" s="630"/>
      <c r="AGW2" s="630"/>
      <c r="AGX2" s="630"/>
      <c r="AGY2" s="630"/>
      <c r="AGZ2" s="630"/>
      <c r="AHA2" s="630"/>
      <c r="AHB2" s="630"/>
      <c r="AHC2" s="630"/>
      <c r="AHD2" s="630"/>
      <c r="AHE2" s="630"/>
      <c r="AHF2" s="630"/>
      <c r="AHG2" s="630"/>
      <c r="AHH2" s="630"/>
      <c r="AHI2" s="630"/>
      <c r="AHJ2" s="630"/>
      <c r="AHK2" s="630"/>
      <c r="AHL2" s="630"/>
      <c r="AHM2" s="630"/>
      <c r="AHN2" s="630"/>
      <c r="AHO2" s="630"/>
      <c r="AHP2" s="630"/>
      <c r="AHQ2" s="630"/>
      <c r="AHR2" s="630"/>
      <c r="AHS2" s="630"/>
      <c r="AHT2" s="630"/>
      <c r="AHU2" s="630"/>
      <c r="AHV2" s="630"/>
      <c r="AHW2" s="630"/>
      <c r="AHX2" s="630"/>
      <c r="AHY2" s="630"/>
      <c r="AHZ2" s="630"/>
      <c r="AIA2" s="630"/>
      <c r="AIB2" s="630"/>
      <c r="AIC2" s="630"/>
      <c r="AID2" s="630"/>
      <c r="AIE2" s="605" t="s">
        <v>654</v>
      </c>
      <c r="AIF2" s="606"/>
      <c r="AIG2" s="606"/>
      <c r="AIH2" s="606"/>
      <c r="AII2" s="606"/>
      <c r="AIJ2" s="606"/>
      <c r="AIK2" s="182"/>
      <c r="AIL2" s="182"/>
      <c r="AIM2" s="182"/>
      <c r="AIN2" s="182"/>
      <c r="AIO2" s="182"/>
      <c r="AIP2" s="182"/>
      <c r="AIQ2" s="182"/>
      <c r="AIR2" s="182"/>
      <c r="AIS2" s="182"/>
      <c r="AIT2" s="182"/>
      <c r="AIU2" s="182"/>
      <c r="AIV2" s="182"/>
      <c r="AIW2" s="182"/>
      <c r="AIX2" s="182"/>
      <c r="AIY2" s="182"/>
      <c r="AIZ2" s="182"/>
      <c r="AJA2" s="182"/>
      <c r="AJB2" s="182"/>
      <c r="AJC2" s="182"/>
      <c r="AJD2" s="182"/>
      <c r="AJE2" s="182"/>
      <c r="AJF2" s="182"/>
      <c r="AJG2" s="182"/>
      <c r="AJH2" s="182"/>
      <c r="AJI2" s="623" t="s">
        <v>655</v>
      </c>
      <c r="AJJ2" s="623"/>
      <c r="AJK2" s="623"/>
      <c r="AJL2" s="182"/>
      <c r="AJM2" s="182"/>
      <c r="AJN2" s="182"/>
      <c r="AJO2" s="182"/>
      <c r="AJP2" s="182"/>
      <c r="AJQ2" s="182"/>
      <c r="AJR2" s="182"/>
      <c r="AJS2" s="182"/>
      <c r="AJT2" s="182"/>
      <c r="AJU2" s="182"/>
      <c r="AJV2" s="182"/>
      <c r="AJW2" s="182"/>
      <c r="AJX2" s="182"/>
      <c r="AJY2" s="182"/>
      <c r="AJZ2" s="182"/>
      <c r="AKA2" s="182"/>
      <c r="AKB2" s="182"/>
      <c r="AKC2" s="182"/>
      <c r="AKD2" s="182"/>
      <c r="AKE2" s="182"/>
      <c r="AKF2" s="182"/>
      <c r="AKG2" s="182"/>
      <c r="AKH2" s="182"/>
      <c r="AKI2" s="182"/>
      <c r="AKJ2" s="182"/>
      <c r="AKK2" s="182"/>
      <c r="AKL2" s="182"/>
      <c r="AKM2" s="182"/>
      <c r="AKN2" s="182"/>
      <c r="AKO2" s="182"/>
      <c r="AKP2" s="182"/>
      <c r="AKQ2" s="182"/>
      <c r="AKR2" s="182"/>
      <c r="AKS2" s="182"/>
      <c r="AKT2" s="182"/>
      <c r="AKU2" s="182"/>
      <c r="AKV2" s="182"/>
      <c r="AKW2" s="182"/>
      <c r="AKX2" s="182"/>
      <c r="AKY2" s="182"/>
      <c r="AKZ2" s="182"/>
      <c r="ALA2" s="182"/>
      <c r="ALB2" s="182"/>
      <c r="ALC2" s="182"/>
      <c r="ALD2" s="182"/>
      <c r="ALE2" s="182"/>
      <c r="ALF2" s="182"/>
      <c r="ALG2" s="182"/>
      <c r="ALH2" s="182"/>
      <c r="ALI2" s="182"/>
      <c r="ALJ2" s="182"/>
      <c r="ALK2" s="182"/>
      <c r="ALL2" s="182"/>
      <c r="ALM2" s="182"/>
      <c r="ALN2" s="182"/>
      <c r="ALO2" s="182"/>
      <c r="ALP2" s="182"/>
      <c r="ALQ2" s="182"/>
      <c r="ALR2" s="182"/>
      <c r="ALS2" s="627" t="s">
        <v>693</v>
      </c>
      <c r="ALT2" s="628"/>
      <c r="ALU2" s="628"/>
      <c r="ALV2" s="628"/>
      <c r="ALW2" s="628"/>
      <c r="ALX2" s="182"/>
      <c r="ALY2" s="182"/>
      <c r="ALZ2" s="182"/>
      <c r="AMA2" s="182"/>
      <c r="AMB2" s="182"/>
      <c r="AMC2" s="182"/>
      <c r="AMD2" s="182"/>
      <c r="AME2" s="182"/>
      <c r="AMF2" s="182"/>
      <c r="AMG2" s="182"/>
      <c r="AMH2" s="182"/>
      <c r="AMI2" s="182"/>
      <c r="AMJ2" s="182"/>
      <c r="AMK2" s="182"/>
      <c r="AML2" s="182"/>
      <c r="AMM2" s="182"/>
      <c r="AMN2" s="182"/>
      <c r="AMO2" s="182"/>
      <c r="AMP2" s="182"/>
      <c r="AMQ2" s="182"/>
      <c r="AMR2" s="182"/>
      <c r="AMS2" s="182"/>
      <c r="AMT2" s="182"/>
      <c r="AMU2" s="182"/>
      <c r="AMV2" s="182"/>
      <c r="AMW2" s="182"/>
      <c r="AMX2" s="182"/>
      <c r="AMY2" s="182"/>
      <c r="AMZ2" s="182"/>
      <c r="ANA2" s="182"/>
      <c r="ANB2" s="182"/>
      <c r="ANC2" s="182"/>
      <c r="AND2" s="182"/>
      <c r="ANE2" s="182"/>
      <c r="ANF2" s="182"/>
      <c r="ANG2" s="182"/>
      <c r="ANH2" s="182"/>
      <c r="ANI2" s="182"/>
      <c r="ANJ2" s="182"/>
      <c r="ANK2" s="182"/>
      <c r="ANL2" s="182"/>
      <c r="ANM2" s="182"/>
      <c r="ANN2" s="182"/>
      <c r="ANO2" s="182"/>
      <c r="ANP2" s="182"/>
      <c r="ANQ2" s="182"/>
      <c r="ANR2" s="182"/>
      <c r="ANS2" s="182"/>
      <c r="ANT2" s="182"/>
      <c r="ANU2" s="182"/>
      <c r="ANV2" s="182"/>
      <c r="ANW2" s="182"/>
      <c r="ANX2" s="182"/>
      <c r="ANY2" s="182"/>
      <c r="ANZ2" s="182"/>
      <c r="AOA2" s="182"/>
      <c r="AOB2" s="182"/>
      <c r="AOC2" s="182"/>
      <c r="AOD2" s="182"/>
      <c r="AOE2" s="182"/>
      <c r="AOF2" s="182"/>
      <c r="AOG2" s="182"/>
      <c r="AOH2" s="182"/>
      <c r="AOI2" s="182"/>
      <c r="AOJ2" s="622" t="s">
        <v>651</v>
      </c>
      <c r="AOK2" s="622"/>
      <c r="AOL2" s="622"/>
      <c r="AOP2" s="625" t="s">
        <v>695</v>
      </c>
      <c r="AOQ2" s="626"/>
      <c r="AOR2" s="626"/>
      <c r="AOS2" s="626"/>
      <c r="AOT2" s="626"/>
    </row>
    <row r="3" spans="1:1087" s="154" customFormat="1" ht="106.2" customHeight="1" thickTop="1" thickBot="1">
      <c r="A3" s="176" t="s">
        <v>680</v>
      </c>
      <c r="B3" s="176" t="s">
        <v>680</v>
      </c>
      <c r="FB3" s="182"/>
      <c r="FC3" s="182"/>
      <c r="FD3" s="182"/>
      <c r="FE3" s="182"/>
      <c r="FF3" s="182"/>
      <c r="FG3" s="182"/>
      <c r="FH3" s="182"/>
      <c r="FI3" s="182"/>
      <c r="FJ3" s="182"/>
      <c r="FK3" s="182"/>
      <c r="FL3" s="182"/>
      <c r="FM3" s="182"/>
      <c r="FN3" s="182"/>
      <c r="FO3" s="182"/>
      <c r="FP3" s="182"/>
      <c r="FQ3" s="182"/>
      <c r="FR3" s="182"/>
      <c r="FS3" s="182"/>
      <c r="FT3" s="182"/>
      <c r="FU3" s="182"/>
      <c r="FV3" s="182"/>
      <c r="FW3" s="182"/>
      <c r="FX3" s="182"/>
      <c r="FY3" s="182"/>
      <c r="FZ3" s="182"/>
      <c r="GA3" s="182"/>
      <c r="GB3" s="182"/>
      <c r="GC3" s="182"/>
      <c r="GD3" s="182"/>
      <c r="GE3" s="182"/>
      <c r="GF3" s="182"/>
      <c r="GG3" s="182"/>
      <c r="GH3" s="182"/>
      <c r="GI3" s="182"/>
      <c r="GJ3" s="182"/>
      <c r="GK3" s="182"/>
      <c r="GL3" s="182"/>
      <c r="GM3" s="182"/>
      <c r="GN3" s="182"/>
      <c r="GO3" s="182"/>
      <c r="GP3" s="182"/>
      <c r="GQ3" s="182"/>
      <c r="GR3" s="182"/>
      <c r="GS3" s="182"/>
      <c r="GT3" s="182"/>
      <c r="GU3" s="182"/>
      <c r="GV3" s="182"/>
      <c r="GW3" s="182"/>
      <c r="GX3" s="182"/>
      <c r="GY3" s="182"/>
      <c r="GZ3" s="182"/>
      <c r="HA3" s="182"/>
      <c r="HB3" s="182"/>
      <c r="HC3" s="182"/>
      <c r="HD3" s="182"/>
      <c r="HE3" s="182"/>
      <c r="HF3" s="182"/>
      <c r="HG3" s="182"/>
      <c r="HH3" s="182"/>
      <c r="HI3" s="182"/>
      <c r="HJ3" s="182"/>
      <c r="HK3" s="182"/>
      <c r="HL3" s="182"/>
      <c r="HM3" s="182"/>
      <c r="HN3" s="182"/>
      <c r="HO3" s="182"/>
      <c r="HP3" s="182"/>
      <c r="HQ3" s="182"/>
      <c r="HR3" s="182"/>
      <c r="HS3" s="182"/>
      <c r="HT3" s="182"/>
      <c r="HU3" s="182"/>
      <c r="HV3" s="182"/>
      <c r="HW3" s="182"/>
      <c r="HX3" s="182"/>
      <c r="HY3" s="182"/>
      <c r="HZ3" s="182"/>
      <c r="IA3" s="182"/>
      <c r="IB3" s="182"/>
      <c r="IC3" s="182"/>
      <c r="ID3" s="182"/>
      <c r="IE3" s="182"/>
      <c r="IF3" s="182"/>
      <c r="IG3" s="182"/>
      <c r="IH3" s="182"/>
      <c r="II3" s="182"/>
      <c r="IJ3" s="182"/>
      <c r="IK3" s="182"/>
      <c r="IL3" s="182"/>
      <c r="IM3" s="182"/>
      <c r="IN3" s="182"/>
      <c r="IO3" s="182"/>
      <c r="IP3" s="182"/>
      <c r="IQ3" s="182"/>
      <c r="IR3" s="182"/>
      <c r="IS3" s="182"/>
      <c r="IT3" s="182"/>
      <c r="IU3" s="182"/>
      <c r="IV3" s="182"/>
      <c r="IW3" s="182"/>
      <c r="IX3" s="182"/>
      <c r="IY3" s="182"/>
      <c r="IZ3" s="182"/>
      <c r="JA3" s="182"/>
      <c r="JB3" s="182"/>
      <c r="JC3" s="182"/>
      <c r="JD3" s="182"/>
      <c r="JE3" s="182"/>
      <c r="JF3" s="182"/>
      <c r="JG3" s="182"/>
      <c r="JH3" s="182"/>
      <c r="JI3" s="182"/>
      <c r="JJ3" s="182"/>
      <c r="JK3" s="182"/>
      <c r="JL3" s="182"/>
      <c r="JM3" s="182"/>
      <c r="JN3" s="182"/>
      <c r="JO3" s="182"/>
      <c r="JP3" s="182"/>
      <c r="JQ3" s="182"/>
      <c r="JR3" s="182"/>
      <c r="JS3" s="182"/>
      <c r="JT3" s="182"/>
      <c r="JU3" s="182"/>
      <c r="JV3" s="182"/>
      <c r="JW3" s="182"/>
      <c r="JX3" s="182"/>
      <c r="JY3" s="182"/>
      <c r="JZ3" s="182"/>
      <c r="KA3" s="182"/>
      <c r="KB3" s="182"/>
      <c r="KC3" s="182"/>
      <c r="KD3" s="182"/>
      <c r="KE3" s="182"/>
      <c r="KF3" s="182"/>
      <c r="KG3" s="182"/>
      <c r="KH3" s="182"/>
      <c r="KI3" s="182"/>
      <c r="KJ3" s="182"/>
      <c r="KK3" s="182"/>
      <c r="KL3" s="182"/>
      <c r="KM3" s="182"/>
      <c r="KN3" s="182"/>
      <c r="KO3" s="182"/>
      <c r="KP3" s="182"/>
      <c r="KQ3" s="182"/>
      <c r="KR3" s="182"/>
      <c r="KS3" s="182"/>
      <c r="KT3" s="182"/>
      <c r="KU3" s="182"/>
      <c r="KV3" s="182"/>
      <c r="KW3" s="182"/>
      <c r="KX3" s="182"/>
      <c r="KY3" s="182"/>
      <c r="KZ3" s="182"/>
      <c r="LA3" s="182"/>
      <c r="LB3" s="182"/>
      <c r="LC3" s="182"/>
      <c r="LD3" s="182"/>
      <c r="LE3" s="182"/>
      <c r="LF3" s="182"/>
      <c r="LG3" s="182"/>
      <c r="LH3" s="182"/>
      <c r="LI3" s="182"/>
      <c r="LJ3" s="182"/>
      <c r="LK3" s="182"/>
      <c r="LL3" s="182"/>
      <c r="LM3" s="182"/>
      <c r="LN3" s="182"/>
      <c r="LO3" s="182"/>
      <c r="LP3" s="182"/>
      <c r="LQ3" s="182"/>
      <c r="LR3" s="182"/>
      <c r="LS3" s="182"/>
      <c r="LT3" s="182"/>
      <c r="LU3" s="182"/>
      <c r="LV3" s="182"/>
      <c r="LW3" s="182"/>
      <c r="LX3" s="182"/>
      <c r="LY3" s="182"/>
      <c r="LZ3" s="182"/>
      <c r="MA3" s="182"/>
      <c r="MB3" s="182"/>
      <c r="MC3" s="182"/>
      <c r="MD3" s="182"/>
      <c r="ME3" s="182"/>
      <c r="MF3" s="182"/>
      <c r="MG3" s="182"/>
      <c r="MH3" s="182"/>
      <c r="MI3" s="182"/>
      <c r="MJ3" s="182"/>
      <c r="MK3" s="182"/>
      <c r="ML3" s="182"/>
      <c r="MM3" s="182"/>
      <c r="MN3" s="182"/>
      <c r="MO3" s="182"/>
      <c r="MP3" s="182"/>
      <c r="MQ3" s="182"/>
      <c r="MR3" s="182"/>
      <c r="MS3" s="182"/>
      <c r="MT3" s="182"/>
      <c r="MU3" s="182"/>
      <c r="MV3" s="182"/>
      <c r="MW3" s="182"/>
      <c r="MX3" s="182"/>
      <c r="MY3" s="182"/>
      <c r="MZ3" s="182"/>
      <c r="NA3" s="182"/>
      <c r="NB3" s="182"/>
      <c r="NC3" s="182"/>
      <c r="ND3" s="186" t="s">
        <v>673</v>
      </c>
      <c r="NE3" s="182"/>
      <c r="NF3" s="182"/>
      <c r="NG3" s="182"/>
      <c r="NH3" s="182"/>
      <c r="NI3" s="182"/>
      <c r="NJ3" s="182"/>
      <c r="NK3" s="182"/>
      <c r="NL3" s="182"/>
      <c r="NM3" s="182"/>
      <c r="NN3" s="182"/>
      <c r="NO3" s="182"/>
      <c r="NP3" s="182"/>
      <c r="NQ3" s="182"/>
      <c r="NR3" s="182"/>
      <c r="NS3" s="182"/>
      <c r="NT3" s="182"/>
      <c r="NU3" s="182"/>
      <c r="NV3" s="182"/>
      <c r="NW3" s="182"/>
      <c r="NX3" s="182"/>
      <c r="NY3" s="182"/>
      <c r="NZ3" s="182"/>
      <c r="OA3" s="182"/>
      <c r="OB3" s="182"/>
      <c r="OC3" s="182"/>
      <c r="OD3" s="182"/>
      <c r="OE3" s="182"/>
      <c r="OF3" s="182"/>
      <c r="OG3" s="182"/>
      <c r="OH3" s="182"/>
      <c r="OI3" s="182"/>
      <c r="OJ3" s="182"/>
      <c r="OK3" s="182"/>
      <c r="OL3" s="182"/>
      <c r="OM3" s="182"/>
      <c r="ON3" s="182"/>
      <c r="OO3" s="182"/>
      <c r="OP3" s="182"/>
      <c r="OQ3" s="182"/>
      <c r="OR3" s="182"/>
      <c r="OS3" s="182"/>
      <c r="OT3" s="182"/>
      <c r="OU3" s="182"/>
      <c r="OV3" s="182"/>
      <c r="OW3" s="182"/>
      <c r="OX3" s="182"/>
      <c r="OY3" s="182"/>
      <c r="OZ3" s="182"/>
      <c r="PA3" s="182"/>
      <c r="PB3" s="182"/>
      <c r="PC3" s="182"/>
      <c r="PD3" s="182"/>
      <c r="PE3" s="182"/>
      <c r="PF3" s="182"/>
      <c r="PG3" s="182"/>
      <c r="PH3" s="182"/>
      <c r="PI3" s="182"/>
      <c r="PJ3" s="182"/>
      <c r="PK3" s="182"/>
      <c r="PL3" s="182"/>
      <c r="PM3" s="182"/>
      <c r="PN3" s="182"/>
      <c r="PO3" s="182"/>
      <c r="PP3" s="182"/>
      <c r="PQ3" s="182"/>
      <c r="PR3" s="182"/>
      <c r="PS3" s="182"/>
      <c r="PT3" s="182"/>
      <c r="PU3" s="182"/>
      <c r="PV3" s="182"/>
      <c r="PW3" s="182"/>
      <c r="PX3" s="182"/>
      <c r="PY3" s="182"/>
      <c r="PZ3" s="182"/>
      <c r="QA3" s="182"/>
      <c r="QB3" s="182"/>
      <c r="QC3" s="182"/>
      <c r="QD3" s="182"/>
      <c r="QE3" s="182"/>
      <c r="QF3" s="182"/>
      <c r="QG3" s="182"/>
      <c r="QH3" s="182"/>
      <c r="QI3" s="182"/>
      <c r="QJ3" s="182"/>
      <c r="QK3" s="182"/>
      <c r="QL3" s="182"/>
      <c r="QM3" s="182"/>
      <c r="QN3" s="182"/>
      <c r="QO3" s="182"/>
      <c r="QP3" s="182"/>
      <c r="QQ3" s="182"/>
      <c r="QR3" s="182"/>
      <c r="QS3" s="182"/>
      <c r="QT3" s="182"/>
      <c r="QU3" s="182"/>
      <c r="QV3" s="182"/>
      <c r="QW3" s="182"/>
      <c r="QX3" s="182"/>
      <c r="QY3" s="182"/>
      <c r="QZ3" s="182"/>
      <c r="RA3" s="182"/>
      <c r="RB3" s="182"/>
      <c r="RC3" s="182"/>
      <c r="RD3" s="182"/>
      <c r="RE3" s="182"/>
      <c r="RF3" s="182"/>
      <c r="RG3" s="182"/>
      <c r="RH3" s="182"/>
      <c r="RI3" s="182"/>
      <c r="RJ3" s="182"/>
      <c r="RK3" s="182"/>
      <c r="RL3" s="182"/>
      <c r="RM3" s="182"/>
      <c r="RN3" s="182"/>
      <c r="RO3" s="182"/>
      <c r="RP3" s="182"/>
      <c r="RQ3" s="182"/>
      <c r="RR3" s="182"/>
      <c r="RS3" s="182"/>
      <c r="RT3" s="599" t="s">
        <v>674</v>
      </c>
      <c r="RU3" s="599"/>
      <c r="RV3" s="599"/>
      <c r="RW3" s="599"/>
      <c r="RX3" s="599"/>
      <c r="RY3" s="182"/>
      <c r="RZ3" s="182"/>
      <c r="SA3" s="182"/>
      <c r="SB3" s="182"/>
      <c r="SC3" s="182"/>
      <c r="SD3" s="182"/>
      <c r="SE3" s="182"/>
      <c r="SF3" s="182"/>
      <c r="SG3" s="182"/>
      <c r="SH3" s="182"/>
      <c r="SI3" s="182"/>
      <c r="SJ3" s="182"/>
      <c r="SK3" s="182"/>
      <c r="SL3" s="182"/>
      <c r="SM3" s="182"/>
      <c r="SN3" s="182"/>
      <c r="SO3" s="182"/>
      <c r="SP3" s="182"/>
      <c r="SQ3" s="182"/>
      <c r="SR3" s="182"/>
      <c r="SS3" s="182"/>
      <c r="ST3" s="182"/>
      <c r="SU3" s="182"/>
      <c r="SV3" s="182"/>
      <c r="SW3" s="182"/>
      <c r="SX3" s="182"/>
      <c r="SY3" s="182"/>
      <c r="SZ3" s="182"/>
      <c r="TA3" s="182"/>
      <c r="TB3" s="182"/>
      <c r="TC3" s="182"/>
      <c r="TD3" s="182"/>
      <c r="TE3" s="182"/>
      <c r="TF3" s="182"/>
      <c r="TG3" s="182"/>
      <c r="TH3" s="182"/>
      <c r="TI3" s="182"/>
      <c r="TJ3" s="182"/>
      <c r="TK3" s="182"/>
      <c r="TL3" s="182"/>
      <c r="TM3" s="182"/>
      <c r="TN3" s="182"/>
      <c r="TO3" s="182"/>
      <c r="TP3" s="182"/>
      <c r="TQ3" s="182"/>
      <c r="TR3" s="182"/>
      <c r="TS3" s="182"/>
      <c r="TT3" s="182"/>
      <c r="TU3" s="182"/>
      <c r="TV3" s="182"/>
      <c r="TW3" s="182"/>
      <c r="TX3" s="182"/>
      <c r="TY3" s="182"/>
      <c r="TZ3" s="182"/>
      <c r="UA3" s="182"/>
      <c r="UB3" s="182"/>
      <c r="UC3" s="599" t="s">
        <v>675</v>
      </c>
      <c r="UD3" s="599"/>
      <c r="UE3" s="599"/>
      <c r="UF3" s="599"/>
      <c r="UG3" s="182"/>
      <c r="UH3" s="182"/>
      <c r="UI3" s="182"/>
      <c r="UJ3" s="182"/>
      <c r="UK3" s="182"/>
      <c r="UL3" s="182"/>
      <c r="UM3" s="182"/>
      <c r="UN3" s="182"/>
      <c r="UO3" s="182"/>
      <c r="UP3" s="182"/>
      <c r="UQ3" s="182"/>
      <c r="UR3" s="182"/>
      <c r="US3" s="182"/>
      <c r="UT3" s="182"/>
      <c r="UU3" s="182"/>
      <c r="UV3" s="182"/>
      <c r="UW3" s="182"/>
      <c r="UX3" s="182"/>
      <c r="UY3" s="182"/>
      <c r="UZ3" s="182"/>
      <c r="VA3" s="182"/>
      <c r="VB3" s="182"/>
      <c r="VC3" s="182"/>
      <c r="VD3" s="182"/>
      <c r="VE3" s="182"/>
      <c r="VF3" s="182"/>
      <c r="VG3" s="182"/>
      <c r="VH3" s="182"/>
      <c r="VI3" s="182"/>
      <c r="VJ3" s="182"/>
      <c r="VK3" s="182"/>
      <c r="VL3" s="182"/>
      <c r="VM3" s="182"/>
      <c r="VN3" s="182"/>
      <c r="VO3" s="182"/>
      <c r="VP3" s="182"/>
      <c r="VQ3" s="182"/>
      <c r="VR3" s="182"/>
      <c r="VS3" s="182"/>
      <c r="VT3" s="182"/>
      <c r="VU3" s="182"/>
      <c r="VV3" s="182"/>
      <c r="VW3" s="182"/>
      <c r="VX3" s="182"/>
      <c r="VY3" s="182"/>
      <c r="VZ3" s="182"/>
      <c r="WA3" s="182"/>
      <c r="WB3" s="182"/>
      <c r="WC3" s="182"/>
      <c r="WD3" s="182"/>
      <c r="WE3" s="182"/>
      <c r="WF3" s="182"/>
      <c r="WG3" s="182"/>
      <c r="WH3" s="182"/>
      <c r="WI3" s="182"/>
      <c r="WJ3" s="182"/>
      <c r="WK3" s="182"/>
      <c r="WL3" s="182"/>
      <c r="WM3" s="182"/>
      <c r="WN3" s="182"/>
      <c r="WO3" s="182"/>
      <c r="WP3" s="182"/>
      <c r="WQ3" s="182"/>
      <c r="WR3" s="182"/>
      <c r="WS3" s="182"/>
      <c r="WT3" s="182"/>
      <c r="WU3" s="602" t="s">
        <v>745</v>
      </c>
      <c r="WV3" s="602"/>
      <c r="WW3" s="602"/>
      <c r="WX3" s="182"/>
      <c r="WY3" s="182"/>
      <c r="WZ3" s="182"/>
      <c r="XA3" s="182"/>
      <c r="XB3" s="182"/>
      <c r="XC3" s="182"/>
      <c r="XD3" s="182"/>
      <c r="XE3" s="182"/>
      <c r="XF3" s="182"/>
      <c r="XG3" s="182"/>
      <c r="XH3" s="182"/>
      <c r="XI3" s="182"/>
      <c r="XJ3" s="182"/>
      <c r="XK3" s="182"/>
      <c r="XL3" s="182"/>
      <c r="XM3" s="182"/>
      <c r="XN3" s="182"/>
      <c r="XO3" s="182"/>
      <c r="XP3" s="182"/>
      <c r="XQ3" s="182"/>
      <c r="XR3" s="603" t="s">
        <v>676</v>
      </c>
      <c r="XS3" s="604"/>
      <c r="XT3" s="604"/>
      <c r="XU3" s="604"/>
      <c r="XV3" s="182"/>
      <c r="XW3" s="182"/>
      <c r="XX3" s="182"/>
      <c r="XY3" s="182"/>
      <c r="XZ3" s="182"/>
      <c r="YA3" s="182"/>
      <c r="YB3" s="182"/>
      <c r="YC3" s="182"/>
      <c r="YD3" s="182"/>
      <c r="YE3" s="182"/>
      <c r="YF3" s="182"/>
      <c r="YG3" s="182"/>
      <c r="YH3" s="182"/>
      <c r="YI3" s="182"/>
      <c r="YJ3" s="182"/>
      <c r="YK3" s="182"/>
      <c r="YL3" s="182"/>
      <c r="YM3" s="182"/>
      <c r="YN3" s="182"/>
      <c r="YO3" s="182"/>
      <c r="YP3" s="182"/>
      <c r="YQ3" s="182"/>
      <c r="YR3" s="182"/>
      <c r="YS3" s="182"/>
      <c r="YT3" s="182"/>
      <c r="YU3" s="182"/>
      <c r="YV3" s="182"/>
      <c r="YW3" s="182"/>
      <c r="YX3" s="182"/>
      <c r="YY3" s="182"/>
      <c r="YZ3" s="182"/>
      <c r="ZA3" s="182"/>
      <c r="ZB3" s="182"/>
      <c r="ZC3" s="182"/>
      <c r="ZD3" s="182"/>
      <c r="ZE3" s="182"/>
      <c r="ZF3" s="182"/>
      <c r="ZG3" s="182"/>
      <c r="ZH3" s="182"/>
      <c r="ZI3" s="182"/>
      <c r="ZJ3" s="182"/>
      <c r="ZK3" s="182"/>
      <c r="ZL3" s="182"/>
      <c r="ZM3" s="182"/>
      <c r="ZN3" s="182"/>
      <c r="ZO3" s="182"/>
      <c r="ZP3" s="182"/>
      <c r="ZQ3" s="182"/>
      <c r="ZR3" s="182"/>
      <c r="ZS3" s="182"/>
      <c r="ZT3" s="182"/>
      <c r="ZU3" s="182"/>
      <c r="ZV3" s="182"/>
      <c r="ZW3" s="182"/>
      <c r="ZX3" s="182"/>
      <c r="ZY3" s="182"/>
      <c r="ZZ3" s="182"/>
      <c r="AAA3" s="182"/>
      <c r="AAB3" s="182"/>
      <c r="AAC3" s="182"/>
      <c r="AAD3" s="182"/>
      <c r="AAE3" s="182"/>
      <c r="AAF3" s="182"/>
      <c r="AAG3" s="182"/>
      <c r="AAH3" s="182"/>
      <c r="AAI3" s="182"/>
      <c r="AAJ3" s="182"/>
      <c r="AAK3" s="182"/>
      <c r="AAL3" s="182"/>
      <c r="AAM3" s="182"/>
      <c r="AAN3" s="182"/>
      <c r="AAO3" s="182"/>
      <c r="AAP3" s="182"/>
      <c r="AAQ3" s="182"/>
      <c r="AAR3" s="182"/>
      <c r="AAS3" s="182"/>
      <c r="AAT3" s="182"/>
      <c r="AAU3" s="182"/>
      <c r="AAV3" s="182"/>
      <c r="AAW3" s="182"/>
      <c r="AAX3" s="182"/>
      <c r="AAY3" s="182"/>
      <c r="AAZ3" s="182"/>
      <c r="ABA3" s="182"/>
      <c r="ABB3" s="182"/>
      <c r="ABC3" s="182"/>
      <c r="ABD3" s="182"/>
      <c r="ABE3" s="182"/>
      <c r="ABF3" s="182"/>
      <c r="ABG3" s="182"/>
      <c r="ABH3" s="182"/>
      <c r="ABI3" s="182"/>
      <c r="ABJ3" s="182"/>
      <c r="ABK3" s="182"/>
      <c r="ABL3" s="182"/>
      <c r="ABM3" s="182"/>
      <c r="ABN3" s="182"/>
      <c r="ABO3" s="182"/>
      <c r="ABP3" s="182"/>
      <c r="ABQ3" s="182"/>
      <c r="ABR3" s="182"/>
      <c r="ABS3" s="182"/>
      <c r="ABT3" s="182"/>
      <c r="ABU3" s="182"/>
      <c r="ABV3" s="182"/>
      <c r="ABW3" s="182"/>
      <c r="ABX3" s="182"/>
      <c r="ABY3" s="182"/>
      <c r="ABZ3" s="182"/>
      <c r="ACA3" s="182"/>
      <c r="ACB3" s="182"/>
      <c r="ACC3" s="182"/>
      <c r="ACD3" s="182"/>
      <c r="ACE3" s="182"/>
      <c r="ACF3" s="182"/>
      <c r="ACG3" s="182"/>
      <c r="ACH3" s="182"/>
      <c r="ACI3" s="182"/>
      <c r="ACJ3" s="182"/>
      <c r="ACK3" s="182"/>
      <c r="ACL3" s="182"/>
      <c r="ACM3" s="182"/>
      <c r="ACN3" s="182"/>
      <c r="ACO3" s="182"/>
      <c r="ACP3" s="182"/>
      <c r="ACQ3" s="182"/>
      <c r="ACR3" s="182"/>
      <c r="ACS3" s="182"/>
      <c r="ACT3" s="182"/>
      <c r="ACU3" s="182"/>
      <c r="ACV3" s="182"/>
      <c r="ACW3" s="182"/>
      <c r="ACX3" s="182"/>
      <c r="ACY3" s="182"/>
      <c r="ACZ3" s="182"/>
      <c r="ADA3" s="182"/>
      <c r="ADB3" s="182"/>
      <c r="ADC3" s="182"/>
      <c r="ADD3" s="182"/>
      <c r="ADE3" s="182"/>
      <c r="ADF3" s="182"/>
      <c r="ADG3" s="182"/>
      <c r="ADH3" s="182"/>
      <c r="ADI3" s="182"/>
      <c r="ADJ3" s="182"/>
      <c r="ADK3" s="182"/>
      <c r="ADL3" s="182"/>
      <c r="ADM3" s="182"/>
      <c r="ADN3" s="182"/>
      <c r="ADO3" s="182"/>
      <c r="ADP3" s="182"/>
      <c r="ADQ3" s="182"/>
      <c r="ADR3" s="182"/>
      <c r="ADS3" s="182"/>
      <c r="ADT3" s="182"/>
      <c r="ADU3" s="182"/>
      <c r="ADV3" s="182"/>
      <c r="ADW3" s="182"/>
      <c r="ADX3" s="182"/>
      <c r="ADY3" s="182"/>
      <c r="ADZ3" s="182"/>
      <c r="AEA3" s="182"/>
      <c r="AEB3" s="182"/>
      <c r="AEC3" s="182"/>
      <c r="AED3" s="182"/>
      <c r="AEE3" s="182"/>
      <c r="AEF3" s="182"/>
      <c r="AEG3" s="182"/>
      <c r="AEH3" s="182"/>
      <c r="AEI3" s="182"/>
      <c r="AEJ3" s="182"/>
      <c r="AEK3" s="182"/>
      <c r="AEL3" s="182"/>
      <c r="AEM3" s="182"/>
      <c r="AEN3" s="182"/>
      <c r="AEO3" s="182"/>
      <c r="AEP3" s="182"/>
      <c r="AEQ3" s="182"/>
      <c r="AER3" s="182"/>
      <c r="AES3" s="182"/>
      <c r="AET3" s="182"/>
      <c r="AEU3" s="182"/>
      <c r="AEV3" s="182"/>
      <c r="AEW3" s="182"/>
      <c r="AEX3" s="182"/>
      <c r="AEY3" s="182"/>
      <c r="AEZ3" s="182"/>
      <c r="AFA3" s="182"/>
      <c r="AFB3" s="182"/>
      <c r="AFC3" s="182"/>
      <c r="AFD3" s="182"/>
      <c r="AFE3" s="182"/>
      <c r="AFF3" s="182"/>
      <c r="AFG3" s="182"/>
      <c r="AFH3" s="182"/>
      <c r="AFI3" s="182"/>
      <c r="AFJ3" s="182"/>
      <c r="AFK3" s="182"/>
      <c r="AFL3" s="182"/>
      <c r="AFM3" s="182"/>
      <c r="AFN3" s="182"/>
      <c r="AFO3" s="182"/>
      <c r="AFP3" s="182"/>
      <c r="AFQ3" s="182"/>
      <c r="AFR3" s="182"/>
      <c r="AFS3" s="182"/>
      <c r="AFT3" s="182"/>
      <c r="AFU3" s="182"/>
      <c r="AFV3" s="182"/>
      <c r="AFW3" s="182"/>
      <c r="AFX3" s="182"/>
      <c r="AFY3" s="182"/>
      <c r="AFZ3" s="182"/>
      <c r="AGA3" s="182"/>
      <c r="AGB3" s="182"/>
      <c r="AGC3" s="182"/>
      <c r="AGD3" s="182"/>
      <c r="AGE3" s="182"/>
      <c r="AGF3" s="182"/>
      <c r="AGG3" s="182"/>
      <c r="AGH3" s="182"/>
      <c r="AGI3" s="182"/>
      <c r="AGJ3" s="182"/>
      <c r="AGK3" s="182"/>
      <c r="AGL3" s="182"/>
      <c r="AGM3" s="182"/>
      <c r="AGN3" s="182"/>
      <c r="AGO3" s="182"/>
      <c r="AGP3" s="182"/>
      <c r="AGQ3" s="182"/>
      <c r="AGR3" s="182"/>
      <c r="AGS3" s="182"/>
      <c r="AGT3" s="182"/>
      <c r="AGU3" s="182"/>
      <c r="AGV3" s="182"/>
      <c r="AGW3" s="182"/>
      <c r="AGX3" s="182"/>
      <c r="AGY3" s="182"/>
      <c r="AGZ3" s="182"/>
      <c r="AHA3" s="182"/>
      <c r="AHB3" s="182"/>
      <c r="AHC3" s="182"/>
      <c r="AHD3" s="182"/>
      <c r="AHE3" s="182"/>
      <c r="AHF3" s="182"/>
      <c r="AHG3" s="182"/>
      <c r="AHH3" s="182"/>
      <c r="AHI3" s="182"/>
      <c r="AHJ3" s="182"/>
      <c r="AHK3" s="182"/>
      <c r="AHL3" s="182"/>
      <c r="AHM3" s="182"/>
      <c r="AHN3" s="182"/>
      <c r="AHO3" s="182"/>
      <c r="AHP3" s="182"/>
      <c r="AHQ3" s="182"/>
      <c r="AHR3" s="182"/>
      <c r="AHS3" s="182"/>
      <c r="AHT3" s="182"/>
      <c r="AHU3" s="182"/>
      <c r="AHV3" s="182"/>
      <c r="AHW3" s="182"/>
      <c r="AHX3" s="182"/>
      <c r="AHY3" s="182"/>
      <c r="AHZ3" s="182"/>
      <c r="AIA3" s="182"/>
      <c r="AIB3" s="182"/>
      <c r="AIC3" s="182"/>
      <c r="AID3" s="182"/>
      <c r="AIE3" s="182"/>
      <c r="AIF3" s="182"/>
      <c r="AIG3" s="182"/>
      <c r="AIH3" s="182"/>
      <c r="AII3" s="182"/>
      <c r="AIJ3" s="182"/>
      <c r="AIK3" s="182"/>
      <c r="AIL3" s="182"/>
      <c r="AIM3" s="182"/>
      <c r="AIN3" s="182"/>
      <c r="AIO3" s="182"/>
      <c r="AIP3" s="182"/>
      <c r="AIQ3" s="182"/>
      <c r="AIR3" s="182"/>
      <c r="AIS3" s="182"/>
      <c r="AIT3" s="182"/>
      <c r="AIU3" s="182"/>
      <c r="AIV3" s="182"/>
      <c r="AIW3" s="182"/>
      <c r="AIX3" s="182"/>
      <c r="AIY3" s="182"/>
      <c r="AIZ3" s="182"/>
      <c r="AJA3" s="182"/>
      <c r="AJB3" s="182"/>
      <c r="AJC3" s="182"/>
      <c r="AJD3" s="182"/>
      <c r="AJE3" s="182"/>
      <c r="AJF3" s="182"/>
      <c r="AJG3" s="182"/>
      <c r="AJH3" s="182"/>
      <c r="AJI3" s="182"/>
      <c r="AJJ3" s="182"/>
      <c r="AJK3" s="182"/>
      <c r="AJL3" s="182"/>
      <c r="AJM3" s="182"/>
      <c r="AJN3" s="182"/>
      <c r="AJO3" s="182"/>
      <c r="AJP3" s="182"/>
      <c r="AJQ3" s="182"/>
      <c r="AJR3" s="182"/>
      <c r="AJS3" s="182"/>
      <c r="AJT3" s="182"/>
      <c r="AJU3" s="182"/>
      <c r="AJV3" s="182"/>
      <c r="AJW3" s="182"/>
      <c r="AJX3" s="182"/>
      <c r="AJY3" s="182"/>
      <c r="AJZ3" s="182"/>
      <c r="AKA3" s="182"/>
      <c r="AKB3" s="182"/>
      <c r="AKC3" s="182"/>
      <c r="AKD3" s="182"/>
      <c r="AKE3" s="182"/>
      <c r="AKF3" s="182"/>
      <c r="AKG3" s="182"/>
      <c r="AKH3" s="182"/>
      <c r="AKI3" s="182"/>
      <c r="AKJ3" s="182"/>
      <c r="AKK3" s="182"/>
      <c r="AKL3" s="182"/>
      <c r="AKM3" s="182"/>
      <c r="AKN3" s="182"/>
      <c r="AKO3" s="182"/>
      <c r="AKP3" s="182"/>
      <c r="AKQ3" s="182"/>
      <c r="AKR3" s="182"/>
      <c r="AKS3" s="182"/>
      <c r="AKT3" s="182"/>
      <c r="AKU3" s="182"/>
      <c r="AKV3" s="182"/>
      <c r="AKW3" s="182"/>
      <c r="AKX3" s="182"/>
      <c r="AKY3" s="182"/>
      <c r="AKZ3" s="182"/>
      <c r="ALA3" s="182"/>
      <c r="ALB3" s="182"/>
      <c r="ALC3" s="182"/>
      <c r="ALD3" s="182"/>
      <c r="ALE3" s="182"/>
      <c r="ALF3" s="182"/>
      <c r="ALG3" s="182"/>
      <c r="ALH3" s="182"/>
      <c r="ALI3" s="182"/>
      <c r="ALJ3" s="182"/>
      <c r="ALK3" s="182"/>
      <c r="ALL3" s="182"/>
      <c r="ALM3" s="182"/>
      <c r="ALN3" s="182"/>
      <c r="ALO3" s="182"/>
      <c r="ALP3" s="182"/>
      <c r="ALQ3" s="182"/>
      <c r="ALR3" s="182"/>
      <c r="ALS3" s="182"/>
      <c r="ALT3" s="182"/>
      <c r="ALU3" s="182"/>
      <c r="ALV3" s="182"/>
      <c r="ALW3" s="182"/>
      <c r="ALX3" s="182"/>
      <c r="ALY3" s="182"/>
      <c r="ALZ3" s="182"/>
      <c r="AMA3" s="182"/>
      <c r="AMB3" s="182"/>
      <c r="AMC3" s="182"/>
      <c r="AMD3" s="182"/>
      <c r="AME3" s="182"/>
      <c r="AMF3" s="182"/>
      <c r="AMG3" s="182"/>
      <c r="AMH3" s="182"/>
      <c r="AMI3" s="182"/>
      <c r="AMJ3" s="182"/>
      <c r="AMK3" s="182"/>
      <c r="AML3" s="182"/>
      <c r="AMM3" s="182"/>
      <c r="AMN3" s="182"/>
      <c r="AMO3" s="182"/>
      <c r="AMP3" s="182"/>
      <c r="AMQ3" s="182"/>
      <c r="AMR3" s="182"/>
      <c r="AMS3" s="182"/>
      <c r="AMT3" s="182"/>
      <c r="AMU3" s="182"/>
      <c r="AMV3" s="182"/>
      <c r="AMW3" s="182"/>
      <c r="AMX3" s="182"/>
      <c r="AMY3" s="182"/>
      <c r="AMZ3" s="182"/>
      <c r="ANA3" s="182"/>
      <c r="ANB3" s="182"/>
      <c r="ANC3" s="182"/>
      <c r="AND3" s="182"/>
      <c r="ANE3" s="182"/>
      <c r="ANF3" s="182"/>
      <c r="ANG3" s="182"/>
      <c r="ANH3" s="182"/>
      <c r="ANI3" s="182"/>
      <c r="ANJ3" s="182"/>
      <c r="ANK3" s="182"/>
      <c r="ANL3" s="182"/>
      <c r="ANM3" s="182"/>
      <c r="ANN3" s="182"/>
      <c r="ANO3" s="182"/>
      <c r="ANP3" s="182"/>
      <c r="ANQ3" s="182"/>
      <c r="ANR3" s="182"/>
      <c r="ANS3" s="182"/>
      <c r="ANT3" s="182"/>
      <c r="ANU3" s="182"/>
      <c r="ANV3" s="182"/>
      <c r="ANW3" s="182"/>
      <c r="ANX3" s="182"/>
      <c r="ANY3" s="182"/>
      <c r="ANZ3" s="182"/>
      <c r="AOA3" s="182"/>
      <c r="AOB3" s="182"/>
      <c r="AOC3" s="182"/>
      <c r="AOD3" s="182"/>
      <c r="AOE3" s="182"/>
      <c r="AOF3" s="182"/>
      <c r="AOG3" s="182"/>
      <c r="AOH3" s="182"/>
      <c r="AOI3" s="182"/>
      <c r="AOJ3" s="182"/>
      <c r="AOK3" s="182"/>
      <c r="AOL3" s="182"/>
    </row>
    <row r="4" spans="1:1087" s="154" customFormat="1" ht="106.2" customHeight="1" thickTop="1" thickBot="1">
      <c r="A4" s="176" t="s">
        <v>681</v>
      </c>
      <c r="B4" s="176" t="s">
        <v>681</v>
      </c>
      <c r="FB4" s="182"/>
      <c r="FC4" s="182"/>
      <c r="FD4" s="182"/>
      <c r="FE4" s="182"/>
      <c r="FF4" s="182"/>
      <c r="FG4" s="182"/>
      <c r="FH4" s="182"/>
      <c r="FI4" s="182"/>
      <c r="FJ4" s="182"/>
      <c r="FK4" s="182"/>
      <c r="FL4" s="182"/>
      <c r="FM4" s="182"/>
      <c r="FN4" s="182"/>
      <c r="FO4" s="182"/>
      <c r="FP4" s="182"/>
      <c r="FQ4" s="182"/>
      <c r="FR4" s="182"/>
      <c r="FS4" s="182"/>
      <c r="FT4" s="182"/>
      <c r="FU4" s="182"/>
      <c r="FV4" s="182"/>
      <c r="FW4" s="182"/>
      <c r="FX4" s="182"/>
      <c r="FY4" s="182"/>
      <c r="FZ4" s="182"/>
      <c r="GA4" s="182"/>
      <c r="GB4" s="182"/>
      <c r="GC4" s="182"/>
      <c r="GD4" s="182"/>
      <c r="GE4" s="182"/>
      <c r="GF4" s="182"/>
      <c r="GG4" s="182"/>
      <c r="GH4" s="182"/>
      <c r="GI4" s="182"/>
      <c r="GJ4" s="182"/>
      <c r="GK4" s="182"/>
      <c r="GL4" s="182"/>
      <c r="GM4" s="182"/>
      <c r="GN4" s="182"/>
      <c r="GO4" s="182"/>
      <c r="GP4" s="182"/>
      <c r="GQ4" s="182"/>
      <c r="GR4" s="182"/>
      <c r="GS4" s="182"/>
      <c r="GT4" s="182"/>
      <c r="GU4" s="182"/>
      <c r="GV4" s="182"/>
      <c r="GW4" s="182"/>
      <c r="GX4" s="182"/>
      <c r="GY4" s="182"/>
      <c r="GZ4" s="182"/>
      <c r="HA4" s="182"/>
      <c r="HB4" s="182"/>
      <c r="HC4" s="182"/>
      <c r="HD4" s="182"/>
      <c r="HE4" s="182"/>
      <c r="HF4" s="182"/>
      <c r="HG4" s="182"/>
      <c r="HH4" s="182"/>
      <c r="HI4" s="182"/>
      <c r="HJ4" s="182"/>
      <c r="HK4" s="182"/>
      <c r="HL4" s="182"/>
      <c r="HM4" s="182"/>
      <c r="HN4" s="182"/>
      <c r="HO4" s="182"/>
      <c r="HP4" s="182"/>
      <c r="HQ4" s="182"/>
      <c r="HR4" s="182"/>
      <c r="HS4" s="182"/>
      <c r="HT4" s="182"/>
      <c r="HU4" s="182"/>
      <c r="HV4" s="182"/>
      <c r="HW4" s="182"/>
      <c r="HX4" s="182"/>
      <c r="HY4" s="182"/>
      <c r="HZ4" s="182"/>
      <c r="IA4" s="182"/>
      <c r="IB4" s="182"/>
      <c r="IC4" s="182"/>
      <c r="ID4" s="182"/>
      <c r="IE4" s="182"/>
      <c r="IF4" s="182"/>
      <c r="IG4" s="182"/>
      <c r="IH4" s="182"/>
      <c r="II4" s="182"/>
      <c r="IJ4" s="182"/>
      <c r="IK4" s="182"/>
      <c r="IL4" s="182"/>
      <c r="IM4" s="182"/>
      <c r="IN4" s="182"/>
      <c r="IO4" s="182"/>
      <c r="IP4" s="182"/>
      <c r="IQ4" s="182"/>
      <c r="IR4" s="182"/>
      <c r="IS4" s="182"/>
      <c r="IT4" s="182"/>
      <c r="IU4" s="182"/>
      <c r="IV4" s="182"/>
      <c r="IW4" s="182"/>
      <c r="IX4" s="182"/>
      <c r="IY4" s="182"/>
      <c r="IZ4" s="182"/>
      <c r="JA4" s="182"/>
      <c r="JB4" s="182"/>
      <c r="JC4" s="182"/>
      <c r="JD4" s="182"/>
      <c r="JE4" s="182"/>
      <c r="JF4" s="182"/>
      <c r="JG4" s="182"/>
      <c r="JH4" s="182"/>
      <c r="JI4" s="182"/>
      <c r="JJ4" s="182"/>
      <c r="JK4" s="182"/>
      <c r="JL4" s="182"/>
      <c r="JM4" s="182"/>
      <c r="JN4" s="182"/>
      <c r="JO4" s="182"/>
      <c r="JP4" s="182"/>
      <c r="JQ4" s="182"/>
      <c r="JR4" s="182"/>
      <c r="JS4" s="182"/>
      <c r="JT4" s="182"/>
      <c r="JU4" s="182"/>
      <c r="JV4" s="182"/>
      <c r="JW4" s="182"/>
      <c r="JX4" s="182"/>
      <c r="JY4" s="182"/>
      <c r="JZ4" s="182"/>
      <c r="KA4" s="182"/>
      <c r="KB4" s="182"/>
      <c r="KC4" s="182"/>
      <c r="KD4" s="182"/>
      <c r="KE4" s="182"/>
      <c r="KF4" s="182"/>
      <c r="KG4" s="182"/>
      <c r="KH4" s="182"/>
      <c r="KI4" s="182"/>
      <c r="KJ4" s="182"/>
      <c r="KK4" s="182"/>
      <c r="KL4" s="182"/>
      <c r="KM4" s="182"/>
      <c r="KN4" s="182"/>
      <c r="KO4" s="182"/>
      <c r="KP4" s="182"/>
      <c r="KQ4" s="182"/>
      <c r="KR4" s="182"/>
      <c r="KS4" s="182"/>
      <c r="KT4" s="182"/>
      <c r="KU4" s="182"/>
      <c r="KV4" s="182"/>
      <c r="KW4" s="182"/>
      <c r="KX4" s="182"/>
      <c r="KY4" s="182"/>
      <c r="KZ4" s="182"/>
      <c r="LA4" s="182"/>
      <c r="LB4" s="182"/>
      <c r="LC4" s="182"/>
      <c r="LD4" s="182"/>
      <c r="LE4" s="182"/>
      <c r="LF4" s="182"/>
      <c r="LG4" s="182"/>
      <c r="LH4" s="182"/>
      <c r="LI4" s="182"/>
      <c r="LJ4" s="182"/>
      <c r="LK4" s="182"/>
      <c r="LL4" s="182"/>
      <c r="LM4" s="182"/>
      <c r="LN4" s="182"/>
      <c r="LO4" s="182"/>
      <c r="LP4" s="182"/>
      <c r="LQ4" s="182"/>
      <c r="LR4" s="182"/>
      <c r="LS4" s="182"/>
      <c r="LT4" s="182"/>
      <c r="LU4" s="182"/>
      <c r="LV4" s="182"/>
      <c r="LW4" s="182"/>
      <c r="LX4" s="182"/>
      <c r="LY4" s="182"/>
      <c r="LZ4" s="182"/>
      <c r="MA4" s="182"/>
      <c r="MB4" s="182"/>
      <c r="MC4" s="182"/>
      <c r="MD4" s="182"/>
      <c r="ME4" s="182"/>
      <c r="MF4" s="182"/>
      <c r="MG4" s="182"/>
      <c r="MH4" s="182"/>
      <c r="MI4" s="182"/>
      <c r="MJ4" s="182"/>
      <c r="MK4" s="182"/>
      <c r="ML4" s="182"/>
      <c r="MM4" s="182"/>
      <c r="MN4" s="182"/>
      <c r="MO4" s="182"/>
      <c r="MP4" s="182"/>
      <c r="MQ4" s="182"/>
      <c r="MR4" s="182"/>
      <c r="MS4" s="182"/>
      <c r="MT4" s="182"/>
      <c r="MU4" s="182"/>
      <c r="MV4" s="182"/>
      <c r="MW4" s="182"/>
      <c r="MX4" s="182"/>
      <c r="MY4" s="182"/>
      <c r="MZ4" s="182"/>
      <c r="NA4" s="182"/>
      <c r="NB4" s="182"/>
      <c r="NC4" s="182"/>
      <c r="ND4" s="182"/>
      <c r="NE4" s="182"/>
      <c r="NF4" s="182"/>
      <c r="NG4" s="182"/>
      <c r="NH4" s="182"/>
      <c r="NI4" s="182"/>
      <c r="NJ4" s="182"/>
      <c r="NK4" s="182"/>
      <c r="NL4" s="182"/>
      <c r="NM4" s="182"/>
      <c r="NN4" s="182"/>
      <c r="NO4" s="182"/>
      <c r="NP4" s="182"/>
      <c r="NQ4" s="182"/>
      <c r="NR4" s="182"/>
      <c r="NS4" s="182"/>
      <c r="NT4" s="182"/>
      <c r="NU4" s="182"/>
      <c r="NV4" s="182"/>
      <c r="NW4" s="182"/>
      <c r="NX4" s="182"/>
      <c r="NY4" s="182"/>
      <c r="NZ4" s="182"/>
      <c r="OA4" s="182"/>
      <c r="OB4" s="182"/>
      <c r="OC4" s="182"/>
      <c r="OD4" s="182"/>
      <c r="OE4" s="182"/>
      <c r="OF4" s="182"/>
      <c r="OG4" s="182"/>
      <c r="OH4" s="182"/>
      <c r="OI4" s="182"/>
      <c r="OJ4" s="182"/>
      <c r="OK4" s="182"/>
      <c r="OL4" s="182"/>
      <c r="OM4" s="182"/>
      <c r="ON4" s="182"/>
      <c r="OO4" s="182"/>
      <c r="OP4" s="182"/>
      <c r="OQ4" s="182"/>
      <c r="OR4" s="182"/>
      <c r="OS4" s="182"/>
      <c r="OT4" s="182"/>
      <c r="OU4" s="182"/>
      <c r="OV4" s="182"/>
      <c r="OW4" s="182"/>
      <c r="OX4" s="182"/>
      <c r="OY4" s="182"/>
      <c r="OZ4" s="182"/>
      <c r="PA4" s="182"/>
      <c r="PB4" s="182"/>
      <c r="PC4" s="182"/>
      <c r="PD4" s="182"/>
      <c r="PE4" s="182"/>
      <c r="PF4" s="182"/>
      <c r="PG4" s="182"/>
      <c r="PH4" s="182"/>
      <c r="PI4" s="182"/>
      <c r="PJ4" s="182"/>
      <c r="PK4" s="182"/>
      <c r="PL4" s="182"/>
      <c r="PM4" s="182"/>
      <c r="PN4" s="182"/>
      <c r="PO4" s="182"/>
      <c r="PP4" s="182"/>
      <c r="PQ4" s="182"/>
      <c r="PR4" s="182"/>
      <c r="PS4" s="182"/>
      <c r="PT4" s="182"/>
      <c r="PU4" s="182"/>
      <c r="PV4" s="182"/>
      <c r="PW4" s="182"/>
      <c r="PX4" s="182"/>
      <c r="PY4" s="182"/>
      <c r="PZ4" s="182"/>
      <c r="QA4" s="182"/>
      <c r="QB4" s="182"/>
      <c r="QC4" s="182"/>
      <c r="QD4" s="182"/>
      <c r="QE4" s="182"/>
      <c r="QF4" s="182"/>
      <c r="QG4" s="182"/>
      <c r="QH4" s="182"/>
      <c r="QI4" s="182"/>
      <c r="QJ4" s="182"/>
      <c r="QK4" s="182"/>
      <c r="QL4" s="182"/>
      <c r="QM4" s="182"/>
      <c r="QN4" s="182"/>
      <c r="QO4" s="182"/>
      <c r="QP4" s="182"/>
      <c r="QQ4" s="182"/>
      <c r="QR4" s="182"/>
      <c r="QS4" s="182"/>
      <c r="QT4" s="182"/>
      <c r="QU4" s="182"/>
      <c r="QV4" s="182"/>
      <c r="QW4" s="182"/>
      <c r="QX4" s="182"/>
      <c r="QY4" s="182"/>
      <c r="QZ4" s="182"/>
      <c r="RA4" s="182"/>
      <c r="RB4" s="182"/>
      <c r="RC4" s="182"/>
      <c r="RD4" s="182"/>
      <c r="RE4" s="182"/>
      <c r="RF4" s="182"/>
      <c r="RG4" s="182"/>
      <c r="RH4" s="182"/>
      <c r="RI4" s="182"/>
      <c r="RJ4" s="182"/>
      <c r="RK4" s="182"/>
      <c r="RL4" s="182"/>
      <c r="RM4" s="182"/>
      <c r="RN4" s="182"/>
      <c r="RO4" s="182"/>
      <c r="RP4" s="182"/>
      <c r="RQ4" s="182"/>
      <c r="RR4" s="182"/>
      <c r="RS4" s="182"/>
      <c r="RT4" s="182"/>
      <c r="RU4" s="182"/>
      <c r="RV4" s="182"/>
      <c r="RW4" s="182"/>
      <c r="RX4" s="182"/>
      <c r="RY4" s="182"/>
      <c r="RZ4" s="182"/>
      <c r="SA4" s="182"/>
      <c r="SB4" s="182"/>
      <c r="SC4" s="182"/>
      <c r="SD4" s="182"/>
      <c r="SE4" s="182"/>
      <c r="SF4" s="182"/>
      <c r="SG4" s="182"/>
      <c r="SH4" s="182"/>
      <c r="SI4" s="182"/>
      <c r="SJ4" s="182"/>
      <c r="SK4" s="182"/>
      <c r="SL4" s="182"/>
      <c r="SM4" s="182"/>
      <c r="SN4" s="182"/>
      <c r="SO4" s="182"/>
      <c r="SP4" s="182"/>
      <c r="SQ4" s="182"/>
      <c r="SR4" s="182"/>
      <c r="SS4" s="182"/>
      <c r="ST4" s="182"/>
      <c r="SU4" s="182"/>
      <c r="SV4" s="182"/>
      <c r="SW4" s="182"/>
      <c r="SX4" s="182"/>
      <c r="SY4" s="182"/>
      <c r="SZ4" s="182"/>
      <c r="TA4" s="182"/>
      <c r="TB4" s="182"/>
      <c r="TC4" s="182"/>
      <c r="TD4" s="182"/>
      <c r="TE4" s="182"/>
      <c r="TF4" s="182"/>
      <c r="TG4" s="182"/>
      <c r="TH4" s="182"/>
      <c r="TI4" s="182"/>
      <c r="TJ4" s="182"/>
      <c r="TK4" s="182"/>
      <c r="TL4" s="182"/>
      <c r="TM4" s="182"/>
      <c r="TN4" s="182"/>
      <c r="TO4" s="182"/>
      <c r="TP4" s="182"/>
      <c r="TQ4" s="182"/>
      <c r="TR4" s="182"/>
      <c r="TS4" s="182"/>
      <c r="TT4" s="182"/>
      <c r="TU4" s="182"/>
      <c r="TV4" s="182"/>
      <c r="TW4" s="182"/>
      <c r="TX4" s="182"/>
      <c r="TY4" s="182"/>
      <c r="TZ4" s="182"/>
      <c r="UA4" s="182"/>
      <c r="UB4" s="182"/>
      <c r="UC4" s="182"/>
      <c r="UD4" s="182"/>
      <c r="UE4" s="182"/>
      <c r="UF4" s="182"/>
      <c r="UG4" s="182"/>
      <c r="UH4" s="182"/>
      <c r="UI4" s="182"/>
      <c r="UJ4" s="182"/>
      <c r="UK4" s="182"/>
      <c r="UL4" s="182"/>
      <c r="UM4" s="182"/>
      <c r="UN4" s="182"/>
      <c r="UO4" s="182"/>
      <c r="UP4" s="182"/>
      <c r="UQ4" s="182"/>
      <c r="UR4" s="182"/>
      <c r="US4" s="182"/>
      <c r="UT4" s="182"/>
      <c r="UU4" s="182"/>
      <c r="UV4" s="182"/>
      <c r="UW4" s="634" t="s">
        <v>668</v>
      </c>
      <c r="UX4" s="635"/>
      <c r="UY4" s="635"/>
      <c r="UZ4" s="635"/>
      <c r="VA4" s="635"/>
      <c r="VB4" s="635"/>
      <c r="VC4" s="635"/>
      <c r="VD4" s="635"/>
      <c r="VE4" s="635"/>
      <c r="VF4" s="635"/>
      <c r="VG4" s="635"/>
      <c r="VH4" s="635"/>
      <c r="VI4" s="635"/>
      <c r="VJ4" s="635"/>
      <c r="VK4" s="635"/>
      <c r="VL4" s="635"/>
      <c r="VM4" s="635"/>
      <c r="VN4" s="635"/>
      <c r="VO4" s="635"/>
      <c r="VP4" s="636"/>
      <c r="VQ4" s="636"/>
      <c r="VR4" s="636"/>
      <c r="VS4" s="636"/>
      <c r="VT4" s="636"/>
      <c r="VU4" s="636"/>
      <c r="VV4" s="636"/>
      <c r="VW4" s="636"/>
      <c r="VX4" s="636"/>
      <c r="VY4" s="636"/>
      <c r="VZ4" s="636"/>
      <c r="WA4" s="636"/>
      <c r="WB4" s="636"/>
      <c r="WC4" s="636"/>
      <c r="WD4" s="636"/>
      <c r="WE4" s="636"/>
      <c r="WF4" s="636"/>
      <c r="WG4" s="636"/>
      <c r="WH4" s="636"/>
      <c r="WI4" s="636"/>
      <c r="WJ4" s="636"/>
      <c r="WK4" s="636"/>
      <c r="WL4" s="636"/>
      <c r="WM4" s="636"/>
      <c r="WN4" s="636"/>
      <c r="WO4" s="636"/>
      <c r="WP4" s="636"/>
      <c r="WQ4" s="636"/>
      <c r="WR4" s="636"/>
      <c r="WS4" s="636"/>
      <c r="WT4" s="636"/>
      <c r="WU4" s="636"/>
      <c r="WV4" s="636"/>
      <c r="WW4" s="636"/>
      <c r="WX4" s="636"/>
      <c r="WY4" s="636"/>
      <c r="WZ4" s="636"/>
      <c r="XA4" s="636"/>
      <c r="XB4" s="636"/>
      <c r="XC4" s="636"/>
      <c r="XD4" s="636"/>
      <c r="XE4" s="636"/>
      <c r="XF4" s="636"/>
      <c r="XG4" s="636"/>
      <c r="XH4" s="636"/>
      <c r="XI4" s="636"/>
      <c r="XJ4" s="636"/>
      <c r="XK4" s="636"/>
      <c r="XL4" s="636"/>
      <c r="XM4" s="636"/>
      <c r="XN4" s="636"/>
      <c r="XO4" s="636"/>
      <c r="XP4" s="636"/>
      <c r="XQ4" s="636"/>
      <c r="XR4" s="636"/>
      <c r="XS4" s="636"/>
      <c r="XT4" s="636"/>
      <c r="XU4" s="636"/>
      <c r="XV4" s="636"/>
      <c r="XW4" s="636"/>
      <c r="XX4" s="636"/>
      <c r="XY4" s="635"/>
      <c r="XZ4" s="635"/>
      <c r="YA4" s="635"/>
      <c r="YB4" s="635"/>
      <c r="YC4" s="635"/>
      <c r="YD4" s="635"/>
      <c r="YE4" s="635"/>
      <c r="YF4" s="635"/>
      <c r="YG4" s="635"/>
      <c r="YH4" s="635"/>
      <c r="YI4" s="635"/>
      <c r="YJ4" s="635"/>
      <c r="YK4" s="635"/>
      <c r="YL4" s="635"/>
      <c r="YM4" s="635"/>
      <c r="YN4" s="635"/>
      <c r="YO4" s="635"/>
      <c r="YP4" s="637"/>
      <c r="YQ4" s="182"/>
      <c r="YR4" s="182"/>
      <c r="YS4" s="182"/>
      <c r="YT4" s="182"/>
      <c r="YU4" s="182"/>
      <c r="YV4" s="182"/>
      <c r="YW4" s="182"/>
      <c r="YX4" s="182"/>
      <c r="YY4" s="182"/>
      <c r="YZ4" s="182"/>
      <c r="ZA4" s="182"/>
      <c r="ZB4" s="182"/>
      <c r="ZC4" s="182"/>
      <c r="ZD4" s="182"/>
      <c r="ZE4" s="182"/>
      <c r="ZF4" s="182"/>
      <c r="ZG4" s="182"/>
      <c r="ZH4" s="182"/>
      <c r="ZI4" s="182"/>
      <c r="ZJ4" s="182"/>
      <c r="ZK4" s="182"/>
      <c r="ZL4" s="182"/>
      <c r="ZM4" s="182"/>
      <c r="ZN4" s="182"/>
      <c r="ZO4" s="182"/>
      <c r="ZP4" s="182"/>
      <c r="ZQ4" s="182"/>
      <c r="ZR4" s="182"/>
      <c r="ZS4" s="182"/>
      <c r="ZT4" s="182"/>
      <c r="ZU4" s="182"/>
      <c r="ZV4" s="182"/>
      <c r="ZW4" s="182"/>
      <c r="ZX4" s="182"/>
      <c r="ZY4" s="182"/>
      <c r="ZZ4" s="182"/>
      <c r="AAA4" s="182"/>
      <c r="AAB4" s="182"/>
      <c r="AAC4" s="182"/>
      <c r="AAD4" s="182"/>
      <c r="AAE4" s="182"/>
      <c r="AAF4" s="182"/>
      <c r="AAG4" s="182"/>
      <c r="AAH4" s="182"/>
      <c r="AAI4" s="182"/>
      <c r="AAJ4" s="182"/>
      <c r="AAK4" s="182"/>
      <c r="AAL4" s="182"/>
      <c r="AAM4" s="182"/>
      <c r="AAN4" s="182"/>
      <c r="AAO4" s="182"/>
      <c r="AAP4" s="182"/>
      <c r="AAQ4" s="182"/>
      <c r="AAR4" s="182"/>
      <c r="AAS4" s="182"/>
      <c r="AAT4" s="182"/>
      <c r="AAU4" s="182"/>
      <c r="AAV4" s="182"/>
      <c r="AAW4" s="182"/>
      <c r="AAX4" s="182"/>
      <c r="AAY4" s="182"/>
      <c r="AAZ4" s="182"/>
      <c r="ABA4" s="638" t="s">
        <v>668</v>
      </c>
      <c r="ABB4" s="639"/>
      <c r="ABC4" s="639"/>
      <c r="ABD4" s="639"/>
      <c r="ABE4" s="639"/>
      <c r="ABF4" s="639"/>
      <c r="ABG4" s="639"/>
      <c r="ABH4" s="639"/>
      <c r="ABI4" s="639"/>
      <c r="ABJ4" s="639"/>
      <c r="ABK4" s="639"/>
      <c r="ABL4" s="639"/>
      <c r="ABM4" s="639"/>
      <c r="ABN4" s="639"/>
      <c r="ABO4" s="639"/>
      <c r="ABP4" s="639"/>
      <c r="ABQ4" s="639"/>
      <c r="ABR4" s="639"/>
      <c r="ABS4" s="639"/>
      <c r="ABT4" s="639"/>
      <c r="ABU4" s="639"/>
      <c r="ABV4" s="639"/>
      <c r="ABW4" s="639"/>
      <c r="ABX4" s="639"/>
      <c r="ABY4" s="639"/>
      <c r="ABZ4" s="639"/>
      <c r="ACA4" s="639"/>
      <c r="ACB4" s="639"/>
      <c r="ACC4" s="639"/>
      <c r="ACD4" s="639"/>
      <c r="ACE4" s="639"/>
      <c r="ACF4" s="639"/>
      <c r="ACG4" s="639"/>
      <c r="ACH4" s="639"/>
      <c r="ACI4" s="639"/>
      <c r="ACJ4" s="639"/>
      <c r="ACK4" s="639"/>
      <c r="ACL4" s="639"/>
      <c r="ACM4" s="639"/>
      <c r="ACN4" s="639"/>
      <c r="ACO4" s="639"/>
      <c r="ACP4" s="639"/>
      <c r="ACQ4" s="639"/>
      <c r="ACR4" s="639"/>
      <c r="ACS4" s="639"/>
      <c r="ACT4" s="639"/>
      <c r="ACU4" s="639"/>
      <c r="ACV4" s="639"/>
      <c r="ACW4" s="639"/>
      <c r="ACX4" s="639"/>
      <c r="ACY4" s="639"/>
      <c r="ACZ4" s="639"/>
      <c r="ADA4" s="639"/>
      <c r="ADB4" s="639"/>
      <c r="ADC4" s="639"/>
      <c r="ADD4" s="639"/>
      <c r="ADE4" s="639"/>
      <c r="ADF4" s="639"/>
      <c r="ADG4" s="639"/>
      <c r="ADH4" s="639"/>
      <c r="ADI4" s="639"/>
      <c r="ADJ4" s="639"/>
      <c r="ADK4" s="639"/>
      <c r="ADL4" s="639"/>
      <c r="ADM4" s="639"/>
      <c r="ADN4" s="639"/>
      <c r="ADO4" s="639"/>
      <c r="ADP4" s="639"/>
      <c r="ADQ4" s="639"/>
      <c r="ADR4" s="639"/>
      <c r="ADS4" s="639"/>
      <c r="ADT4" s="639"/>
      <c r="ADU4" s="639"/>
      <c r="ADV4" s="639"/>
      <c r="ADW4" s="639"/>
      <c r="ADX4" s="639"/>
      <c r="ADY4" s="639"/>
      <c r="ADZ4" s="639"/>
      <c r="AEA4" s="639"/>
      <c r="AEB4" s="639"/>
      <c r="AEC4" s="639"/>
      <c r="AED4" s="639"/>
      <c r="AEE4" s="639"/>
      <c r="AEF4" s="639"/>
      <c r="AEG4" s="639"/>
      <c r="AEH4" s="640"/>
      <c r="AEI4" s="640"/>
      <c r="AEJ4" s="640"/>
      <c r="AEK4" s="640"/>
      <c r="AEL4" s="640"/>
      <c r="AEM4" s="640"/>
      <c r="AEN4" s="640"/>
      <c r="AEO4" s="640"/>
      <c r="AEP4" s="640"/>
      <c r="AEQ4" s="640"/>
      <c r="AER4" s="640"/>
      <c r="AES4" s="640"/>
      <c r="AET4" s="640"/>
      <c r="AEU4" s="640"/>
      <c r="AEV4" s="640"/>
      <c r="AEW4" s="640"/>
      <c r="AEX4" s="640"/>
      <c r="AEY4" s="640"/>
      <c r="AEZ4" s="640"/>
      <c r="AFA4" s="640"/>
      <c r="AFB4" s="640"/>
      <c r="AFC4" s="640"/>
      <c r="AFD4" s="640"/>
      <c r="AFE4" s="640"/>
      <c r="AFF4" s="640"/>
      <c r="AFG4" s="640"/>
      <c r="AFH4" s="640"/>
      <c r="AFI4" s="640"/>
      <c r="AFJ4" s="640"/>
      <c r="AFK4" s="640"/>
      <c r="AFL4" s="640"/>
      <c r="AFM4" s="640"/>
      <c r="AFN4" s="640"/>
      <c r="AFO4" s="640"/>
      <c r="AFP4" s="640"/>
      <c r="AFQ4" s="640"/>
      <c r="AFR4" s="640"/>
      <c r="AFS4" s="640"/>
      <c r="AFT4" s="640"/>
      <c r="AFU4" s="640"/>
      <c r="AFV4" s="640"/>
      <c r="AFW4" s="640"/>
      <c r="AFX4" s="640"/>
      <c r="AFY4" s="640"/>
      <c r="AFZ4" s="640"/>
      <c r="AGA4" s="640"/>
      <c r="AGB4" s="640"/>
      <c r="AGC4" s="640"/>
      <c r="AGD4" s="640"/>
      <c r="AGE4" s="640"/>
      <c r="AGF4" s="640"/>
      <c r="AGG4" s="640"/>
      <c r="AGH4" s="640"/>
      <c r="AGI4" s="640"/>
      <c r="AGJ4" s="640"/>
      <c r="AGK4" s="640"/>
      <c r="AGL4" s="640"/>
      <c r="AGM4" s="640"/>
      <c r="AGN4" s="640"/>
      <c r="AGO4" s="640"/>
      <c r="AGP4" s="640"/>
      <c r="AGQ4" s="639"/>
      <c r="AGR4" s="639"/>
      <c r="AGS4" s="639"/>
      <c r="AGT4" s="641"/>
      <c r="AGU4" s="182"/>
      <c r="AGV4" s="182"/>
      <c r="AGW4" s="182"/>
      <c r="AGX4" s="182"/>
      <c r="AGY4" s="182"/>
      <c r="AGZ4" s="182"/>
      <c r="AHA4" s="182"/>
      <c r="AHB4" s="182"/>
      <c r="AHC4" s="182"/>
      <c r="AHD4" s="182"/>
      <c r="AHE4" s="182"/>
      <c r="AHF4" s="182"/>
      <c r="AHG4" s="182"/>
      <c r="AHH4" s="182"/>
      <c r="AHI4" s="182"/>
      <c r="AHJ4" s="182"/>
      <c r="AHK4" s="182"/>
      <c r="AHL4" s="182"/>
      <c r="AHM4" s="182"/>
      <c r="AHN4" s="182"/>
      <c r="AHO4" s="182"/>
      <c r="AHP4" s="182"/>
      <c r="AHQ4" s="182"/>
      <c r="AHR4" s="182"/>
      <c r="AHS4" s="182"/>
      <c r="AHT4" s="182"/>
      <c r="AHU4" s="182"/>
      <c r="AHV4" s="182"/>
      <c r="AHW4" s="182"/>
      <c r="AHX4" s="182"/>
      <c r="AHY4" s="182"/>
      <c r="AHZ4" s="182"/>
      <c r="AIA4" s="182"/>
      <c r="AIB4" s="182"/>
      <c r="AIC4" s="182"/>
      <c r="AID4" s="182"/>
      <c r="AIE4" s="182"/>
      <c r="AIF4" s="182"/>
      <c r="AIG4" s="182"/>
      <c r="AIH4" s="182"/>
      <c r="AII4" s="182"/>
      <c r="AIJ4" s="182"/>
      <c r="AIK4" s="182"/>
      <c r="AIL4" s="182"/>
      <c r="AIM4" s="182"/>
      <c r="AIN4" s="182"/>
      <c r="AIO4" s="182"/>
      <c r="AIP4" s="182"/>
      <c r="AIQ4" s="182"/>
      <c r="AIR4" s="182"/>
      <c r="AIS4" s="182"/>
      <c r="AIT4" s="182"/>
      <c r="AIU4" s="182"/>
      <c r="AIV4" s="182"/>
      <c r="AIW4" s="182"/>
      <c r="AIX4" s="182"/>
      <c r="AIY4" s="182"/>
      <c r="AIZ4" s="182"/>
      <c r="AJA4" s="182"/>
      <c r="AJB4" s="182"/>
      <c r="AJC4" s="182"/>
      <c r="AJD4" s="182"/>
      <c r="AJE4" s="182"/>
      <c r="AJF4" s="182"/>
      <c r="AJG4" s="182"/>
      <c r="AJH4" s="182"/>
      <c r="AJI4" s="182"/>
      <c r="AJJ4" s="182"/>
      <c r="AJK4" s="182"/>
      <c r="AJL4" s="182"/>
      <c r="AJM4" s="182"/>
      <c r="AJN4" s="182"/>
      <c r="AJO4" s="182"/>
      <c r="AJP4" s="182"/>
      <c r="AJQ4" s="182"/>
      <c r="AJR4" s="182"/>
      <c r="AJS4" s="182"/>
      <c r="AJT4" s="182"/>
      <c r="AJU4" s="182"/>
      <c r="AJV4" s="182"/>
      <c r="AJW4" s="182"/>
      <c r="AJX4" s="182"/>
      <c r="AJY4" s="182"/>
      <c r="AJZ4" s="182"/>
      <c r="AKA4" s="182"/>
      <c r="AKB4" s="182"/>
      <c r="AKC4" s="182"/>
      <c r="AKD4" s="182"/>
      <c r="AKE4" s="182"/>
      <c r="AKF4" s="182"/>
      <c r="AKG4" s="182"/>
      <c r="AKH4" s="182"/>
      <c r="AKI4" s="182"/>
      <c r="AKJ4" s="182"/>
      <c r="AKK4" s="182"/>
      <c r="AKL4" s="182"/>
      <c r="AKM4" s="182"/>
      <c r="AKN4" s="182"/>
      <c r="AKO4" s="182"/>
      <c r="AKP4" s="182"/>
      <c r="AKQ4" s="182"/>
      <c r="AKR4" s="182"/>
      <c r="AKS4" s="182"/>
      <c r="AKT4" s="182"/>
      <c r="AKU4" s="182"/>
      <c r="AKV4" s="182"/>
      <c r="AKW4" s="182"/>
      <c r="AKX4" s="182"/>
      <c r="AKY4" s="182"/>
      <c r="AKZ4" s="182"/>
      <c r="ALA4" s="182"/>
      <c r="ALB4" s="182"/>
      <c r="ALC4" s="182"/>
      <c r="ALD4" s="182"/>
      <c r="ALE4" s="182"/>
      <c r="ALF4" s="182"/>
      <c r="ALG4" s="182"/>
      <c r="ALH4" s="182"/>
      <c r="ALI4" s="182"/>
      <c r="ALJ4" s="182"/>
      <c r="ALK4" s="182"/>
      <c r="ALL4" s="182"/>
      <c r="ALM4" s="182"/>
      <c r="ALN4" s="182"/>
      <c r="ALO4" s="182"/>
      <c r="ALP4" s="182"/>
      <c r="ALQ4" s="182"/>
      <c r="ALR4" s="182"/>
      <c r="ALS4" s="182"/>
      <c r="ALT4" s="182"/>
      <c r="ALU4" s="182"/>
      <c r="ALV4" s="182"/>
      <c r="ALW4" s="182"/>
      <c r="ALX4" s="182"/>
      <c r="ALY4" s="182"/>
      <c r="ALZ4" s="182"/>
      <c r="AMA4" s="182"/>
      <c r="AMB4" s="182"/>
      <c r="AMC4" s="182"/>
      <c r="AMD4" s="182"/>
      <c r="AME4" s="182"/>
      <c r="AMF4" s="182"/>
      <c r="AMG4" s="182"/>
      <c r="AMH4" s="182"/>
      <c r="AMI4" s="182"/>
      <c r="AMJ4" s="182"/>
      <c r="AMK4" s="182"/>
      <c r="AML4" s="182"/>
      <c r="AMM4" s="182"/>
      <c r="AMN4" s="182"/>
      <c r="AMO4" s="182"/>
      <c r="AMP4" s="182"/>
      <c r="AMQ4" s="182"/>
      <c r="AMR4" s="182"/>
      <c r="AMS4" s="182"/>
      <c r="AMT4" s="182"/>
      <c r="AMU4" s="182"/>
      <c r="AMV4" s="182"/>
      <c r="AMW4" s="182"/>
      <c r="AMX4" s="182"/>
      <c r="AMY4" s="182"/>
      <c r="AMZ4" s="182"/>
      <c r="ANA4" s="182"/>
      <c r="ANB4" s="182"/>
      <c r="ANC4" s="182"/>
      <c r="AND4" s="182"/>
      <c r="ANE4" s="182"/>
      <c r="ANF4" s="182"/>
      <c r="ANG4" s="182"/>
      <c r="ANH4" s="182"/>
      <c r="ANI4" s="182"/>
      <c r="ANJ4" s="182"/>
      <c r="ANK4" s="182"/>
      <c r="ANL4" s="182"/>
      <c r="ANM4" s="182"/>
      <c r="ANN4" s="182"/>
      <c r="ANO4" s="182"/>
      <c r="ANP4" s="182"/>
      <c r="ANQ4" s="182"/>
      <c r="ANR4" s="182"/>
      <c r="ANS4" s="182"/>
      <c r="ANT4" s="182"/>
      <c r="ANU4" s="182"/>
      <c r="ANV4" s="182"/>
      <c r="ANW4" s="182"/>
      <c r="ANX4" s="182"/>
      <c r="ANY4" s="182"/>
      <c r="ANZ4" s="182"/>
      <c r="AOA4" s="182"/>
      <c r="AOB4" s="182"/>
      <c r="AOC4" s="182"/>
      <c r="AOD4" s="182"/>
      <c r="AOE4" s="182"/>
      <c r="AOF4" s="182"/>
      <c r="AOG4" s="182"/>
      <c r="AOH4" s="182"/>
      <c r="AOI4" s="182"/>
      <c r="AOJ4" s="182"/>
      <c r="AOK4" s="182"/>
      <c r="AOL4" s="182"/>
    </row>
    <row r="5" spans="1:1087" s="154" customFormat="1" ht="114" customHeight="1" thickTop="1" thickBot="1">
      <c r="A5" s="176" t="s">
        <v>612</v>
      </c>
      <c r="B5" s="176" t="s">
        <v>759</v>
      </c>
      <c r="CZ5" s="642" t="s">
        <v>142</v>
      </c>
      <c r="DA5" s="642"/>
      <c r="DB5" s="642"/>
      <c r="DC5" s="642"/>
      <c r="DD5" s="642"/>
      <c r="DE5" s="642"/>
      <c r="DF5" s="642"/>
      <c r="DG5" s="642"/>
      <c r="DH5" s="642"/>
      <c r="DI5" s="642"/>
      <c r="DJ5" s="642"/>
      <c r="DK5" s="642"/>
      <c r="DO5" s="643" t="s">
        <v>147</v>
      </c>
      <c r="DP5" s="643"/>
      <c r="DQ5" s="643"/>
      <c r="FB5" s="182"/>
      <c r="FC5" s="182"/>
      <c r="FD5" s="182"/>
      <c r="FE5" s="182"/>
      <c r="FF5" s="182"/>
      <c r="FG5" s="182"/>
      <c r="FH5" s="182"/>
      <c r="FI5" s="182"/>
      <c r="FJ5" s="182"/>
      <c r="FK5" s="182"/>
      <c r="FL5" s="182"/>
      <c r="FM5" s="182"/>
      <c r="FN5" s="182"/>
      <c r="FO5" s="182"/>
      <c r="FP5" s="182"/>
      <c r="FQ5" s="182"/>
      <c r="FR5" s="182"/>
      <c r="FS5" s="182"/>
      <c r="FT5" s="182"/>
      <c r="FU5" s="182"/>
      <c r="FV5" s="182"/>
      <c r="FW5" s="182"/>
      <c r="FX5" s="182"/>
      <c r="FY5" s="182"/>
      <c r="FZ5" s="182"/>
      <c r="GA5" s="182"/>
      <c r="GB5" s="182"/>
      <c r="GC5" s="182"/>
      <c r="GD5" s="182"/>
      <c r="GE5" s="182"/>
      <c r="GF5" s="182"/>
      <c r="GG5" s="182"/>
      <c r="GH5" s="182"/>
      <c r="GI5" s="182"/>
      <c r="GJ5" s="182"/>
      <c r="GK5" s="182"/>
      <c r="GL5" s="182"/>
      <c r="GM5" s="182"/>
      <c r="GN5" s="182"/>
      <c r="GO5" s="182"/>
      <c r="GP5" s="182"/>
      <c r="GQ5" s="182"/>
      <c r="GR5" s="182"/>
      <c r="GS5" s="182"/>
      <c r="GT5" s="182"/>
      <c r="GU5" s="182"/>
      <c r="GV5" s="182"/>
      <c r="GW5" s="182"/>
      <c r="GX5" s="182"/>
      <c r="GY5" s="182"/>
      <c r="GZ5" s="182"/>
      <c r="HA5" s="182"/>
      <c r="HB5" s="182"/>
      <c r="HC5" s="182"/>
      <c r="HD5" s="182"/>
      <c r="HE5" s="182"/>
      <c r="HF5" s="182"/>
      <c r="HG5" s="182"/>
      <c r="HH5" s="182"/>
      <c r="HI5" s="182"/>
      <c r="HJ5" s="182"/>
      <c r="HK5" s="182"/>
      <c r="HL5" s="644" t="s">
        <v>487</v>
      </c>
      <c r="HM5" s="644"/>
      <c r="HN5" s="644"/>
      <c r="HO5" s="644"/>
      <c r="HP5" s="644"/>
      <c r="HQ5" s="644"/>
      <c r="HR5" s="644"/>
      <c r="HS5" s="644"/>
      <c r="HT5" s="644"/>
      <c r="HU5" s="644"/>
      <c r="HV5" s="644"/>
      <c r="HW5" s="644"/>
      <c r="HX5" s="644"/>
      <c r="HY5" s="644"/>
      <c r="HZ5" s="644"/>
      <c r="IA5" s="644"/>
      <c r="IB5" s="644"/>
      <c r="IC5" s="644"/>
      <c r="ID5" s="644"/>
      <c r="IE5" s="644"/>
      <c r="IF5" s="644"/>
      <c r="IG5" s="182"/>
      <c r="IH5" s="182"/>
      <c r="II5" s="644" t="s">
        <v>150</v>
      </c>
      <c r="IJ5" s="644"/>
      <c r="IK5" s="644"/>
      <c r="IL5" s="644"/>
      <c r="IM5" s="644"/>
      <c r="IN5" s="644"/>
      <c r="IO5" s="644"/>
      <c r="IP5" s="644"/>
      <c r="IQ5" s="644"/>
      <c r="IR5" s="644"/>
      <c r="IS5" s="644"/>
      <c r="IT5" s="644"/>
      <c r="IU5" s="182"/>
      <c r="IV5" s="182"/>
      <c r="IW5" s="645" t="s">
        <v>154</v>
      </c>
      <c r="IX5" s="645"/>
      <c r="IY5" s="645"/>
      <c r="IZ5" s="182"/>
      <c r="JA5" s="182"/>
      <c r="JB5" s="182"/>
      <c r="JC5" s="182"/>
      <c r="JD5" s="182"/>
      <c r="JE5" s="182"/>
      <c r="JF5" s="182"/>
      <c r="JG5" s="182"/>
      <c r="JH5" s="182"/>
      <c r="JI5" s="182"/>
      <c r="JJ5" s="182"/>
      <c r="JK5" s="182"/>
      <c r="JL5" s="182"/>
      <c r="JM5" s="182"/>
      <c r="JN5" s="182"/>
      <c r="JO5" s="182"/>
      <c r="JP5" s="182"/>
      <c r="JQ5" s="182"/>
      <c r="JR5" s="182"/>
      <c r="JS5" s="182"/>
      <c r="JT5" s="182"/>
      <c r="JU5" s="182"/>
      <c r="JV5" s="182"/>
      <c r="JW5" s="182"/>
      <c r="JX5" s="182"/>
      <c r="JY5" s="182"/>
      <c r="JZ5" s="182"/>
      <c r="KA5" s="182"/>
      <c r="KB5" s="182"/>
      <c r="KC5" s="182"/>
      <c r="KD5" s="182"/>
      <c r="KE5" s="182"/>
      <c r="KF5" s="182"/>
      <c r="KG5" s="182"/>
      <c r="KH5" s="182"/>
      <c r="KI5" s="182"/>
      <c r="KJ5" s="182"/>
      <c r="KK5" s="182"/>
      <c r="KL5" s="182"/>
      <c r="KM5" s="182"/>
      <c r="KN5" s="182"/>
      <c r="KO5" s="182"/>
      <c r="KP5" s="182"/>
      <c r="KQ5" s="182"/>
      <c r="KR5" s="182"/>
      <c r="KS5" s="182"/>
      <c r="KT5" s="182"/>
      <c r="KU5" s="182"/>
      <c r="KV5" s="182"/>
      <c r="KW5" s="182"/>
      <c r="KX5" s="182"/>
      <c r="KY5" s="182"/>
      <c r="KZ5" s="182"/>
      <c r="LA5" s="182"/>
      <c r="LB5" s="182"/>
      <c r="LC5" s="182"/>
      <c r="LD5" s="182"/>
      <c r="LE5" s="182"/>
      <c r="LF5" s="182"/>
      <c r="LG5" s="182"/>
      <c r="LH5" s="182"/>
      <c r="LI5" s="182"/>
      <c r="LJ5" s="182"/>
      <c r="LK5" s="182"/>
      <c r="LL5" s="182"/>
      <c r="LM5" s="182"/>
      <c r="LN5" s="182"/>
      <c r="LO5" s="182"/>
      <c r="LP5" s="182"/>
      <c r="LQ5" s="182"/>
      <c r="LR5" s="182"/>
      <c r="LS5" s="182"/>
      <c r="LT5" s="182"/>
      <c r="LU5" s="182"/>
      <c r="LV5" s="182"/>
      <c r="LW5" s="182"/>
      <c r="LX5" s="182"/>
      <c r="LY5" s="182"/>
      <c r="LZ5" s="182"/>
      <c r="MA5" s="182"/>
      <c r="MB5" s="182"/>
      <c r="MC5" s="182"/>
      <c r="MD5" s="182"/>
      <c r="ME5" s="182"/>
      <c r="MF5" s="182"/>
      <c r="MG5" s="182"/>
      <c r="MH5" s="182"/>
      <c r="MI5" s="182"/>
      <c r="MJ5" s="182"/>
      <c r="MK5" s="182"/>
      <c r="ML5" s="182"/>
      <c r="MM5" s="182"/>
      <c r="MN5" s="182"/>
      <c r="MO5" s="182"/>
      <c r="MP5" s="182"/>
      <c r="MQ5" s="182"/>
      <c r="MR5" s="182"/>
      <c r="MS5" s="182"/>
      <c r="MT5" s="182"/>
      <c r="MU5" s="182"/>
      <c r="MV5" s="182"/>
      <c r="MW5" s="182"/>
      <c r="MX5" s="182"/>
      <c r="MY5" s="182"/>
      <c r="MZ5" s="182"/>
      <c r="NA5" s="182"/>
      <c r="NB5" s="182"/>
      <c r="NC5" s="182"/>
      <c r="ND5" s="182"/>
      <c r="NE5" s="182"/>
      <c r="NF5" s="182"/>
      <c r="NG5" s="182"/>
      <c r="NH5" s="182"/>
      <c r="NI5" s="182"/>
      <c r="NJ5" s="182"/>
      <c r="NK5" s="182"/>
      <c r="NL5" s="182"/>
      <c r="NM5" s="182"/>
      <c r="NN5" s="182"/>
      <c r="NO5" s="182"/>
      <c r="NP5" s="182"/>
      <c r="NQ5" s="182"/>
      <c r="NR5" s="182"/>
      <c r="NS5" s="182"/>
      <c r="NT5" s="182"/>
      <c r="NU5" s="182"/>
      <c r="NV5" s="182"/>
      <c r="NW5" s="182"/>
      <c r="NX5" s="182"/>
      <c r="NY5" s="182"/>
      <c r="NZ5" s="182"/>
      <c r="OA5" s="182"/>
      <c r="OB5" s="182"/>
      <c r="OC5" s="182"/>
      <c r="OD5" s="182"/>
      <c r="OE5" s="182"/>
      <c r="OF5" s="182"/>
      <c r="OG5" s="182"/>
      <c r="OH5" s="182"/>
      <c r="OI5" s="182"/>
      <c r="OJ5" s="182"/>
      <c r="OK5" s="182"/>
      <c r="OL5" s="182"/>
      <c r="OM5" s="182"/>
      <c r="ON5" s="182"/>
      <c r="OO5" s="182"/>
      <c r="OP5" s="182"/>
      <c r="OQ5" s="182"/>
      <c r="OR5" s="182"/>
      <c r="OS5" s="182"/>
      <c r="OT5" s="182"/>
      <c r="OU5" s="182"/>
      <c r="OV5" s="182"/>
      <c r="OW5" s="182"/>
      <c r="OX5" s="182"/>
      <c r="OY5" s="182"/>
      <c r="OZ5" s="182"/>
      <c r="PA5" s="182"/>
      <c r="PB5" s="182"/>
      <c r="PC5" s="182"/>
      <c r="PD5" s="182"/>
      <c r="PE5" s="182"/>
      <c r="PF5" s="182"/>
      <c r="PG5" s="182"/>
      <c r="PH5" s="182"/>
      <c r="PI5" s="182"/>
      <c r="PJ5" s="182"/>
      <c r="PK5" s="182"/>
      <c r="PL5" s="182"/>
      <c r="PM5" s="182"/>
      <c r="PN5" s="182"/>
      <c r="PO5" s="182"/>
      <c r="PP5" s="182"/>
      <c r="PQ5" s="182"/>
      <c r="PR5" s="182"/>
      <c r="PS5" s="182"/>
      <c r="PT5" s="182"/>
      <c r="PU5" s="182"/>
      <c r="PV5" s="182"/>
      <c r="PW5" s="182"/>
      <c r="PX5" s="182"/>
      <c r="PY5" s="182"/>
      <c r="PZ5" s="182"/>
      <c r="QA5" s="182"/>
      <c r="QB5" s="182"/>
      <c r="QC5" s="182"/>
      <c r="QD5" s="182"/>
      <c r="QE5" s="182"/>
      <c r="QF5" s="182"/>
      <c r="QG5" s="182"/>
      <c r="QH5" s="182"/>
      <c r="QI5" s="182"/>
      <c r="QJ5" s="182"/>
      <c r="QK5" s="182"/>
      <c r="QL5" s="182"/>
      <c r="QM5" s="182"/>
      <c r="QN5" s="182"/>
      <c r="QO5" s="182"/>
      <c r="QP5" s="182"/>
      <c r="QQ5" s="182"/>
      <c r="QR5" s="182"/>
      <c r="QS5" s="182"/>
      <c r="QT5" s="182"/>
      <c r="QU5" s="182"/>
      <c r="QV5" s="182"/>
      <c r="QW5" s="182"/>
      <c r="QX5" s="182"/>
      <c r="QY5" s="182"/>
      <c r="QZ5" s="182"/>
      <c r="RA5" s="182"/>
      <c r="RB5" s="182"/>
      <c r="RC5" s="182"/>
      <c r="RD5" s="182"/>
      <c r="RE5" s="182"/>
      <c r="RF5" s="182"/>
      <c r="RG5" s="182"/>
      <c r="RH5" s="182"/>
      <c r="RI5" s="182"/>
      <c r="RJ5" s="182"/>
      <c r="RK5" s="182"/>
      <c r="RL5" s="182"/>
      <c r="RM5" s="182"/>
      <c r="RN5" s="182"/>
      <c r="RO5" s="182"/>
      <c r="RP5" s="182"/>
      <c r="RQ5" s="182"/>
      <c r="RR5" s="182"/>
      <c r="RS5" s="182"/>
      <c r="RT5" s="182"/>
      <c r="RU5" s="182"/>
      <c r="RV5" s="182"/>
      <c r="RW5" s="182"/>
      <c r="RX5" s="182"/>
      <c r="RY5" s="182"/>
      <c r="RZ5" s="182"/>
      <c r="SA5" s="182"/>
      <c r="SB5" s="182"/>
      <c r="SC5" s="182"/>
      <c r="SD5" s="182"/>
      <c r="SE5" s="182"/>
      <c r="SF5" s="182"/>
      <c r="SG5" s="182"/>
      <c r="SH5" s="182"/>
      <c r="SI5" s="182"/>
      <c r="SJ5" s="182"/>
      <c r="SK5" s="182"/>
      <c r="SL5" s="182"/>
      <c r="SM5" s="182"/>
      <c r="SN5" s="182"/>
      <c r="SO5" s="182"/>
      <c r="SP5" s="182"/>
      <c r="SQ5" s="182"/>
      <c r="SR5" s="182"/>
      <c r="SS5" s="182"/>
      <c r="ST5" s="182"/>
      <c r="SU5" s="182"/>
      <c r="SV5" s="182"/>
      <c r="SW5" s="182"/>
      <c r="SX5" s="182"/>
      <c r="SY5" s="182"/>
      <c r="SZ5" s="182"/>
      <c r="TA5" s="182"/>
      <c r="TB5" s="182"/>
      <c r="TC5" s="182"/>
      <c r="TD5" s="182"/>
      <c r="TE5" s="182"/>
      <c r="TF5" s="182"/>
      <c r="TG5" s="182"/>
      <c r="TH5" s="182"/>
      <c r="TI5" s="182"/>
      <c r="TJ5" s="182"/>
      <c r="TK5" s="182"/>
      <c r="TL5" s="182"/>
      <c r="TM5" s="182"/>
      <c r="TN5" s="182"/>
      <c r="TO5" s="182"/>
      <c r="TP5" s="182"/>
      <c r="TQ5" s="182"/>
      <c r="TR5" s="182"/>
      <c r="TS5" s="182"/>
      <c r="TT5" s="182"/>
      <c r="TU5" s="182"/>
      <c r="TV5" s="182"/>
      <c r="TW5" s="182"/>
      <c r="TX5" s="182"/>
      <c r="TY5" s="182"/>
      <c r="TZ5" s="182"/>
      <c r="UA5" s="182"/>
      <c r="UB5" s="182"/>
      <c r="UC5" s="182"/>
      <c r="UD5" s="182"/>
      <c r="UE5" s="182"/>
      <c r="UF5" s="182"/>
      <c r="UG5" s="182"/>
      <c r="UH5" s="182"/>
      <c r="UI5" s="182"/>
      <c r="UJ5" s="182"/>
      <c r="UK5" s="182"/>
      <c r="UL5" s="182"/>
      <c r="UM5" s="182"/>
      <c r="UN5" s="182"/>
      <c r="UO5" s="182"/>
      <c r="UP5" s="182"/>
      <c r="UQ5" s="182"/>
      <c r="UR5" s="182"/>
      <c r="US5" s="182"/>
      <c r="UT5" s="182"/>
      <c r="UU5" s="182"/>
      <c r="UV5" s="182"/>
      <c r="UW5" s="182"/>
      <c r="UX5" s="182"/>
      <c r="UY5" s="182"/>
      <c r="UZ5" s="182"/>
      <c r="VA5" s="182"/>
      <c r="VB5" s="182"/>
      <c r="VC5" s="182"/>
      <c r="VD5" s="182"/>
      <c r="VE5" s="182"/>
      <c r="VF5" s="182"/>
      <c r="VG5" s="182"/>
      <c r="VH5" s="182"/>
      <c r="VI5" s="182"/>
      <c r="VJ5" s="182"/>
      <c r="VK5" s="182"/>
      <c r="VL5" s="182"/>
      <c r="VM5" s="182"/>
      <c r="VN5" s="182"/>
      <c r="VO5" s="182"/>
      <c r="VP5" s="182"/>
      <c r="VQ5" s="182"/>
      <c r="VR5" s="182"/>
      <c r="VS5" s="182"/>
      <c r="VT5" s="182"/>
      <c r="VU5" s="182"/>
      <c r="VV5" s="182"/>
      <c r="VW5" s="182"/>
      <c r="VX5" s="182"/>
      <c r="VY5" s="182"/>
      <c r="VZ5" s="182"/>
      <c r="WA5" s="182"/>
      <c r="WB5" s="182"/>
      <c r="WC5" s="182"/>
      <c r="WD5" s="182"/>
      <c r="WE5" s="182"/>
      <c r="WF5" s="182"/>
      <c r="WG5" s="182"/>
      <c r="WH5" s="182"/>
      <c r="WI5" s="182"/>
      <c r="WJ5" s="182"/>
      <c r="WK5" s="182"/>
      <c r="WL5" s="182"/>
      <c r="WM5" s="182"/>
      <c r="WN5" s="182"/>
      <c r="WO5" s="182"/>
      <c r="WP5" s="182"/>
      <c r="WQ5" s="182"/>
      <c r="WR5" s="182"/>
      <c r="WS5" s="182"/>
      <c r="WT5" s="182"/>
      <c r="WU5" s="182"/>
      <c r="WV5" s="182"/>
      <c r="WW5" s="182"/>
      <c r="WX5" s="182"/>
      <c r="WY5" s="182"/>
      <c r="WZ5" s="182"/>
      <c r="XA5" s="182"/>
      <c r="XB5" s="182"/>
      <c r="XC5" s="182"/>
      <c r="XD5" s="182"/>
      <c r="XE5" s="182"/>
      <c r="XF5" s="182"/>
      <c r="XG5" s="182"/>
      <c r="XH5" s="182"/>
      <c r="XI5" s="182"/>
      <c r="XJ5" s="182"/>
      <c r="XK5" s="182"/>
      <c r="XL5" s="182"/>
      <c r="XM5" s="182"/>
      <c r="XN5" s="182"/>
      <c r="XO5" s="182"/>
      <c r="XP5" s="182"/>
      <c r="XQ5" s="182"/>
      <c r="XR5" s="182"/>
      <c r="XS5" s="182"/>
      <c r="XT5" s="182"/>
      <c r="XU5" s="182"/>
      <c r="XV5" s="182"/>
      <c r="XW5" s="182"/>
      <c r="XX5" s="182"/>
      <c r="XY5" s="182"/>
      <c r="XZ5" s="182"/>
      <c r="YA5" s="182"/>
      <c r="YB5" s="182"/>
      <c r="YC5" s="182"/>
      <c r="YD5" s="182"/>
      <c r="YE5" s="182"/>
      <c r="YF5" s="182"/>
      <c r="YG5" s="182"/>
      <c r="YH5" s="182"/>
      <c r="YI5" s="182"/>
      <c r="YJ5" s="182"/>
      <c r="YK5" s="182"/>
      <c r="YL5" s="182"/>
      <c r="YM5" s="182"/>
      <c r="YN5" s="182"/>
      <c r="YO5" s="182"/>
      <c r="YP5" s="182"/>
      <c r="YQ5" s="182"/>
      <c r="YR5" s="182"/>
      <c r="YS5" s="182"/>
      <c r="YT5" s="182"/>
      <c r="YU5" s="182"/>
      <c r="YV5" s="182"/>
      <c r="YW5" s="182"/>
      <c r="YX5" s="182"/>
      <c r="YY5" s="182"/>
      <c r="YZ5" s="182"/>
      <c r="ZA5" s="182"/>
      <c r="ZB5" s="182"/>
      <c r="ZC5" s="182"/>
      <c r="ZD5" s="182"/>
      <c r="ZE5" s="182"/>
      <c r="ZF5" s="182"/>
      <c r="ZG5" s="182"/>
      <c r="ZH5" s="182"/>
      <c r="ZI5" s="182"/>
      <c r="ZJ5" s="182"/>
      <c r="ZK5" s="182"/>
      <c r="ZL5" s="182"/>
      <c r="ZM5" s="182"/>
      <c r="ZN5" s="182"/>
      <c r="ZO5" s="182"/>
      <c r="ZP5" s="182"/>
      <c r="ZQ5" s="182"/>
      <c r="ZR5" s="182"/>
      <c r="ZS5" s="182"/>
      <c r="ZT5" s="182"/>
      <c r="ZU5" s="182"/>
      <c r="ZV5" s="182"/>
      <c r="ZW5" s="182"/>
      <c r="ZX5" s="182"/>
      <c r="ZY5" s="182"/>
      <c r="ZZ5" s="182"/>
      <c r="AAA5" s="182"/>
      <c r="AAB5" s="182"/>
      <c r="AAC5" s="182"/>
      <c r="AAD5" s="182"/>
      <c r="AAE5" s="182"/>
      <c r="AAF5" s="182"/>
      <c r="AAG5" s="182"/>
      <c r="AAH5" s="182"/>
      <c r="AAI5" s="182"/>
      <c r="AAJ5" s="182"/>
      <c r="AAK5" s="182"/>
      <c r="AAL5" s="182"/>
      <c r="AAM5" s="182"/>
      <c r="AAN5" s="182"/>
      <c r="AAO5" s="182"/>
      <c r="AAP5" s="182"/>
      <c r="AAQ5" s="182"/>
      <c r="AAR5" s="182"/>
      <c r="AAS5" s="182"/>
      <c r="AAT5" s="182"/>
      <c r="AAU5" s="182"/>
      <c r="AAV5" s="182"/>
      <c r="AAW5" s="182"/>
      <c r="AAX5" s="182"/>
      <c r="AAY5" s="182"/>
      <c r="AAZ5" s="182"/>
      <c r="ABA5" s="182"/>
      <c r="ABB5" s="182"/>
      <c r="ABC5" s="182"/>
      <c r="ABD5" s="182"/>
      <c r="ABE5" s="182"/>
      <c r="ABF5" s="182"/>
      <c r="ABG5" s="182"/>
      <c r="ABH5" s="182"/>
      <c r="ABI5" s="182"/>
      <c r="ABJ5" s="182"/>
      <c r="ABK5" s="182"/>
      <c r="ABL5" s="182"/>
      <c r="ABM5" s="182"/>
      <c r="ABN5" s="182"/>
      <c r="ABO5" s="182"/>
      <c r="ABP5" s="182"/>
      <c r="ABQ5" s="182"/>
      <c r="ABR5" s="182"/>
      <c r="ABS5" s="182"/>
      <c r="ABT5" s="182"/>
      <c r="ABU5" s="182"/>
      <c r="ABV5" s="182"/>
      <c r="ABW5" s="182"/>
      <c r="ABX5" s="182"/>
      <c r="ABY5" s="182"/>
      <c r="ABZ5" s="182"/>
      <c r="ACA5" s="182"/>
      <c r="ACB5" s="182"/>
      <c r="ACC5" s="182"/>
      <c r="ACD5" s="182"/>
      <c r="ACE5" s="182"/>
      <c r="ACF5" s="182"/>
      <c r="ACG5" s="182"/>
      <c r="ACH5" s="182"/>
      <c r="ACI5" s="182"/>
      <c r="ACJ5" s="182"/>
      <c r="ACK5" s="182"/>
      <c r="ACL5" s="182"/>
      <c r="ACM5" s="182"/>
      <c r="ACN5" s="182"/>
      <c r="ACO5" s="182"/>
      <c r="ACP5" s="182"/>
      <c r="ACQ5" s="182"/>
      <c r="ACR5" s="182"/>
      <c r="ACS5" s="182"/>
      <c r="ACT5" s="182"/>
      <c r="ACU5" s="182"/>
      <c r="ACV5" s="182"/>
      <c r="ACW5" s="182"/>
      <c r="ACX5" s="182"/>
      <c r="ACY5" s="182"/>
      <c r="ACZ5" s="182"/>
      <c r="ADA5" s="182"/>
      <c r="ADB5" s="182"/>
      <c r="ADC5" s="182"/>
      <c r="ADD5" s="182"/>
      <c r="ADE5" s="182"/>
      <c r="ADF5" s="182"/>
      <c r="ADG5" s="182"/>
      <c r="ADH5" s="182"/>
      <c r="ADI5" s="182"/>
      <c r="ADJ5" s="182"/>
      <c r="ADK5" s="182"/>
      <c r="ADL5" s="182"/>
      <c r="ADM5" s="182"/>
      <c r="ADN5" s="182"/>
      <c r="ADO5" s="182"/>
      <c r="ADP5" s="182"/>
      <c r="ADQ5" s="182"/>
      <c r="ADR5" s="182"/>
      <c r="ADS5" s="182"/>
      <c r="ADT5" s="182"/>
      <c r="ADU5" s="182"/>
      <c r="ADV5" s="182"/>
      <c r="ADW5" s="182"/>
      <c r="ADX5" s="182"/>
      <c r="ADY5" s="182"/>
      <c r="ADZ5" s="182"/>
      <c r="AEA5" s="182"/>
      <c r="AEB5" s="182"/>
      <c r="AEC5" s="182"/>
      <c r="AED5" s="182"/>
      <c r="AEE5" s="182"/>
      <c r="AEF5" s="182"/>
      <c r="AEG5" s="182"/>
      <c r="AEH5" s="182"/>
      <c r="AEI5" s="182"/>
      <c r="AEJ5" s="182"/>
      <c r="AEK5" s="182"/>
      <c r="AEL5" s="182"/>
      <c r="AEM5" s="182"/>
      <c r="AEN5" s="182"/>
      <c r="AEO5" s="182"/>
      <c r="AEP5" s="182"/>
      <c r="AEQ5" s="182"/>
      <c r="AER5" s="182"/>
      <c r="AES5" s="182"/>
      <c r="AET5" s="182"/>
      <c r="AEU5" s="182"/>
      <c r="AEV5" s="182"/>
      <c r="AEW5" s="182"/>
      <c r="AEX5" s="182"/>
      <c r="AEY5" s="182"/>
      <c r="AEZ5" s="182"/>
      <c r="AFA5" s="182"/>
      <c r="AFB5" s="182"/>
      <c r="AFC5" s="182"/>
      <c r="AFD5" s="182"/>
      <c r="AFE5" s="182"/>
      <c r="AFF5" s="182"/>
      <c r="AFG5" s="182"/>
      <c r="AFH5" s="182"/>
      <c r="AFI5" s="182"/>
      <c r="AFJ5" s="182"/>
      <c r="AFK5" s="182"/>
      <c r="AFL5" s="182"/>
      <c r="AFM5" s="182"/>
      <c r="AFN5" s="182"/>
      <c r="AFO5" s="182"/>
      <c r="AFP5" s="182"/>
      <c r="AFQ5" s="182"/>
      <c r="AFR5" s="182"/>
      <c r="AFS5" s="182"/>
      <c r="AFT5" s="182"/>
      <c r="AFU5" s="182"/>
      <c r="AFV5" s="182"/>
      <c r="AFW5" s="182"/>
      <c r="AFX5" s="182"/>
      <c r="AFY5" s="182"/>
      <c r="AFZ5" s="182"/>
      <c r="AGA5" s="182"/>
      <c r="AGB5" s="182"/>
      <c r="AGC5" s="182"/>
      <c r="AGD5" s="182"/>
      <c r="AGE5" s="182"/>
      <c r="AGF5" s="182"/>
      <c r="AGG5" s="182"/>
      <c r="AGH5" s="182"/>
      <c r="AGI5" s="182"/>
      <c r="AGJ5" s="182"/>
      <c r="AGK5" s="182"/>
      <c r="AGL5" s="182"/>
      <c r="AGM5" s="182"/>
      <c r="AGN5" s="182"/>
      <c r="AGO5" s="182"/>
      <c r="AGP5" s="182"/>
      <c r="AGQ5" s="182"/>
      <c r="AGR5" s="182"/>
      <c r="AGS5" s="182"/>
      <c r="AGT5" s="182"/>
      <c r="AGU5" s="182"/>
      <c r="AGV5" s="182"/>
      <c r="AGW5" s="182"/>
      <c r="AGX5" s="182"/>
      <c r="AGY5" s="182"/>
      <c r="AGZ5" s="182"/>
      <c r="AHA5" s="182"/>
      <c r="AHB5" s="182"/>
      <c r="AHC5" s="182"/>
      <c r="AHD5" s="182"/>
      <c r="AHE5" s="182"/>
      <c r="AHF5" s="182"/>
      <c r="AHG5" s="182"/>
      <c r="AHH5" s="182"/>
      <c r="AHI5" s="182"/>
      <c r="AHJ5" s="182"/>
      <c r="AHK5" s="182"/>
      <c r="AHL5" s="182"/>
      <c r="AHM5" s="182"/>
      <c r="AHN5" s="182"/>
      <c r="AHO5" s="182"/>
      <c r="AHP5" s="182"/>
      <c r="AHQ5" s="182"/>
      <c r="AHR5" s="182"/>
      <c r="AHS5" s="182"/>
      <c r="AHT5" s="182"/>
      <c r="AHU5" s="182"/>
      <c r="AHV5" s="182"/>
      <c r="AHW5" s="182"/>
      <c r="AHX5" s="182"/>
      <c r="AHY5" s="182"/>
      <c r="AHZ5" s="182"/>
      <c r="AIA5" s="182"/>
      <c r="AIB5" s="182"/>
      <c r="AIC5" s="182"/>
      <c r="AID5" s="182"/>
      <c r="AIE5" s="182"/>
      <c r="AIF5" s="182"/>
      <c r="AIG5" s="182"/>
      <c r="AIH5" s="182"/>
      <c r="AII5" s="182"/>
      <c r="AIJ5" s="182"/>
      <c r="AIK5" s="182"/>
      <c r="AIL5" s="182"/>
      <c r="AIM5" s="182"/>
      <c r="AIN5" s="182"/>
      <c r="AIO5" s="182"/>
      <c r="AIP5" s="182"/>
      <c r="AIQ5" s="182"/>
      <c r="AIR5" s="182"/>
      <c r="AIS5" s="182"/>
      <c r="AIT5" s="182"/>
      <c r="AIU5" s="182"/>
      <c r="AIV5" s="182"/>
      <c r="AIW5" s="182"/>
      <c r="AIX5" s="182"/>
      <c r="AIY5" s="182"/>
      <c r="AIZ5" s="182"/>
      <c r="AJA5" s="182"/>
      <c r="AJB5" s="182"/>
      <c r="AJC5" s="182"/>
      <c r="AJD5" s="182"/>
      <c r="AJE5" s="182"/>
      <c r="AJF5" s="182"/>
      <c r="AJG5" s="182"/>
      <c r="AJH5" s="182"/>
      <c r="AJI5" s="182"/>
      <c r="AJJ5" s="182"/>
      <c r="AJK5" s="182"/>
      <c r="AJL5" s="182"/>
      <c r="AJM5" s="182"/>
      <c r="AJN5" s="182"/>
      <c r="AJO5" s="182"/>
      <c r="AJP5" s="182"/>
      <c r="AJQ5" s="182"/>
      <c r="AJR5" s="182"/>
      <c r="AJS5" s="182"/>
      <c r="AJT5" s="182"/>
      <c r="AJU5" s="182"/>
      <c r="AJV5" s="182"/>
      <c r="AJW5" s="182"/>
      <c r="AJX5" s="182"/>
      <c r="AJY5" s="182"/>
      <c r="AJZ5" s="182"/>
      <c r="AKA5" s="182"/>
      <c r="AKB5" s="182"/>
      <c r="AKC5" s="182"/>
      <c r="AKD5" s="182"/>
      <c r="AKE5" s="182"/>
      <c r="AKF5" s="182"/>
      <c r="AKG5" s="182"/>
      <c r="AKH5" s="182"/>
      <c r="AKI5" s="182"/>
      <c r="AKJ5" s="182"/>
      <c r="AKK5" s="182"/>
      <c r="AKL5" s="182"/>
      <c r="AKM5" s="182"/>
      <c r="AKN5" s="182"/>
      <c r="AKO5" s="182"/>
      <c r="AKP5" s="182"/>
      <c r="AKQ5" s="182"/>
      <c r="AKR5" s="182"/>
      <c r="AKS5" s="182"/>
      <c r="AKT5" s="182"/>
      <c r="AKU5" s="182"/>
      <c r="AKV5" s="182"/>
      <c r="AKW5" s="182"/>
      <c r="AKX5" s="182"/>
      <c r="AKY5" s="182"/>
      <c r="AKZ5" s="182"/>
      <c r="ALA5" s="182"/>
      <c r="ALB5" s="182"/>
      <c r="ALC5" s="182"/>
      <c r="ALD5" s="182"/>
      <c r="ALE5" s="182"/>
      <c r="ALF5" s="182"/>
      <c r="ALG5" s="182"/>
      <c r="ALH5" s="182"/>
      <c r="ALI5" s="182"/>
      <c r="ALJ5" s="182"/>
      <c r="ALK5" s="182"/>
      <c r="ALL5" s="182"/>
      <c r="ALM5" s="182"/>
      <c r="ALN5" s="182"/>
      <c r="ALO5" s="182"/>
      <c r="ALP5" s="182"/>
      <c r="ALQ5" s="182"/>
      <c r="ALR5" s="182"/>
      <c r="ALS5" s="182"/>
      <c r="ALT5" s="182"/>
      <c r="ALU5" s="182"/>
      <c r="ALV5" s="182"/>
      <c r="ALW5" s="182"/>
      <c r="ALX5" s="182"/>
      <c r="ALY5" s="182"/>
      <c r="ALZ5" s="182"/>
      <c r="AMA5" s="182"/>
      <c r="AMB5" s="182"/>
      <c r="AMC5" s="182"/>
      <c r="AMD5" s="182"/>
      <c r="AME5" s="182"/>
      <c r="AMF5" s="182"/>
      <c r="AMG5" s="182"/>
      <c r="AMH5" s="182"/>
      <c r="AMI5" s="182"/>
      <c r="AMJ5" s="182"/>
      <c r="AMK5" s="182"/>
      <c r="AML5" s="182"/>
      <c r="AMM5" s="182"/>
      <c r="AMN5" s="182"/>
      <c r="AMO5" s="182"/>
      <c r="AMP5" s="182"/>
      <c r="AMQ5" s="182"/>
      <c r="AMR5" s="182"/>
      <c r="AMS5" s="182"/>
      <c r="AMT5" s="182"/>
      <c r="AMU5" s="182"/>
      <c r="AMV5" s="182"/>
      <c r="AMW5" s="182"/>
      <c r="AMX5" s="182"/>
      <c r="AMY5" s="182"/>
      <c r="AMZ5" s="182"/>
      <c r="ANA5" s="182"/>
      <c r="ANB5" s="182"/>
      <c r="ANC5" s="182"/>
      <c r="AND5" s="182"/>
      <c r="ANE5" s="182"/>
      <c r="ANF5" s="182"/>
      <c r="ANG5" s="182"/>
      <c r="ANH5" s="182"/>
      <c r="ANI5" s="182"/>
      <c r="ANJ5" s="182"/>
      <c r="ANK5" s="182"/>
      <c r="ANL5" s="182"/>
      <c r="ANM5" s="182"/>
      <c r="ANN5" s="182"/>
      <c r="ANO5" s="182"/>
      <c r="ANP5" s="182"/>
      <c r="ANQ5" s="182"/>
      <c r="ANR5" s="182"/>
      <c r="ANS5" s="182"/>
      <c r="ANT5" s="182"/>
      <c r="ANU5" s="182"/>
      <c r="ANV5" s="182"/>
      <c r="ANW5" s="182"/>
      <c r="ANX5" s="182"/>
      <c r="ANY5" s="182"/>
      <c r="ANZ5" s="182"/>
      <c r="AOA5" s="182"/>
      <c r="AOB5" s="182"/>
      <c r="AOC5" s="182"/>
      <c r="AOD5" s="182"/>
      <c r="AOE5" s="182"/>
      <c r="AOF5" s="182"/>
      <c r="AOG5" s="182"/>
      <c r="AOH5" s="182"/>
      <c r="AOI5" s="182"/>
      <c r="AOJ5" s="182"/>
      <c r="AOK5" s="182"/>
      <c r="AOL5" s="182"/>
    </row>
    <row r="6" spans="1:1087" s="154" customFormat="1" ht="144" customHeight="1" thickTop="1" thickBot="1">
      <c r="A6" s="176" t="s">
        <v>614</v>
      </c>
      <c r="B6" s="180" t="s">
        <v>760</v>
      </c>
      <c r="FB6" s="182"/>
      <c r="FC6" s="182"/>
      <c r="FD6" s="182"/>
      <c r="FE6" s="182"/>
      <c r="FF6" s="182"/>
      <c r="FG6" s="182"/>
      <c r="FH6" s="182"/>
      <c r="FI6" s="182"/>
      <c r="FJ6" s="182"/>
      <c r="FK6" s="182"/>
      <c r="FL6" s="182"/>
      <c r="FM6" s="182"/>
      <c r="FN6" s="182"/>
      <c r="FO6" s="182"/>
      <c r="FP6" s="182"/>
      <c r="FQ6" s="182"/>
      <c r="FR6" s="182"/>
      <c r="FS6" s="182"/>
      <c r="FT6" s="182"/>
      <c r="FU6" s="182"/>
      <c r="FV6" s="182"/>
      <c r="FW6" s="182"/>
      <c r="FX6" s="182"/>
      <c r="FY6" s="182"/>
      <c r="FZ6" s="182"/>
      <c r="GA6" s="182"/>
      <c r="GB6" s="182"/>
      <c r="GC6" s="182"/>
      <c r="GD6" s="182"/>
      <c r="GE6" s="182"/>
      <c r="GF6" s="182"/>
      <c r="GG6" s="182"/>
      <c r="GH6" s="182"/>
      <c r="GI6" s="182"/>
      <c r="GJ6" s="182"/>
      <c r="GK6" s="182"/>
      <c r="GL6" s="182"/>
      <c r="GM6" s="182"/>
      <c r="GN6" s="182"/>
      <c r="GO6" s="182"/>
      <c r="GP6" s="182"/>
      <c r="GQ6" s="182"/>
      <c r="GR6" s="182"/>
      <c r="GS6" s="182"/>
      <c r="GT6" s="182"/>
      <c r="GU6" s="182"/>
      <c r="GV6" s="182"/>
      <c r="GW6" s="182"/>
      <c r="GX6" s="182"/>
      <c r="GY6" s="182"/>
      <c r="GZ6" s="182"/>
      <c r="HA6" s="182"/>
      <c r="HB6" s="182"/>
      <c r="HC6" s="182"/>
      <c r="HD6" s="182"/>
      <c r="HE6" s="182"/>
      <c r="HF6" s="182"/>
      <c r="HG6" s="182"/>
      <c r="HH6" s="182"/>
      <c r="HI6" s="182"/>
      <c r="HJ6" s="182"/>
      <c r="HK6" s="182"/>
      <c r="HL6" s="182"/>
      <c r="HM6" s="182"/>
      <c r="HN6" s="182"/>
      <c r="HO6" s="182"/>
      <c r="HP6" s="182"/>
      <c r="HQ6" s="182"/>
      <c r="HR6" s="182"/>
      <c r="HS6" s="182"/>
      <c r="HT6" s="182"/>
      <c r="HU6" s="182"/>
      <c r="HV6" s="182"/>
      <c r="HW6" s="182"/>
      <c r="HX6" s="182"/>
      <c r="HY6" s="182"/>
      <c r="HZ6" s="182"/>
      <c r="IA6" s="182"/>
      <c r="IB6" s="182"/>
      <c r="IC6" s="182"/>
      <c r="ID6" s="182"/>
      <c r="IE6" s="182"/>
      <c r="IF6" s="182"/>
      <c r="IG6" s="182"/>
      <c r="IH6" s="182"/>
      <c r="II6" s="182"/>
      <c r="IJ6" s="182"/>
      <c r="IK6" s="182"/>
      <c r="IL6" s="182"/>
      <c r="IM6" s="182"/>
      <c r="IN6" s="182"/>
      <c r="IO6" s="182"/>
      <c r="IP6" s="182"/>
      <c r="IQ6" s="182"/>
      <c r="IR6" s="182"/>
      <c r="IS6" s="182"/>
      <c r="IT6" s="182"/>
      <c r="IU6" s="182"/>
      <c r="IV6" s="182"/>
      <c r="IW6" s="182"/>
      <c r="IX6" s="182"/>
      <c r="IY6" s="182"/>
      <c r="IZ6" s="182"/>
      <c r="JA6" s="182"/>
      <c r="JB6" s="182"/>
      <c r="JC6" s="182"/>
      <c r="JD6" s="182"/>
      <c r="JE6" s="182"/>
      <c r="JF6" s="182"/>
      <c r="JG6" s="182"/>
      <c r="JH6" s="182"/>
      <c r="JI6" s="182"/>
      <c r="JJ6" s="182"/>
      <c r="JK6" s="182"/>
      <c r="JL6" s="182"/>
      <c r="JM6" s="182"/>
      <c r="JN6" s="182"/>
      <c r="JO6" s="182"/>
      <c r="JP6" s="182"/>
      <c r="JQ6" s="182"/>
      <c r="JR6" s="182"/>
      <c r="JS6" s="182"/>
      <c r="JT6" s="182"/>
      <c r="JU6" s="182"/>
      <c r="JV6" s="182"/>
      <c r="JW6" s="182"/>
      <c r="JX6" s="182"/>
      <c r="JY6" s="182"/>
      <c r="JZ6" s="182"/>
      <c r="KA6" s="182"/>
      <c r="KB6" s="182"/>
      <c r="KC6" s="182"/>
      <c r="KD6" s="182"/>
      <c r="KE6" s="182"/>
      <c r="KF6" s="182"/>
      <c r="KG6" s="182"/>
      <c r="KH6" s="182"/>
      <c r="KI6" s="182"/>
      <c r="KJ6" s="182"/>
      <c r="KK6" s="182"/>
      <c r="KL6" s="182"/>
      <c r="KM6" s="182"/>
      <c r="KN6" s="182"/>
      <c r="KO6" s="182"/>
      <c r="KP6" s="182"/>
      <c r="KQ6" s="182"/>
      <c r="KR6" s="182"/>
      <c r="KS6" s="182"/>
      <c r="KT6" s="182"/>
      <c r="KU6" s="182"/>
      <c r="KV6" s="182"/>
      <c r="KW6" s="182"/>
      <c r="KX6" s="182"/>
      <c r="KY6" s="182"/>
      <c r="KZ6" s="182"/>
      <c r="LA6" s="182"/>
      <c r="LB6" s="182"/>
      <c r="LC6" s="182"/>
      <c r="LD6" s="182"/>
      <c r="LE6" s="182"/>
      <c r="LF6" s="182"/>
      <c r="LG6" s="182"/>
      <c r="LH6" s="182"/>
      <c r="LI6" s="182"/>
      <c r="LJ6" s="182"/>
      <c r="LK6" s="182"/>
      <c r="LL6" s="182"/>
      <c r="LM6" s="182"/>
      <c r="LN6" s="182"/>
      <c r="LO6" s="182"/>
      <c r="LP6" s="182"/>
      <c r="LQ6" s="182"/>
      <c r="LR6" s="182"/>
      <c r="LS6" s="182"/>
      <c r="LT6" s="182"/>
      <c r="LU6" s="182"/>
      <c r="LV6" s="182"/>
      <c r="LW6" s="182"/>
      <c r="LX6" s="182"/>
      <c r="LY6" s="182"/>
      <c r="LZ6" s="182"/>
      <c r="MA6" s="182"/>
      <c r="MB6" s="182"/>
      <c r="MC6" s="182"/>
      <c r="MD6" s="182"/>
      <c r="ME6" s="182"/>
      <c r="MF6" s="182"/>
      <c r="MG6" s="182"/>
      <c r="MH6" s="182"/>
      <c r="MI6" s="182"/>
      <c r="MJ6" s="182"/>
      <c r="MK6" s="182"/>
      <c r="ML6" s="182"/>
      <c r="MM6" s="182"/>
      <c r="MN6" s="182"/>
      <c r="MO6" s="182"/>
      <c r="MP6" s="182"/>
      <c r="MQ6" s="182"/>
      <c r="MR6" s="182"/>
      <c r="MS6" s="182"/>
      <c r="MT6" s="182"/>
      <c r="MU6" s="182"/>
      <c r="MV6" s="182"/>
      <c r="MW6" s="182"/>
      <c r="MX6" s="182"/>
      <c r="MY6" s="182"/>
      <c r="MZ6" s="182"/>
      <c r="NA6" s="182"/>
      <c r="NB6" s="182"/>
      <c r="NC6" s="182"/>
      <c r="ND6" s="182"/>
      <c r="NE6" s="182"/>
      <c r="NF6" s="182"/>
      <c r="NG6" s="182"/>
      <c r="NH6" s="182"/>
      <c r="NI6" s="182"/>
      <c r="NJ6" s="182"/>
      <c r="NK6" s="182"/>
      <c r="NL6" s="182"/>
      <c r="NM6" s="182"/>
      <c r="NN6" s="182"/>
      <c r="NO6" s="182"/>
      <c r="NP6" s="182"/>
      <c r="NQ6" s="182"/>
      <c r="NR6" s="182"/>
      <c r="NS6" s="182"/>
      <c r="NT6" s="182"/>
      <c r="NU6" s="182"/>
      <c r="NV6" s="182"/>
      <c r="NW6" s="182"/>
      <c r="NX6" s="182"/>
      <c r="NY6" s="182"/>
      <c r="NZ6" s="182"/>
      <c r="OA6" s="182"/>
      <c r="OB6" s="182"/>
      <c r="OC6" s="182"/>
      <c r="OD6" s="182"/>
      <c r="OE6" s="182"/>
      <c r="OF6" s="182"/>
      <c r="OG6" s="182"/>
      <c r="OH6" s="182"/>
      <c r="OI6" s="182"/>
      <c r="OJ6" s="182"/>
      <c r="OK6" s="182"/>
      <c r="OL6" s="182"/>
      <c r="OM6" s="182"/>
      <c r="ON6" s="182"/>
      <c r="OO6" s="182"/>
      <c r="OP6" s="182"/>
      <c r="OQ6" s="182"/>
      <c r="OR6" s="182"/>
      <c r="OS6" s="182"/>
      <c r="OT6" s="182"/>
      <c r="OU6" s="182"/>
      <c r="OV6" s="182"/>
      <c r="OW6" s="182"/>
      <c r="OX6" s="182"/>
      <c r="OY6" s="182"/>
      <c r="OZ6" s="182"/>
      <c r="PA6" s="182"/>
      <c r="PB6" s="182"/>
      <c r="PC6" s="182"/>
      <c r="PD6" s="182"/>
      <c r="PE6" s="182"/>
      <c r="PF6" s="182"/>
      <c r="PG6" s="182"/>
      <c r="PH6" s="182"/>
      <c r="PI6" s="182"/>
      <c r="PJ6" s="631" t="s">
        <v>707</v>
      </c>
      <c r="PK6" s="631"/>
      <c r="PL6" s="631"/>
      <c r="PM6" s="631"/>
      <c r="PN6" s="631"/>
      <c r="PO6" s="631"/>
      <c r="PP6" s="631"/>
      <c r="PQ6" s="631"/>
      <c r="PR6" s="631"/>
      <c r="PS6" s="631"/>
      <c r="PT6" s="631"/>
      <c r="PU6" s="631"/>
      <c r="PV6" s="631"/>
      <c r="PW6" s="631"/>
      <c r="PX6" s="619" t="s">
        <v>733</v>
      </c>
      <c r="PY6" s="619"/>
      <c r="PZ6" s="619"/>
      <c r="QA6" s="619"/>
      <c r="QB6" s="619"/>
      <c r="QC6" s="619"/>
      <c r="QD6" s="619"/>
      <c r="QE6" s="618" t="s">
        <v>708</v>
      </c>
      <c r="QF6" s="618"/>
      <c r="QG6" s="618"/>
      <c r="QH6" s="618"/>
      <c r="QI6" s="618"/>
      <c r="QJ6" s="632" t="s">
        <v>709</v>
      </c>
      <c r="QK6" s="632"/>
      <c r="QL6" s="632"/>
      <c r="QM6" s="632"/>
      <c r="QN6" s="632"/>
      <c r="QO6" s="632"/>
      <c r="QP6" s="632"/>
      <c r="QQ6" s="632"/>
      <c r="QR6" s="632"/>
      <c r="QS6" s="632"/>
      <c r="QT6" s="632"/>
      <c r="QU6" s="190"/>
      <c r="QV6" s="632" t="s">
        <v>753</v>
      </c>
      <c r="QW6" s="632"/>
      <c r="QX6" s="632"/>
      <c r="QY6" s="632"/>
      <c r="QZ6" s="632"/>
      <c r="RA6" s="632"/>
      <c r="RB6" s="632"/>
      <c r="RC6" s="632"/>
      <c r="RD6" s="632"/>
      <c r="RE6" s="633" t="s">
        <v>710</v>
      </c>
      <c r="RF6" s="633"/>
      <c r="RG6" s="633"/>
      <c r="RH6" s="633"/>
      <c r="RI6" s="650" t="s">
        <v>730</v>
      </c>
      <c r="RJ6" s="650"/>
      <c r="RK6" s="650"/>
      <c r="RL6" s="650"/>
      <c r="RM6" s="650"/>
      <c r="RN6" s="650"/>
      <c r="RO6" s="650"/>
      <c r="RP6" s="650"/>
      <c r="RQ6" s="650"/>
      <c r="RR6" s="650"/>
      <c r="RS6" s="650"/>
      <c r="RT6" s="650"/>
      <c r="RU6" s="650"/>
      <c r="RV6" s="650"/>
      <c r="RW6" s="650"/>
      <c r="RX6" s="650"/>
      <c r="RY6" s="650"/>
      <c r="RZ6" s="650"/>
      <c r="SA6" s="650"/>
      <c r="SB6" s="619" t="s">
        <v>711</v>
      </c>
      <c r="SC6" s="619"/>
      <c r="SD6" s="619"/>
      <c r="SE6" s="619"/>
      <c r="SF6" s="619"/>
      <c r="SG6" s="619"/>
      <c r="SH6" s="645" t="s">
        <v>712</v>
      </c>
      <c r="SI6" s="645"/>
      <c r="SJ6" s="645"/>
      <c r="SK6" s="645"/>
      <c r="SL6" s="612" t="s">
        <v>713</v>
      </c>
      <c r="SM6" s="612"/>
      <c r="SN6" s="612"/>
      <c r="SO6" s="612"/>
      <c r="SP6" s="612"/>
      <c r="SQ6" s="612"/>
      <c r="SR6" s="612"/>
      <c r="SS6" s="612"/>
      <c r="ST6" s="612"/>
      <c r="SU6" s="615" t="s">
        <v>720</v>
      </c>
      <c r="SV6" s="615"/>
      <c r="SW6" s="615"/>
      <c r="SX6" s="615"/>
      <c r="SY6" s="615"/>
      <c r="SZ6" s="615"/>
      <c r="TA6" s="615"/>
      <c r="TB6" s="615"/>
      <c r="TC6" s="615"/>
      <c r="TD6" s="615"/>
      <c r="TE6" s="615"/>
      <c r="TF6" s="615"/>
      <c r="TG6" s="615"/>
      <c r="TH6" s="615"/>
      <c r="TI6" s="615"/>
      <c r="TJ6" s="615"/>
      <c r="TK6" s="615"/>
      <c r="TL6" s="615"/>
      <c r="TM6" s="615"/>
      <c r="TN6" s="615"/>
      <c r="TO6" s="615"/>
      <c r="TP6" s="615"/>
      <c r="TQ6" s="615"/>
      <c r="TR6" s="615"/>
      <c r="TS6" s="615"/>
      <c r="TT6" s="615"/>
      <c r="TU6" s="615"/>
      <c r="TV6" s="187" t="s">
        <v>700</v>
      </c>
      <c r="TW6" s="611" t="s">
        <v>714</v>
      </c>
      <c r="TX6" s="611"/>
      <c r="TY6" s="611"/>
      <c r="TZ6" s="646" t="s">
        <v>731</v>
      </c>
      <c r="UA6" s="646"/>
      <c r="UB6" s="646"/>
      <c r="UC6" s="646"/>
      <c r="UD6" s="647" t="s">
        <v>716</v>
      </c>
      <c r="UE6" s="647"/>
      <c r="UF6" s="647"/>
      <c r="UG6" s="647"/>
      <c r="UH6" s="647"/>
      <c r="UI6" s="647"/>
      <c r="UJ6" s="647"/>
      <c r="UK6" s="647"/>
      <c r="UL6" s="647"/>
      <c r="UM6" s="647"/>
      <c r="UN6" s="647"/>
      <c r="UO6" s="647"/>
      <c r="UP6" s="647"/>
      <c r="UQ6" s="647"/>
      <c r="UR6" s="647"/>
      <c r="US6" s="647"/>
      <c r="UT6" s="647"/>
      <c r="UU6" s="647"/>
      <c r="UV6" s="647"/>
      <c r="UW6" s="647"/>
      <c r="UX6" s="647" t="s">
        <v>717</v>
      </c>
      <c r="UY6" s="647"/>
      <c r="UZ6" s="647"/>
      <c r="VA6" s="647"/>
      <c r="VB6" s="647"/>
      <c r="VC6" s="647"/>
      <c r="VD6" s="647"/>
      <c r="VE6" s="647"/>
      <c r="VF6" s="647"/>
      <c r="VG6" s="647"/>
      <c r="VH6" s="647"/>
      <c r="VI6" s="647"/>
      <c r="VJ6" s="647"/>
      <c r="VK6" s="647"/>
      <c r="VL6" s="647"/>
      <c r="VM6" s="619" t="s">
        <v>715</v>
      </c>
      <c r="VN6" s="619"/>
      <c r="VO6" s="619"/>
      <c r="VP6" s="619"/>
      <c r="VQ6" s="619"/>
      <c r="VR6" s="619"/>
      <c r="VS6" s="648" t="s">
        <v>718</v>
      </c>
      <c r="VT6" s="648"/>
      <c r="VU6" s="648"/>
      <c r="VV6" s="648"/>
      <c r="VW6" s="648"/>
      <c r="VX6" s="648"/>
      <c r="VY6" s="648"/>
      <c r="VZ6" s="648"/>
      <c r="WA6" s="648"/>
      <c r="WB6" s="648"/>
      <c r="WC6" s="648"/>
      <c r="WD6" s="648"/>
      <c r="WE6" s="648"/>
      <c r="WF6" s="648"/>
      <c r="WG6" s="648"/>
      <c r="WH6" s="648"/>
      <c r="WI6" s="648"/>
      <c r="WJ6" s="648"/>
      <c r="WK6" s="648"/>
      <c r="WL6" s="648"/>
      <c r="WM6" s="648"/>
      <c r="WN6" s="648"/>
      <c r="WO6" s="648"/>
      <c r="WP6" s="648"/>
      <c r="WQ6" s="648"/>
      <c r="WR6" s="648"/>
      <c r="WS6" s="648"/>
      <c r="WT6" s="648"/>
      <c r="WU6" s="648"/>
      <c r="WV6" s="648"/>
      <c r="WW6" s="648"/>
      <c r="WX6" s="648"/>
      <c r="WY6" s="648"/>
      <c r="WZ6" s="648"/>
      <c r="XA6" s="648"/>
      <c r="XB6" s="648"/>
      <c r="XC6" s="648"/>
      <c r="XD6" s="648"/>
      <c r="XE6" s="648"/>
      <c r="XF6" s="648"/>
      <c r="XG6" s="648"/>
      <c r="XH6" s="648"/>
      <c r="XI6" s="648"/>
      <c r="XJ6" s="648"/>
      <c r="XK6" s="648"/>
      <c r="XL6" s="648"/>
      <c r="XM6" s="648"/>
      <c r="XN6" s="648"/>
      <c r="XO6" s="648"/>
      <c r="XP6" s="648"/>
      <c r="XQ6" s="648"/>
      <c r="XR6" s="648"/>
      <c r="XS6" s="648"/>
      <c r="XT6" s="648"/>
      <c r="XU6" s="648"/>
      <c r="XV6" s="648"/>
      <c r="XW6" s="648"/>
      <c r="XX6" s="648"/>
      <c r="XY6" s="648"/>
      <c r="XZ6" s="648"/>
      <c r="YA6" s="648"/>
      <c r="YB6" s="648"/>
      <c r="YC6" s="648"/>
      <c r="YD6" s="648"/>
      <c r="YE6" s="648"/>
      <c r="YF6" s="648"/>
      <c r="YG6" s="648"/>
      <c r="YH6" s="649" t="s">
        <v>705</v>
      </c>
      <c r="YI6" s="649"/>
      <c r="YJ6" s="649"/>
      <c r="YK6" s="649"/>
      <c r="YL6" s="649"/>
      <c r="YM6" s="649"/>
      <c r="YN6" s="182"/>
      <c r="YO6" s="182"/>
      <c r="YP6" s="182"/>
      <c r="YQ6" s="182"/>
      <c r="YR6" s="182"/>
      <c r="YS6" s="182"/>
      <c r="YT6" s="182"/>
      <c r="YU6" s="182"/>
      <c r="YV6" s="182"/>
      <c r="YW6" s="182"/>
      <c r="YX6" s="182"/>
      <c r="YY6" s="182"/>
      <c r="YZ6" s="182"/>
      <c r="ZA6" s="182"/>
      <c r="ZB6" s="182"/>
      <c r="ZC6" s="182"/>
      <c r="ZD6" s="182"/>
      <c r="ZE6" s="182"/>
      <c r="ZF6" s="182"/>
      <c r="ZG6" s="182"/>
      <c r="ZH6" s="182"/>
      <c r="ZI6" s="182"/>
      <c r="ZJ6" s="182"/>
      <c r="ZK6" s="182"/>
      <c r="ZL6" s="182"/>
      <c r="ZM6" s="182"/>
      <c r="ZN6" s="182"/>
      <c r="ZO6" s="182"/>
      <c r="ZP6" s="182"/>
      <c r="ZQ6" s="182"/>
      <c r="ZR6" s="182"/>
      <c r="ZS6" s="182"/>
      <c r="ZT6" s="182"/>
      <c r="ZU6" s="182"/>
      <c r="ZV6" s="182"/>
      <c r="ZW6" s="182"/>
      <c r="ZX6" s="182"/>
      <c r="ZY6" s="182"/>
      <c r="ZZ6" s="182"/>
      <c r="AAA6" s="182"/>
      <c r="AAB6" s="182"/>
      <c r="AAC6" s="182"/>
      <c r="AAD6" s="182"/>
      <c r="AAE6" s="182"/>
      <c r="AAF6" s="182"/>
      <c r="AAG6" s="182"/>
      <c r="AAH6" s="182"/>
      <c r="AAI6" s="182"/>
      <c r="AAJ6" s="182"/>
      <c r="AAK6" s="182"/>
      <c r="AAL6" s="182"/>
      <c r="AAM6" s="182"/>
      <c r="AAN6" s="182"/>
      <c r="AAO6" s="182"/>
      <c r="AAP6" s="182"/>
      <c r="AAQ6" s="182"/>
      <c r="AAR6" s="182"/>
      <c r="AAS6" s="182"/>
      <c r="AAT6" s="182"/>
      <c r="AAU6" s="182"/>
      <c r="AAV6" s="182"/>
      <c r="AAW6" s="182"/>
      <c r="AAX6" s="182"/>
      <c r="AAY6" s="182"/>
      <c r="AAZ6" s="182"/>
      <c r="ABA6" s="182"/>
      <c r="ABB6" s="182"/>
      <c r="ABC6" s="182"/>
      <c r="ABD6" s="182"/>
      <c r="ABE6" s="182"/>
      <c r="ABF6" s="182"/>
      <c r="ABG6" s="182"/>
      <c r="ABH6" s="182"/>
      <c r="ABI6" s="182"/>
      <c r="ABJ6" s="182"/>
      <c r="ABK6" s="182"/>
      <c r="ABL6" s="182"/>
      <c r="ABM6" s="182"/>
      <c r="ABN6" s="182"/>
      <c r="ABO6" s="182"/>
      <c r="ABP6" s="182"/>
      <c r="ABQ6" s="182"/>
      <c r="ABR6" s="182"/>
      <c r="ABS6" s="182"/>
      <c r="ABT6" s="182"/>
      <c r="ABU6" s="182"/>
      <c r="ABV6" s="182"/>
      <c r="ABW6" s="182"/>
      <c r="ABX6" s="182"/>
      <c r="ABY6" s="182"/>
      <c r="ABZ6" s="182"/>
      <c r="ACA6" s="182"/>
      <c r="ACB6" s="182"/>
      <c r="ACC6" s="182"/>
      <c r="ACD6" s="182"/>
      <c r="ACE6" s="182"/>
      <c r="ACF6" s="182"/>
      <c r="ACG6" s="182"/>
      <c r="ACH6" s="182"/>
      <c r="ACI6" s="182"/>
      <c r="ACJ6" s="182"/>
      <c r="ACK6" s="182"/>
      <c r="ACL6" s="182"/>
      <c r="ACM6" s="182"/>
      <c r="ACN6" s="182"/>
      <c r="ACO6" s="182"/>
      <c r="ACP6" s="182"/>
      <c r="ACQ6" s="182"/>
      <c r="ACR6" s="182"/>
      <c r="ACS6" s="182"/>
      <c r="ACT6" s="182"/>
      <c r="ACU6" s="182"/>
      <c r="ACV6" s="182"/>
      <c r="ACW6" s="182"/>
      <c r="ACX6" s="182"/>
      <c r="ACY6" s="182"/>
      <c r="ACZ6" s="182"/>
      <c r="ADA6" s="182"/>
      <c r="ADB6" s="182"/>
      <c r="ADC6" s="182"/>
      <c r="ADD6" s="182"/>
      <c r="ADE6" s="182"/>
      <c r="ADF6" s="182"/>
      <c r="ADG6" s="182"/>
      <c r="ADH6" s="182"/>
      <c r="ADI6" s="182"/>
      <c r="ADJ6" s="182"/>
      <c r="ADK6" s="182"/>
      <c r="ADL6" s="182"/>
      <c r="ADM6" s="182"/>
      <c r="ADN6" s="182"/>
      <c r="ADO6" s="182"/>
      <c r="ADP6" s="182"/>
      <c r="ADQ6" s="182"/>
      <c r="ADR6" s="182"/>
      <c r="ADS6" s="182"/>
      <c r="ADT6" s="182"/>
      <c r="ADU6" s="182"/>
      <c r="ADV6" s="182"/>
      <c r="ADW6" s="182"/>
      <c r="ADX6" s="182"/>
      <c r="ADY6" s="182"/>
      <c r="ADZ6" s="182"/>
      <c r="AEA6" s="182"/>
      <c r="AEB6" s="182"/>
      <c r="AEC6" s="182"/>
      <c r="AED6" s="182"/>
      <c r="AEE6" s="182"/>
      <c r="AEF6" s="182"/>
      <c r="AEG6" s="182"/>
      <c r="AEH6" s="182"/>
      <c r="AEI6" s="182"/>
      <c r="AEJ6" s="182"/>
      <c r="AEK6" s="182"/>
      <c r="AEL6" s="182"/>
      <c r="AEM6" s="182"/>
      <c r="AEN6" s="182"/>
      <c r="AEO6" s="182"/>
      <c r="AEP6" s="182"/>
      <c r="AEQ6" s="182"/>
      <c r="AER6" s="182"/>
      <c r="AES6" s="182"/>
      <c r="AET6" s="182"/>
      <c r="AEU6" s="182"/>
      <c r="AEV6" s="182"/>
      <c r="AEW6" s="182"/>
      <c r="AEX6" s="182"/>
      <c r="AEY6" s="182"/>
      <c r="AEZ6" s="182"/>
      <c r="AFA6" s="182"/>
      <c r="AFB6" s="182"/>
      <c r="AFC6" s="182"/>
      <c r="AFD6" s="182"/>
      <c r="AFE6" s="182"/>
      <c r="AFF6" s="182"/>
      <c r="AFG6" s="182"/>
      <c r="AFH6" s="182"/>
      <c r="AFI6" s="182"/>
      <c r="AFJ6" s="182"/>
      <c r="AFK6" s="182"/>
      <c r="AFL6" s="182"/>
      <c r="AFM6" s="182"/>
      <c r="AFN6" s="182"/>
      <c r="AFO6" s="182"/>
      <c r="AFP6" s="182"/>
      <c r="AFQ6" s="182"/>
      <c r="AFR6" s="182"/>
      <c r="AFS6" s="182"/>
      <c r="AFT6" s="182"/>
      <c r="AFU6" s="182"/>
      <c r="AFV6" s="182"/>
      <c r="AFW6" s="182"/>
      <c r="AFX6" s="182"/>
      <c r="AFY6" s="182"/>
      <c r="AFZ6" s="182"/>
      <c r="AGA6" s="182"/>
      <c r="AGB6" s="182"/>
      <c r="AGC6" s="182"/>
      <c r="AGD6" s="182"/>
      <c r="AGE6" s="182"/>
      <c r="AGF6" s="182"/>
      <c r="AGG6" s="182"/>
      <c r="AGH6" s="182"/>
      <c r="AGI6" s="182"/>
      <c r="AGJ6" s="182"/>
      <c r="AGK6" s="182"/>
      <c r="AGL6" s="182"/>
      <c r="AGM6" s="182"/>
      <c r="AGN6" s="182"/>
      <c r="AGO6" s="182"/>
      <c r="AGP6" s="182"/>
      <c r="AGQ6" s="182"/>
      <c r="AGR6" s="182"/>
      <c r="AGS6" s="182"/>
      <c r="AGT6" s="182"/>
      <c r="AGU6" s="182"/>
      <c r="AGV6" s="182"/>
      <c r="AGW6" s="182"/>
      <c r="AGX6" s="182"/>
      <c r="AGY6" s="182"/>
      <c r="AGZ6" s="182"/>
      <c r="AHA6" s="182"/>
      <c r="AHB6" s="182"/>
      <c r="AHC6" s="182"/>
      <c r="AHD6" s="182"/>
      <c r="AHE6" s="182"/>
      <c r="AHF6" s="182"/>
      <c r="AHG6" s="182"/>
      <c r="AHH6" s="182"/>
      <c r="AHI6" s="182"/>
      <c r="AHJ6" s="182"/>
      <c r="AHK6" s="182"/>
      <c r="AHL6" s="182"/>
      <c r="AHM6" s="182"/>
      <c r="AHN6" s="182"/>
      <c r="AHO6" s="182"/>
      <c r="AHP6" s="182"/>
      <c r="AHQ6" s="182"/>
      <c r="AHR6" s="182"/>
      <c r="AHS6" s="182"/>
      <c r="AHT6" s="182"/>
      <c r="AHU6" s="182"/>
      <c r="AHV6" s="182"/>
      <c r="AHW6" s="182"/>
      <c r="AHX6" s="182"/>
      <c r="AHY6" s="182"/>
      <c r="AHZ6" s="182"/>
      <c r="AIA6" s="182"/>
      <c r="AIB6" s="182"/>
      <c r="AIC6" s="182"/>
      <c r="AID6" s="182"/>
      <c r="AIE6" s="182"/>
      <c r="AIF6" s="182"/>
      <c r="AIG6" s="182"/>
      <c r="AIH6" s="182"/>
      <c r="AII6" s="182"/>
      <c r="AIJ6" s="182"/>
      <c r="AIK6" s="182"/>
      <c r="AIL6" s="182"/>
      <c r="AIM6" s="182"/>
      <c r="AIN6" s="182"/>
      <c r="AIO6" s="182"/>
      <c r="AIP6" s="182"/>
      <c r="AIQ6" s="182"/>
      <c r="AIR6" s="182"/>
      <c r="AIS6" s="182"/>
      <c r="AIT6" s="182"/>
      <c r="AIU6" s="182"/>
      <c r="AIV6" s="182"/>
      <c r="AIW6" s="182"/>
      <c r="AIX6" s="182"/>
      <c r="AIY6" s="182"/>
      <c r="AIZ6" s="182"/>
      <c r="AJA6" s="182"/>
      <c r="AJB6" s="182"/>
      <c r="AJC6" s="182"/>
      <c r="AJD6" s="182"/>
      <c r="AJE6" s="182"/>
      <c r="AJF6" s="182"/>
      <c r="AJG6" s="182"/>
      <c r="AJH6" s="182"/>
      <c r="AJI6" s="182"/>
      <c r="AJJ6" s="182"/>
      <c r="AJK6" s="182"/>
      <c r="AJL6" s="182"/>
      <c r="AJM6" s="182"/>
      <c r="AJN6" s="182"/>
      <c r="AJO6" s="182"/>
      <c r="AJP6" s="182"/>
      <c r="AJQ6" s="182"/>
      <c r="AJR6" s="182"/>
      <c r="AJS6" s="182"/>
      <c r="AJT6" s="182"/>
      <c r="AJU6" s="182"/>
      <c r="AJV6" s="182"/>
      <c r="AJW6" s="182"/>
      <c r="AJX6" s="182"/>
      <c r="AJY6" s="182"/>
      <c r="AJZ6" s="182"/>
      <c r="AKA6" s="182"/>
      <c r="AKB6" s="182"/>
      <c r="AKC6" s="182"/>
      <c r="AKD6" s="182"/>
      <c r="AKE6" s="182"/>
      <c r="AKF6" s="182"/>
      <c r="AKG6" s="182"/>
      <c r="AKH6" s="182"/>
      <c r="AKI6" s="182"/>
      <c r="AKJ6" s="182"/>
      <c r="AKK6" s="182"/>
      <c r="AKL6" s="182"/>
      <c r="AKM6" s="182"/>
      <c r="AKN6" s="182"/>
      <c r="AKO6" s="182"/>
      <c r="AKP6" s="182"/>
      <c r="AKQ6" s="182"/>
      <c r="AKR6" s="182"/>
      <c r="AKS6" s="182"/>
      <c r="AKT6" s="182"/>
      <c r="AKU6" s="182"/>
      <c r="AKV6" s="182"/>
      <c r="AKW6" s="182"/>
      <c r="AKX6" s="182"/>
      <c r="AKY6" s="182"/>
      <c r="AKZ6" s="182"/>
      <c r="ALA6" s="182"/>
      <c r="ALB6" s="182"/>
      <c r="ALC6" s="182"/>
      <c r="ALD6" s="182"/>
      <c r="ALE6" s="182"/>
      <c r="ALF6" s="182"/>
      <c r="ALG6" s="182"/>
      <c r="ALH6" s="182"/>
      <c r="ALI6" s="182"/>
      <c r="ALJ6" s="182"/>
      <c r="ALK6" s="182"/>
      <c r="ALL6" s="182"/>
      <c r="ALM6" s="182"/>
      <c r="ALN6" s="182"/>
      <c r="ALO6" s="182"/>
      <c r="ALP6" s="182"/>
      <c r="ALQ6" s="182"/>
      <c r="ALR6" s="182"/>
      <c r="ALS6" s="182"/>
      <c r="ALT6" s="182"/>
      <c r="ALU6" s="182"/>
      <c r="ALV6" s="182"/>
      <c r="ALW6" s="182"/>
      <c r="ALX6" s="182"/>
      <c r="ALY6" s="182"/>
      <c r="ALZ6" s="182"/>
      <c r="AMA6" s="182"/>
      <c r="AMB6" s="182"/>
      <c r="AMC6" s="182"/>
      <c r="AMD6" s="182"/>
      <c r="AME6" s="182"/>
      <c r="AMF6" s="182"/>
      <c r="AMG6" s="182"/>
      <c r="AMH6" s="182"/>
      <c r="AMI6" s="182"/>
      <c r="AMJ6" s="182"/>
      <c r="AMK6" s="182"/>
      <c r="AML6" s="182"/>
      <c r="AMM6" s="182"/>
      <c r="AMN6" s="182"/>
      <c r="AMO6" s="182"/>
      <c r="AMP6" s="182"/>
      <c r="AMQ6" s="182"/>
      <c r="AMR6" s="182"/>
      <c r="AMS6" s="182"/>
      <c r="AMT6" s="182"/>
      <c r="AMU6" s="182"/>
      <c r="AMV6" s="182"/>
      <c r="AMW6" s="182"/>
      <c r="AMX6" s="182"/>
      <c r="AMY6" s="182"/>
      <c r="AMZ6" s="182"/>
      <c r="ANA6" s="182"/>
      <c r="ANB6" s="182"/>
      <c r="ANC6" s="182"/>
      <c r="AND6" s="182"/>
      <c r="ANE6" s="182"/>
      <c r="ANF6" s="182"/>
      <c r="ANG6" s="182"/>
      <c r="ANH6" s="182"/>
      <c r="ANI6" s="182"/>
      <c r="ANJ6" s="182"/>
      <c r="ANK6" s="182"/>
      <c r="ANL6" s="182"/>
      <c r="ANM6" s="182"/>
      <c r="ANN6" s="182"/>
      <c r="ANO6" s="182"/>
      <c r="ANP6" s="182"/>
      <c r="ANQ6" s="182"/>
      <c r="ANR6" s="182"/>
      <c r="ANS6" s="182"/>
      <c r="ANT6" s="182"/>
      <c r="ANU6" s="182"/>
      <c r="ANV6" s="182"/>
      <c r="ANW6" s="182"/>
      <c r="ANX6" s="182"/>
      <c r="ANY6" s="182"/>
      <c r="ANZ6" s="182"/>
      <c r="AOA6" s="182"/>
      <c r="AOB6" s="182"/>
      <c r="AOC6" s="182"/>
      <c r="AOD6" s="182"/>
      <c r="AOE6" s="182"/>
      <c r="AOF6" s="182"/>
      <c r="AOG6" s="182"/>
      <c r="AOH6" s="182"/>
      <c r="AOI6" s="182"/>
      <c r="AOJ6" s="182"/>
      <c r="AOK6" s="182"/>
      <c r="AOL6" s="182"/>
    </row>
    <row r="7" spans="1:1087" s="154" customFormat="1" ht="211.8" customHeight="1" thickTop="1" thickBot="1">
      <c r="A7" s="176" t="s">
        <v>614</v>
      </c>
      <c r="B7" s="177" t="s">
        <v>761</v>
      </c>
      <c r="L7" s="653" t="s">
        <v>608</v>
      </c>
      <c r="M7" s="653"/>
      <c r="N7" s="653"/>
      <c r="O7" s="653"/>
      <c r="P7" s="653"/>
      <c r="Q7" s="653"/>
      <c r="R7" s="653"/>
      <c r="S7" s="653"/>
      <c r="T7" s="653"/>
      <c r="U7" s="653"/>
      <c r="V7" s="653"/>
      <c r="W7" s="653"/>
      <c r="X7" s="653"/>
      <c r="Y7" s="653"/>
      <c r="Z7" s="653"/>
      <c r="AA7" s="653"/>
      <c r="AB7" s="653"/>
      <c r="AC7" s="653"/>
      <c r="AD7" s="653"/>
      <c r="AE7" s="653"/>
      <c r="AF7" s="653"/>
      <c r="AG7" s="653"/>
      <c r="AH7" s="653"/>
      <c r="AI7" s="653"/>
      <c r="AJ7" s="653"/>
      <c r="AK7" s="653"/>
      <c r="AL7" s="653"/>
      <c r="AM7" s="653"/>
      <c r="AN7" s="653"/>
      <c r="AO7" s="653"/>
      <c r="AP7" s="653"/>
      <c r="AQ7" s="653"/>
      <c r="AR7" s="653"/>
      <c r="AS7" s="653"/>
      <c r="AT7" s="653"/>
      <c r="AU7" s="653"/>
      <c r="AV7" s="653"/>
      <c r="AW7" s="653"/>
      <c r="AX7" s="653"/>
      <c r="AY7" s="653"/>
      <c r="AZ7" s="653"/>
      <c r="BB7" s="653" t="s">
        <v>752</v>
      </c>
      <c r="BC7" s="653"/>
      <c r="BD7" s="653"/>
      <c r="BE7" s="653"/>
      <c r="BF7" s="653"/>
      <c r="BG7" s="653"/>
      <c r="BH7" s="653"/>
      <c r="BI7" s="653"/>
      <c r="BJ7" s="653"/>
      <c r="BK7" s="653"/>
      <c r="BL7" s="653"/>
      <c r="BM7" s="653"/>
      <c r="BN7" s="653"/>
      <c r="BO7" s="653"/>
      <c r="BP7" s="653"/>
      <c r="BQ7" s="653"/>
      <c r="BR7" s="653"/>
      <c r="BS7" s="653"/>
      <c r="BT7" s="653"/>
      <c r="BU7" s="653"/>
      <c r="BV7" s="653"/>
      <c r="BW7" s="653"/>
      <c r="BX7" s="653"/>
      <c r="BY7" s="653"/>
      <c r="BZ7" s="653"/>
      <c r="CA7" s="653"/>
      <c r="CB7" s="653"/>
      <c r="CC7" s="653"/>
      <c r="CD7" s="653"/>
      <c r="CE7" s="653"/>
      <c r="CF7" s="653"/>
      <c r="CG7" s="653"/>
      <c r="CH7" s="653"/>
      <c r="CI7" s="653"/>
      <c r="CJ7" s="653"/>
      <c r="CK7" s="653"/>
      <c r="CL7" s="653"/>
      <c r="CM7" s="653"/>
      <c r="CN7" s="653"/>
      <c r="CO7" s="653"/>
      <c r="CP7" s="653"/>
      <c r="CQ7" s="653"/>
      <c r="CR7" s="653"/>
      <c r="CS7" s="653"/>
      <c r="CT7" s="653"/>
      <c r="CU7" s="653"/>
      <c r="FB7" s="182"/>
      <c r="FC7" s="182"/>
      <c r="FD7" s="182"/>
      <c r="FE7" s="182"/>
      <c r="FF7" s="182"/>
      <c r="FG7" s="182"/>
      <c r="FH7" s="182"/>
      <c r="FI7" s="182"/>
      <c r="FJ7" s="182"/>
      <c r="FK7" s="182"/>
      <c r="FL7" s="182"/>
      <c r="FM7" s="182"/>
      <c r="FN7" s="182"/>
      <c r="FO7" s="182"/>
      <c r="FP7" s="182"/>
      <c r="FQ7" s="182"/>
      <c r="FR7" s="182"/>
      <c r="FS7" s="182"/>
      <c r="FT7" s="182"/>
      <c r="FU7" s="182"/>
      <c r="FV7" s="182"/>
      <c r="FW7" s="182"/>
      <c r="FX7" s="182"/>
      <c r="FY7" s="182"/>
      <c r="FZ7" s="182"/>
      <c r="GA7" s="182"/>
      <c r="GB7" s="182"/>
      <c r="GC7" s="182"/>
      <c r="GD7" s="182"/>
      <c r="GE7" s="182"/>
      <c r="GF7" s="182"/>
      <c r="GG7" s="182"/>
      <c r="GH7" s="182"/>
      <c r="GI7" s="182"/>
      <c r="GJ7" s="182"/>
      <c r="GK7" s="182"/>
      <c r="GL7" s="182"/>
      <c r="GM7" s="182"/>
      <c r="GN7" s="182"/>
      <c r="GO7" s="182"/>
      <c r="GP7" s="182"/>
      <c r="GQ7" s="182"/>
      <c r="GR7" s="182"/>
      <c r="GS7" s="182"/>
      <c r="GT7" s="182"/>
      <c r="GU7" s="182"/>
      <c r="GV7" s="182"/>
      <c r="GW7" s="182"/>
      <c r="GX7" s="182"/>
      <c r="GY7" s="182"/>
      <c r="GZ7" s="182"/>
      <c r="HA7" s="182"/>
      <c r="HB7" s="182"/>
      <c r="HC7" s="182"/>
      <c r="HD7" s="182"/>
      <c r="HE7" s="182"/>
      <c r="HF7" s="182"/>
      <c r="HG7" s="182"/>
      <c r="HH7" s="182"/>
      <c r="HI7" s="182"/>
      <c r="HJ7" s="182"/>
      <c r="HK7" s="182"/>
      <c r="HL7" s="182"/>
      <c r="HM7" s="182"/>
      <c r="HN7" s="182"/>
      <c r="HO7" s="182"/>
      <c r="HP7" s="182"/>
      <c r="HQ7" s="182"/>
      <c r="HR7" s="182"/>
      <c r="HS7" s="182"/>
      <c r="HT7" s="182"/>
      <c r="HU7" s="182"/>
      <c r="HV7" s="182"/>
      <c r="HW7" s="182"/>
      <c r="HX7" s="182"/>
      <c r="HY7" s="182"/>
      <c r="HZ7" s="182"/>
      <c r="IA7" s="182"/>
      <c r="IB7" s="182"/>
      <c r="IC7" s="182"/>
      <c r="ID7" s="182"/>
      <c r="IE7" s="182"/>
      <c r="IF7" s="182"/>
      <c r="IG7" s="182"/>
      <c r="IH7" s="182"/>
      <c r="II7" s="182"/>
      <c r="IJ7" s="182"/>
      <c r="IK7" s="182"/>
      <c r="IL7" s="182"/>
      <c r="IM7" s="182"/>
      <c r="IN7" s="182"/>
      <c r="IO7" s="182"/>
      <c r="IP7" s="182"/>
      <c r="IQ7" s="182"/>
      <c r="IR7" s="182"/>
      <c r="IS7" s="182"/>
      <c r="IT7" s="182"/>
      <c r="IU7" s="182"/>
      <c r="IV7" s="182"/>
      <c r="IW7" s="182"/>
      <c r="IX7" s="182"/>
      <c r="IY7" s="182"/>
      <c r="IZ7" s="182"/>
      <c r="JA7" s="182"/>
      <c r="JB7" s="182"/>
      <c r="JC7" s="182"/>
      <c r="JD7" s="182"/>
      <c r="JE7" s="182"/>
      <c r="JF7" s="182"/>
      <c r="JG7" s="182"/>
      <c r="JH7" s="182"/>
      <c r="JI7" s="182"/>
      <c r="JJ7" s="182"/>
      <c r="JK7" s="182"/>
      <c r="JL7" s="182"/>
      <c r="JM7" s="182"/>
      <c r="JN7" s="182"/>
      <c r="JO7" s="182"/>
      <c r="JP7" s="182"/>
      <c r="JQ7" s="182"/>
      <c r="JR7" s="182"/>
      <c r="JS7" s="182"/>
      <c r="JT7" s="182"/>
      <c r="JU7" s="182"/>
      <c r="JV7" s="182"/>
      <c r="JW7" s="182"/>
      <c r="JX7" s="182"/>
      <c r="JY7" s="182"/>
      <c r="JZ7" s="182"/>
      <c r="KA7" s="182"/>
      <c r="KB7" s="182"/>
      <c r="KC7" s="182"/>
      <c r="KD7" s="182"/>
      <c r="KE7" s="182"/>
      <c r="KF7" s="182"/>
      <c r="KG7" s="182"/>
      <c r="KH7" s="182"/>
      <c r="KI7" s="182"/>
      <c r="KJ7" s="182"/>
      <c r="KK7" s="182"/>
      <c r="KL7" s="182"/>
      <c r="KM7" s="182"/>
      <c r="KN7" s="182"/>
      <c r="KO7" s="182"/>
      <c r="KP7" s="182"/>
      <c r="KQ7" s="182"/>
      <c r="KR7" s="182"/>
      <c r="KS7" s="182"/>
      <c r="KT7" s="182"/>
      <c r="KU7" s="182"/>
      <c r="KV7" s="182"/>
      <c r="KW7" s="182"/>
      <c r="KX7" s="182"/>
      <c r="KY7" s="182"/>
      <c r="KZ7" s="182"/>
      <c r="LA7" s="182"/>
      <c r="LB7" s="182"/>
      <c r="LC7" s="182"/>
      <c r="LD7" s="182"/>
      <c r="LE7" s="182"/>
      <c r="LF7" s="182"/>
      <c r="LG7" s="182"/>
      <c r="LH7" s="182"/>
      <c r="LI7" s="182"/>
      <c r="LJ7" s="182"/>
      <c r="LK7" s="182"/>
      <c r="LL7" s="182"/>
      <c r="LM7" s="182"/>
      <c r="LN7" s="182"/>
      <c r="LO7" s="182"/>
      <c r="LP7" s="182"/>
      <c r="LQ7" s="182"/>
      <c r="LR7" s="182"/>
      <c r="LS7" s="182"/>
      <c r="LT7" s="182"/>
      <c r="LU7" s="182"/>
      <c r="LV7" s="182"/>
      <c r="LW7" s="182"/>
      <c r="LX7" s="182"/>
      <c r="LY7" s="182"/>
      <c r="LZ7" s="182"/>
      <c r="MA7" s="182"/>
      <c r="MB7" s="182"/>
      <c r="MC7" s="182"/>
      <c r="MD7" s="182"/>
      <c r="ME7" s="182"/>
      <c r="MF7" s="182"/>
      <c r="MG7" s="182"/>
      <c r="MH7" s="182"/>
      <c r="MI7" s="182"/>
      <c r="MJ7" s="182"/>
      <c r="MK7" s="182"/>
      <c r="ML7" s="182"/>
      <c r="MM7" s="182"/>
      <c r="MN7" s="182"/>
      <c r="MO7" s="182"/>
      <c r="MP7" s="182"/>
      <c r="MQ7" s="182"/>
      <c r="MR7" s="182"/>
      <c r="MS7" s="182"/>
      <c r="MT7" s="182"/>
      <c r="MU7" s="182"/>
      <c r="MV7" s="182"/>
      <c r="MW7" s="182"/>
      <c r="MX7" s="182"/>
      <c r="MY7" s="182"/>
      <c r="MZ7" s="182"/>
      <c r="NA7" s="182"/>
      <c r="NB7" s="182"/>
      <c r="NC7" s="182"/>
      <c r="ND7" s="182"/>
      <c r="NE7" s="182"/>
      <c r="NF7" s="182"/>
      <c r="NG7" s="182"/>
      <c r="NH7" s="182"/>
      <c r="NI7" s="182"/>
      <c r="NJ7" s="182"/>
      <c r="NK7" s="182"/>
      <c r="NL7" s="182"/>
      <c r="NM7" s="182"/>
      <c r="NN7" s="182"/>
      <c r="NO7" s="182"/>
      <c r="NP7" s="182"/>
      <c r="NQ7" s="182"/>
      <c r="NR7" s="182"/>
      <c r="NS7" s="182"/>
      <c r="NT7" s="182"/>
      <c r="NU7" s="182"/>
      <c r="NV7" s="182"/>
      <c r="NW7" s="182"/>
      <c r="NX7" s="182"/>
      <c r="NY7" s="182"/>
      <c r="NZ7" s="182"/>
      <c r="OA7" s="182"/>
      <c r="OB7" s="182"/>
      <c r="OC7" s="182"/>
      <c r="OD7" s="182"/>
      <c r="OE7" s="182"/>
      <c r="OF7" s="182"/>
      <c r="OG7" s="182"/>
      <c r="OH7" s="182"/>
      <c r="OI7" s="182"/>
      <c r="OJ7" s="182"/>
      <c r="OK7" s="182"/>
      <c r="OL7" s="182"/>
      <c r="OM7" s="182"/>
      <c r="ON7" s="182"/>
      <c r="OO7" s="182"/>
      <c r="OP7" s="182"/>
      <c r="OQ7" s="182"/>
      <c r="OR7" s="182"/>
      <c r="OS7" s="182"/>
      <c r="OT7" s="182"/>
      <c r="OU7" s="182"/>
      <c r="OV7" s="182"/>
      <c r="OW7" s="182"/>
      <c r="OX7" s="182"/>
      <c r="OY7" s="182"/>
      <c r="OZ7" s="182"/>
      <c r="PA7" s="182"/>
      <c r="PB7" s="182"/>
      <c r="PC7" s="182"/>
      <c r="PD7" s="182"/>
      <c r="PE7" s="182"/>
      <c r="PF7" s="182"/>
      <c r="PG7" s="182"/>
      <c r="PH7" s="182"/>
      <c r="PI7" s="182"/>
      <c r="PJ7" s="182"/>
      <c r="PK7" s="182"/>
      <c r="PL7" s="182"/>
      <c r="PM7" s="182"/>
      <c r="PN7" s="182"/>
      <c r="PO7" s="182"/>
      <c r="PP7" s="182"/>
      <c r="PQ7" s="182"/>
      <c r="PR7" s="182"/>
      <c r="PS7" s="182"/>
      <c r="PT7" s="182"/>
      <c r="PU7" s="182"/>
      <c r="PV7" s="182"/>
      <c r="PW7" s="182"/>
      <c r="PX7" s="182"/>
      <c r="PY7" s="182"/>
      <c r="PZ7" s="182"/>
      <c r="QA7" s="182"/>
      <c r="QB7" s="182"/>
      <c r="QC7" s="182"/>
      <c r="QD7" s="182"/>
      <c r="QE7" s="182"/>
      <c r="QF7" s="182"/>
      <c r="QG7" s="182"/>
      <c r="QH7" s="182"/>
      <c r="QI7" s="182"/>
      <c r="QJ7" s="182"/>
      <c r="QK7" s="182"/>
      <c r="QL7" s="182"/>
      <c r="QM7" s="182"/>
      <c r="QN7" s="182"/>
      <c r="QO7" s="182"/>
      <c r="QP7" s="182"/>
      <c r="QQ7" s="182"/>
      <c r="QR7" s="182"/>
      <c r="QS7" s="182"/>
      <c r="QT7" s="182"/>
      <c r="QU7" s="182"/>
      <c r="QV7" s="182"/>
      <c r="QW7" s="182"/>
      <c r="QX7" s="182"/>
      <c r="QY7" s="182"/>
      <c r="QZ7" s="182"/>
      <c r="RA7" s="631" t="s">
        <v>707</v>
      </c>
      <c r="RB7" s="631"/>
      <c r="RC7" s="631"/>
      <c r="RD7" s="631"/>
      <c r="RE7" s="645" t="s">
        <v>721</v>
      </c>
      <c r="RF7" s="645"/>
      <c r="RG7" s="645"/>
      <c r="RH7" s="645"/>
      <c r="RI7" s="619" t="s">
        <v>722</v>
      </c>
      <c r="RJ7" s="619"/>
      <c r="RK7" s="619"/>
      <c r="RL7" s="619"/>
      <c r="RM7" s="619"/>
      <c r="RN7" s="619"/>
      <c r="RO7" s="652" t="s">
        <v>723</v>
      </c>
      <c r="RP7" s="652"/>
      <c r="RQ7" s="652"/>
      <c r="RR7" s="652"/>
      <c r="RS7" s="652"/>
      <c r="RT7" s="652"/>
      <c r="RU7" s="652"/>
      <c r="RV7" s="652"/>
      <c r="RW7" s="614" t="s">
        <v>724</v>
      </c>
      <c r="RX7" s="614"/>
      <c r="RY7" s="614"/>
      <c r="RZ7" s="614"/>
      <c r="SA7" s="614"/>
      <c r="SB7" s="614"/>
      <c r="SC7" s="614"/>
      <c r="SD7" s="614"/>
      <c r="SE7" s="614"/>
      <c r="SF7" s="614"/>
      <c r="SG7" s="614"/>
      <c r="SH7" s="614"/>
      <c r="SI7" s="614"/>
      <c r="SJ7" s="611" t="s">
        <v>606</v>
      </c>
      <c r="SK7" s="611"/>
      <c r="SL7" s="611"/>
      <c r="SM7" s="651" t="s">
        <v>725</v>
      </c>
      <c r="SN7" s="651"/>
      <c r="SO7" s="651"/>
      <c r="SP7" s="651"/>
      <c r="SQ7" s="651"/>
      <c r="SR7" s="651"/>
      <c r="SS7" s="651"/>
      <c r="ST7" s="651"/>
      <c r="SU7" s="651"/>
      <c r="SV7" s="619" t="s">
        <v>736</v>
      </c>
      <c r="SW7" s="619"/>
      <c r="SX7" s="619"/>
      <c r="SY7" s="619"/>
      <c r="SZ7" s="619"/>
      <c r="TA7" s="619"/>
      <c r="TB7" s="652" t="s">
        <v>747</v>
      </c>
      <c r="TC7" s="652"/>
      <c r="TD7" s="652"/>
      <c r="TE7" s="652"/>
      <c r="TF7" s="652"/>
      <c r="TG7" s="650" t="s">
        <v>737</v>
      </c>
      <c r="TH7" s="650"/>
      <c r="TI7" s="650"/>
      <c r="TJ7" s="650"/>
      <c r="TK7" s="650"/>
      <c r="TL7" s="650"/>
      <c r="TM7" s="650"/>
      <c r="TN7" s="650"/>
      <c r="TO7" s="650"/>
      <c r="TP7" s="650"/>
      <c r="TQ7" s="650"/>
      <c r="TR7" s="650"/>
      <c r="TS7" s="650"/>
      <c r="TT7" s="650"/>
      <c r="TU7" s="650"/>
      <c r="TV7" s="650"/>
      <c r="TW7" s="617" t="s">
        <v>743</v>
      </c>
      <c r="TX7" s="617"/>
      <c r="TY7" s="617"/>
      <c r="TZ7" s="617"/>
      <c r="UA7" s="617"/>
      <c r="UB7" s="617"/>
      <c r="UC7" s="617"/>
      <c r="UD7" s="617"/>
      <c r="UE7" s="617"/>
      <c r="UF7" s="617"/>
      <c r="UG7" s="617"/>
      <c r="UH7" s="617"/>
      <c r="UI7" s="617"/>
      <c r="UJ7" s="617"/>
      <c r="UK7" s="617"/>
      <c r="UL7" s="617"/>
      <c r="UM7" s="617"/>
      <c r="UN7" s="617"/>
      <c r="UO7" s="617"/>
      <c r="UP7" s="617"/>
      <c r="UQ7" s="617"/>
      <c r="UR7" s="617"/>
      <c r="US7" s="617"/>
      <c r="UT7" s="617"/>
      <c r="UU7" s="617"/>
      <c r="UV7" s="617"/>
      <c r="UW7" s="617"/>
      <c r="UX7" s="617"/>
      <c r="UY7" s="617"/>
      <c r="UZ7" s="617"/>
      <c r="VA7" s="617"/>
      <c r="VB7" s="617"/>
      <c r="VC7" s="617"/>
      <c r="VD7" s="617"/>
      <c r="VE7" s="617"/>
      <c r="VF7" s="617"/>
      <c r="VG7" s="617"/>
      <c r="VH7" s="617"/>
      <c r="VI7" s="617"/>
      <c r="VJ7" s="617"/>
      <c r="VK7" s="617"/>
      <c r="VL7" s="618" t="s">
        <v>738</v>
      </c>
      <c r="VM7" s="618"/>
      <c r="VN7" s="618"/>
      <c r="VO7" s="618"/>
      <c r="VP7" s="618"/>
      <c r="VQ7" s="619" t="s">
        <v>740</v>
      </c>
      <c r="VR7" s="619"/>
      <c r="VS7" s="619"/>
      <c r="VT7" s="619"/>
      <c r="VU7" s="619"/>
      <c r="VV7" s="619"/>
      <c r="VW7" s="649" t="s">
        <v>719</v>
      </c>
      <c r="VX7" s="649"/>
      <c r="VY7" s="649"/>
      <c r="VZ7" s="188" t="s">
        <v>734</v>
      </c>
      <c r="WA7" s="649" t="s">
        <v>726</v>
      </c>
      <c r="WB7" s="649"/>
      <c r="WC7" s="649"/>
      <c r="WD7" s="649"/>
      <c r="WE7" s="649"/>
      <c r="WF7" s="649"/>
      <c r="WG7" s="649"/>
      <c r="WH7" s="649"/>
      <c r="WI7" s="613" t="s">
        <v>727</v>
      </c>
      <c r="WJ7" s="613"/>
      <c r="WK7" s="613"/>
      <c r="WL7" s="613"/>
      <c r="WM7" s="613"/>
      <c r="WN7" s="613"/>
      <c r="WO7" s="612" t="s">
        <v>744</v>
      </c>
      <c r="WP7" s="612"/>
      <c r="WQ7" s="612"/>
      <c r="WR7" s="612"/>
      <c r="WS7" s="612"/>
      <c r="WT7" s="612"/>
      <c r="WU7" s="612"/>
      <c r="WV7" s="612"/>
      <c r="WW7" s="612"/>
      <c r="WX7" s="613" t="s">
        <v>645</v>
      </c>
      <c r="WY7" s="613"/>
      <c r="WZ7" s="613"/>
      <c r="XA7" s="614" t="s">
        <v>739</v>
      </c>
      <c r="XB7" s="614"/>
      <c r="XC7" s="614"/>
      <c r="XD7" s="614"/>
      <c r="XE7" s="614"/>
      <c r="XF7" s="614"/>
      <c r="XG7" s="614"/>
      <c r="XH7" s="614"/>
      <c r="XI7" s="614"/>
      <c r="XJ7" s="615" t="s">
        <v>728</v>
      </c>
      <c r="XK7" s="615"/>
      <c r="XL7" s="615"/>
      <c r="XM7" s="615"/>
      <c r="XN7" s="615"/>
      <c r="XO7" s="615"/>
      <c r="XP7" s="615"/>
      <c r="XQ7" s="615"/>
      <c r="XR7" s="615"/>
      <c r="XS7" s="615"/>
      <c r="XT7" s="615"/>
      <c r="XU7" s="615"/>
      <c r="XV7" s="615"/>
      <c r="XW7" s="615"/>
      <c r="XX7" s="615"/>
      <c r="XY7" s="615"/>
      <c r="XZ7" s="615"/>
      <c r="YA7" s="615"/>
      <c r="YB7" s="615"/>
      <c r="YC7" s="615"/>
      <c r="YD7" s="615"/>
      <c r="YE7" s="615"/>
      <c r="YF7" s="615"/>
      <c r="YG7" s="615"/>
      <c r="YH7" s="615"/>
      <c r="YI7" s="615"/>
      <c r="YJ7" s="615"/>
      <c r="YK7" s="615"/>
      <c r="YL7" s="615"/>
      <c r="YM7" s="615"/>
      <c r="YN7" s="615"/>
      <c r="YO7" s="611" t="s">
        <v>729</v>
      </c>
      <c r="YP7" s="611"/>
      <c r="YQ7" s="611"/>
      <c r="YR7" s="611"/>
      <c r="YS7" s="616" t="s">
        <v>640</v>
      </c>
      <c r="YT7" s="616"/>
      <c r="YU7" s="616"/>
      <c r="YV7" s="616"/>
      <c r="YW7" s="616"/>
      <c r="YX7" s="616"/>
      <c r="YY7" s="616"/>
      <c r="YZ7" s="616"/>
      <c r="ZA7" s="616"/>
      <c r="ZB7" s="616"/>
      <c r="ZC7" s="616"/>
      <c r="ZD7" s="616"/>
      <c r="ZE7" s="616"/>
      <c r="ZF7" s="616"/>
      <c r="ZG7" s="616"/>
      <c r="ZH7" s="616"/>
      <c r="ZI7" s="616"/>
      <c r="ZJ7" s="616"/>
      <c r="ZK7" s="616"/>
      <c r="ZL7" s="616"/>
      <c r="ZM7" s="616"/>
      <c r="ZN7" s="616"/>
      <c r="ZO7" s="616"/>
      <c r="ZP7" s="616"/>
      <c r="ZQ7" s="616"/>
      <c r="ZR7" s="616"/>
      <c r="ZS7" s="616"/>
      <c r="ZT7" s="616"/>
      <c r="ZU7" s="616"/>
      <c r="ZV7" s="616"/>
      <c r="ZW7" s="182"/>
      <c r="ZX7" s="182"/>
      <c r="ZY7" s="182"/>
      <c r="ZZ7" s="182"/>
      <c r="AAA7" s="182"/>
      <c r="AAB7" s="182"/>
      <c r="AAC7" s="182"/>
      <c r="AAD7" s="182"/>
      <c r="AAE7" s="182"/>
      <c r="AAF7" s="182"/>
      <c r="AAG7" s="182"/>
      <c r="AAH7" s="182"/>
      <c r="AAI7" s="182"/>
      <c r="AAJ7" s="619" t="s">
        <v>741</v>
      </c>
      <c r="AAK7" s="619"/>
      <c r="AAL7" s="619"/>
      <c r="AAM7" s="619"/>
      <c r="AAN7" s="619"/>
      <c r="AAO7" s="619"/>
      <c r="AAP7" s="619"/>
      <c r="AAQ7" s="619"/>
      <c r="AAR7" s="619"/>
      <c r="AAS7" s="619"/>
      <c r="AAT7" s="619"/>
      <c r="AAU7" s="182"/>
      <c r="AAV7" s="182"/>
      <c r="AAW7" s="182"/>
      <c r="AAX7" s="182"/>
      <c r="AAY7" s="182"/>
      <c r="AAZ7" s="182"/>
      <c r="ABA7" s="182"/>
      <c r="ABB7" s="182"/>
      <c r="ABC7" s="182"/>
      <c r="ABD7" s="182"/>
      <c r="ABE7" s="182"/>
      <c r="ABF7" s="182"/>
      <c r="ABG7" s="182"/>
      <c r="ABH7" s="182"/>
      <c r="ABI7" s="182"/>
      <c r="ABJ7" s="182"/>
      <c r="ABK7" s="182"/>
      <c r="ABL7" s="182"/>
      <c r="ABM7" s="182"/>
      <c r="ABN7" s="182"/>
      <c r="ABO7" s="182"/>
      <c r="ABP7" s="182"/>
      <c r="ABQ7" s="182"/>
      <c r="ABR7" s="182"/>
      <c r="ABS7" s="182"/>
      <c r="ABT7" s="182"/>
      <c r="ABU7" s="182"/>
      <c r="ABV7" s="182"/>
      <c r="ABW7" s="182"/>
      <c r="ABX7" s="182"/>
      <c r="ABY7" s="182"/>
      <c r="ABZ7" s="182"/>
      <c r="ACA7" s="182"/>
      <c r="ACB7" s="182"/>
      <c r="ACC7" s="182"/>
      <c r="ACD7" s="182"/>
      <c r="ACE7" s="182"/>
      <c r="ACF7" s="182"/>
      <c r="ACG7" s="182"/>
      <c r="ACH7" s="182"/>
      <c r="ACI7" s="182"/>
      <c r="ACJ7" s="182"/>
      <c r="ACK7" s="182"/>
      <c r="ACL7" s="182"/>
      <c r="ACM7" s="182"/>
      <c r="ACN7" s="182"/>
      <c r="ACO7" s="182"/>
      <c r="ACP7" s="182"/>
      <c r="ACQ7" s="182"/>
      <c r="ACR7" s="182"/>
      <c r="ACS7" s="182"/>
      <c r="ACT7" s="182"/>
      <c r="ACU7" s="182"/>
      <c r="ACV7" s="182"/>
      <c r="ACW7" s="182"/>
      <c r="ACX7" s="182"/>
      <c r="ACY7" s="182"/>
      <c r="ACZ7" s="182"/>
      <c r="ADA7" s="182"/>
      <c r="ADB7" s="182"/>
      <c r="ADC7" s="182"/>
      <c r="ADD7" s="182"/>
      <c r="ADE7" s="182"/>
      <c r="ADF7" s="182"/>
      <c r="ADG7" s="182"/>
      <c r="ADH7" s="182"/>
      <c r="ADI7" s="182"/>
      <c r="ADJ7" s="182"/>
      <c r="ADK7" s="182"/>
      <c r="ADL7" s="182"/>
      <c r="ADM7" s="182"/>
      <c r="ADN7" s="182"/>
      <c r="ADO7" s="182"/>
      <c r="ADP7" s="182"/>
      <c r="ADQ7" s="182"/>
      <c r="ADR7" s="182"/>
      <c r="ADS7" s="182"/>
      <c r="ADT7" s="182"/>
      <c r="ADU7" s="182"/>
      <c r="ADV7" s="182"/>
      <c r="ADW7" s="182"/>
      <c r="ADX7" s="182"/>
      <c r="ADY7" s="182"/>
      <c r="ADZ7" s="182"/>
      <c r="AEA7" s="182"/>
      <c r="AEB7" s="182"/>
      <c r="AEC7" s="182"/>
      <c r="AED7" s="182"/>
      <c r="AEE7" s="182"/>
      <c r="AEF7" s="182"/>
      <c r="AEG7" s="182"/>
      <c r="AEH7" s="182"/>
      <c r="AEI7" s="182"/>
      <c r="AEJ7" s="182"/>
      <c r="AEK7" s="182"/>
      <c r="AEL7" s="182"/>
      <c r="AEM7" s="182"/>
      <c r="AEN7" s="182"/>
      <c r="AEO7" s="182"/>
      <c r="AEP7" s="657" t="s">
        <v>750</v>
      </c>
      <c r="AEQ7" s="658"/>
      <c r="AER7" s="658"/>
      <c r="AES7" s="658"/>
      <c r="AET7" s="658"/>
      <c r="AEU7" s="658"/>
      <c r="AEV7" s="658"/>
      <c r="AEW7" s="658"/>
      <c r="AEX7" s="658"/>
      <c r="AEY7" s="658"/>
      <c r="AEZ7" s="658"/>
      <c r="AFA7" s="658"/>
      <c r="AFB7" s="658"/>
      <c r="AFC7" s="658"/>
      <c r="AFD7" s="658"/>
      <c r="AFE7" s="658"/>
      <c r="AFF7" s="658"/>
      <c r="AFG7" s="658"/>
      <c r="AFH7" s="658"/>
      <c r="AFI7" s="658"/>
      <c r="AFJ7" s="658"/>
      <c r="AFK7" s="658"/>
      <c r="AFL7" s="658"/>
      <c r="AFM7" s="658"/>
      <c r="AFN7" s="658"/>
      <c r="AFO7" s="658"/>
      <c r="AFP7" s="658"/>
      <c r="AFQ7" s="658"/>
      <c r="AFR7" s="658"/>
      <c r="AFS7" s="658"/>
      <c r="AFT7" s="659"/>
      <c r="AFU7" s="659"/>
      <c r="AFV7" s="659"/>
      <c r="AFW7" s="659"/>
      <c r="AFX7" s="659"/>
      <c r="AFY7" s="659"/>
      <c r="AFZ7" s="659"/>
      <c r="AGA7" s="659"/>
      <c r="AGB7" s="659"/>
      <c r="AGC7" s="659"/>
      <c r="AGD7" s="659"/>
      <c r="AGE7" s="659"/>
      <c r="AGF7" s="659"/>
      <c r="AGG7" s="659"/>
      <c r="AGH7" s="659"/>
      <c r="AGI7" s="659"/>
      <c r="AGJ7" s="659"/>
      <c r="AGK7" s="659"/>
      <c r="AGL7" s="659"/>
      <c r="AGM7" s="659"/>
      <c r="AGN7" s="659"/>
      <c r="AGO7" s="659"/>
      <c r="AGP7" s="659"/>
      <c r="AGQ7" s="659"/>
      <c r="AGR7" s="659"/>
      <c r="AGS7" s="659"/>
      <c r="AGT7" s="659"/>
      <c r="AGU7" s="659"/>
      <c r="AGV7" s="659"/>
      <c r="AGW7" s="659"/>
      <c r="AGX7" s="659"/>
      <c r="AGY7" s="659"/>
      <c r="AGZ7" s="659"/>
      <c r="AHA7" s="659"/>
      <c r="AHB7" s="182"/>
      <c r="AHC7" s="182"/>
      <c r="AHD7" s="182"/>
      <c r="AHE7" s="182"/>
      <c r="AHF7" s="182"/>
      <c r="AHG7" s="182"/>
      <c r="AHH7" s="182"/>
      <c r="AHI7" s="182"/>
      <c r="AHJ7" s="182"/>
      <c r="AHK7" s="182"/>
      <c r="AHL7" s="182"/>
      <c r="AHM7" s="182"/>
      <c r="AHN7" s="182"/>
      <c r="AHO7" s="182"/>
      <c r="AHP7" s="182"/>
      <c r="AHQ7" s="182"/>
      <c r="AHR7" s="182"/>
      <c r="AHS7" s="182"/>
      <c r="AHT7" s="182"/>
      <c r="AHU7" s="182"/>
      <c r="AHV7" s="182"/>
      <c r="AHW7" s="182"/>
      <c r="AHX7" s="182"/>
      <c r="AHY7" s="182"/>
      <c r="AHZ7" s="182"/>
      <c r="AIA7" s="182"/>
      <c r="AIB7" s="182"/>
      <c r="AIC7" s="182"/>
      <c r="AID7" s="182"/>
      <c r="AIE7" s="182"/>
      <c r="AIF7" s="182"/>
      <c r="AIG7" s="182"/>
      <c r="AIH7" s="182"/>
      <c r="AII7" s="182"/>
      <c r="AIJ7" s="182"/>
      <c r="AIK7" s="182"/>
      <c r="AIL7" s="182"/>
      <c r="AIM7" s="182"/>
      <c r="AIN7" s="182"/>
      <c r="AIO7" s="182"/>
      <c r="AIP7" s="182"/>
      <c r="AIQ7" s="182"/>
      <c r="AIR7" s="182"/>
      <c r="AIS7" s="182"/>
      <c r="AIT7" s="182"/>
      <c r="AIU7" s="182"/>
      <c r="AIV7" s="182"/>
      <c r="AIW7" s="182"/>
      <c r="AIX7" s="182"/>
      <c r="AIY7" s="182"/>
      <c r="AIZ7" s="182"/>
      <c r="AJA7" s="182"/>
      <c r="AJB7" s="182"/>
      <c r="AJC7" s="182"/>
      <c r="AJD7" s="182"/>
      <c r="AJE7" s="182"/>
      <c r="AJF7" s="182"/>
      <c r="AJG7" s="182"/>
      <c r="AJH7" s="182"/>
      <c r="AJI7" s="182"/>
      <c r="AJJ7" s="182"/>
      <c r="AJK7" s="182"/>
      <c r="AJL7" s="182"/>
      <c r="AJM7" s="182"/>
      <c r="AJN7" s="182"/>
      <c r="AJO7" s="182"/>
      <c r="AJP7" s="182"/>
      <c r="AJQ7" s="182"/>
      <c r="AJR7" s="182"/>
      <c r="AJS7" s="182"/>
      <c r="AJT7" s="182"/>
      <c r="AJU7" s="182"/>
      <c r="AJV7" s="182"/>
      <c r="AJW7" s="182"/>
      <c r="AJX7" s="182"/>
      <c r="AJY7" s="182"/>
      <c r="AJZ7" s="182"/>
      <c r="AKA7" s="182"/>
      <c r="AKB7" s="182"/>
      <c r="AKC7" s="182"/>
      <c r="AKD7" s="182"/>
      <c r="AKE7" s="182"/>
      <c r="AKF7" s="182"/>
      <c r="AKG7" s="182"/>
      <c r="AKH7" s="182"/>
      <c r="AKI7" s="182"/>
      <c r="AKJ7" s="182"/>
      <c r="AKK7" s="182"/>
      <c r="AKL7" s="182"/>
      <c r="AKM7" s="182"/>
      <c r="AKN7" s="182"/>
      <c r="AKO7" s="182"/>
      <c r="AKP7" s="182"/>
      <c r="AKQ7" s="182"/>
      <c r="AKR7" s="182"/>
      <c r="AKS7" s="182"/>
      <c r="AKT7" s="182"/>
      <c r="AKU7" s="182"/>
      <c r="AKV7" s="182"/>
      <c r="AKW7" s="182"/>
      <c r="AKX7" s="182"/>
      <c r="AKY7" s="182"/>
      <c r="AKZ7" s="182"/>
      <c r="ALA7" s="182"/>
      <c r="ALB7" s="182"/>
      <c r="ALC7" s="182"/>
      <c r="ALD7" s="182"/>
      <c r="ALE7" s="182"/>
      <c r="ALF7" s="182"/>
      <c r="ALG7" s="182"/>
      <c r="ALH7" s="182"/>
      <c r="ALI7" s="182"/>
      <c r="ALJ7" s="182"/>
      <c r="ALK7" s="182"/>
      <c r="ALL7" s="182"/>
      <c r="ALM7" s="182"/>
      <c r="ALN7" s="182"/>
      <c r="ALO7" s="182"/>
      <c r="ALP7" s="182"/>
      <c r="ALQ7" s="182"/>
      <c r="ALR7" s="182"/>
      <c r="ALS7" s="182"/>
      <c r="ALT7" s="182"/>
      <c r="ALU7" s="182"/>
      <c r="ALV7" s="182"/>
      <c r="ALW7" s="182"/>
      <c r="ALX7" s="182"/>
      <c r="ALY7" s="182"/>
      <c r="ALZ7" s="182"/>
      <c r="AMA7" s="182"/>
      <c r="AMB7" s="182"/>
      <c r="AMC7" s="182"/>
      <c r="AMD7" s="182"/>
      <c r="AME7" s="182"/>
      <c r="AMF7" s="182"/>
      <c r="AMG7" s="182"/>
      <c r="AMH7" s="182"/>
      <c r="AMI7" s="182"/>
      <c r="AMJ7" s="182"/>
      <c r="AMK7" s="182"/>
      <c r="AML7" s="182"/>
      <c r="AMM7" s="182"/>
      <c r="AMN7" s="182"/>
      <c r="AMO7" s="182"/>
      <c r="AMP7" s="182"/>
      <c r="AMQ7" s="182"/>
      <c r="AMR7" s="182"/>
      <c r="AMS7" s="182"/>
      <c r="AMT7" s="182"/>
      <c r="AMU7" s="182"/>
      <c r="AMV7" s="182"/>
      <c r="AMW7" s="182"/>
      <c r="AMX7" s="182"/>
      <c r="AMY7" s="182"/>
      <c r="AMZ7" s="182"/>
      <c r="ANA7" s="182"/>
      <c r="ANB7" s="182"/>
      <c r="ANC7" s="182"/>
      <c r="AND7" s="182"/>
      <c r="ANE7" s="182"/>
      <c r="ANF7" s="182"/>
      <c r="ANG7" s="182"/>
      <c r="ANH7" s="182"/>
      <c r="ANI7" s="182"/>
      <c r="ANJ7" s="182"/>
      <c r="ANK7" s="182"/>
      <c r="ANL7" s="182"/>
      <c r="ANM7" s="182"/>
      <c r="ANN7" s="182"/>
      <c r="ANO7" s="182"/>
      <c r="ANP7" s="182"/>
      <c r="ANQ7" s="182"/>
      <c r="ANR7" s="182"/>
      <c r="ANS7" s="182"/>
      <c r="ANT7" s="182"/>
      <c r="ANU7" s="182"/>
      <c r="ANV7" s="182"/>
      <c r="ANW7" s="182"/>
      <c r="ANX7" s="182"/>
      <c r="ANY7" s="182"/>
      <c r="ANZ7" s="182"/>
      <c r="AOA7" s="182"/>
      <c r="AOB7" s="182"/>
      <c r="AOC7" s="182"/>
      <c r="AOD7" s="182"/>
      <c r="AOE7" s="182"/>
      <c r="AOF7" s="182"/>
      <c r="AOG7" s="182"/>
      <c r="AOH7" s="182"/>
      <c r="AOI7" s="182"/>
      <c r="AOJ7" s="182"/>
      <c r="AOK7" s="182"/>
      <c r="AOL7" s="182"/>
    </row>
    <row r="8" spans="1:1087" s="157" customFormat="1" ht="198" customHeight="1" thickTop="1" thickBot="1">
      <c r="A8" s="176" t="s">
        <v>614</v>
      </c>
      <c r="B8" s="178" t="s">
        <v>762</v>
      </c>
      <c r="FB8" s="182"/>
      <c r="FC8" s="182"/>
      <c r="FD8" s="182"/>
      <c r="FE8" s="182"/>
      <c r="FF8" s="182"/>
      <c r="FG8" s="182"/>
      <c r="FH8" s="182"/>
      <c r="FI8" s="182"/>
      <c r="FJ8" s="182"/>
      <c r="FK8" s="182"/>
      <c r="FL8" s="182"/>
      <c r="FM8" s="182"/>
      <c r="FN8" s="182"/>
      <c r="FO8" s="182"/>
      <c r="FP8" s="182"/>
      <c r="FQ8" s="182"/>
      <c r="FR8" s="182"/>
      <c r="FS8" s="182"/>
      <c r="FT8" s="182"/>
      <c r="FU8" s="182"/>
      <c r="FV8" s="182"/>
      <c r="FW8" s="182"/>
      <c r="FX8" s="182"/>
      <c r="FY8" s="182"/>
      <c r="FZ8" s="182"/>
      <c r="GA8" s="182"/>
      <c r="GB8" s="182"/>
      <c r="GC8" s="182"/>
      <c r="GD8" s="182"/>
      <c r="GE8" s="182"/>
      <c r="GF8" s="182"/>
      <c r="GG8" s="182"/>
      <c r="GH8" s="182"/>
      <c r="GI8" s="182"/>
      <c r="GJ8" s="182"/>
      <c r="GK8" s="182"/>
      <c r="GL8" s="182"/>
      <c r="GM8" s="182"/>
      <c r="GN8" s="182"/>
      <c r="GO8" s="182"/>
      <c r="GP8" s="182"/>
      <c r="GQ8" s="182"/>
      <c r="GR8" s="182"/>
      <c r="GS8" s="182"/>
      <c r="GT8" s="182"/>
      <c r="GU8" s="182"/>
      <c r="GV8" s="182"/>
      <c r="GW8" s="182"/>
      <c r="GX8" s="182"/>
      <c r="GY8" s="182"/>
      <c r="GZ8" s="182"/>
      <c r="HA8" s="182"/>
      <c r="HB8" s="182"/>
      <c r="HC8" s="182"/>
      <c r="HD8" s="182"/>
      <c r="HE8" s="182"/>
      <c r="HF8" s="182"/>
      <c r="HG8" s="182"/>
      <c r="HH8" s="182"/>
      <c r="HI8" s="182"/>
      <c r="HJ8" s="182"/>
      <c r="HK8" s="182"/>
      <c r="HL8" s="182"/>
      <c r="HM8" s="182"/>
      <c r="HN8" s="182"/>
      <c r="HO8" s="182"/>
      <c r="HP8" s="182"/>
      <c r="HQ8" s="182"/>
      <c r="HR8" s="182"/>
      <c r="HS8" s="182"/>
      <c r="HT8" s="182"/>
      <c r="HU8" s="182"/>
      <c r="HV8" s="182"/>
      <c r="HW8" s="182"/>
      <c r="HX8" s="182"/>
      <c r="HY8" s="182"/>
      <c r="HZ8" s="182"/>
      <c r="IA8" s="182"/>
      <c r="IB8" s="182"/>
      <c r="IC8" s="182"/>
      <c r="ID8" s="182"/>
      <c r="IE8" s="182"/>
      <c r="IF8" s="182"/>
      <c r="IG8" s="182"/>
      <c r="IH8" s="182"/>
      <c r="II8" s="182"/>
      <c r="IJ8" s="182"/>
      <c r="IK8" s="182"/>
      <c r="IL8" s="182"/>
      <c r="IM8" s="182"/>
      <c r="IN8" s="182"/>
      <c r="IO8" s="182"/>
      <c r="IP8" s="182"/>
      <c r="IQ8" s="182"/>
      <c r="IR8" s="182"/>
      <c r="IS8" s="182"/>
      <c r="IT8" s="182"/>
      <c r="IU8" s="182"/>
      <c r="IV8" s="182"/>
      <c r="IW8" s="182"/>
      <c r="IX8" s="182"/>
      <c r="IY8" s="182"/>
      <c r="IZ8" s="182"/>
      <c r="JA8" s="182"/>
      <c r="JB8" s="182"/>
      <c r="JC8" s="182"/>
      <c r="JD8" s="182"/>
      <c r="JE8" s="182"/>
      <c r="JF8" s="182"/>
      <c r="JG8" s="182"/>
      <c r="JH8" s="182"/>
      <c r="JI8" s="182"/>
      <c r="JJ8" s="182"/>
      <c r="JK8" s="182"/>
      <c r="JL8" s="182"/>
      <c r="JM8" s="182"/>
      <c r="JN8" s="182"/>
      <c r="JO8" s="182"/>
      <c r="JP8" s="182"/>
      <c r="JQ8" s="182"/>
      <c r="JR8" s="182"/>
      <c r="JS8" s="182"/>
      <c r="JT8" s="182"/>
      <c r="JU8" s="182"/>
      <c r="JV8" s="182"/>
      <c r="JW8" s="182"/>
      <c r="JX8" s="182"/>
      <c r="JY8" s="182"/>
      <c r="JZ8" s="182"/>
      <c r="KA8" s="182"/>
      <c r="KB8" s="182"/>
      <c r="KC8" s="182"/>
      <c r="KD8" s="182"/>
      <c r="KE8" s="182"/>
      <c r="KF8" s="182"/>
      <c r="KG8" s="182"/>
      <c r="KH8" s="182"/>
      <c r="KI8" s="182"/>
      <c r="KJ8" s="182"/>
      <c r="KK8" s="182"/>
      <c r="KL8" s="182"/>
      <c r="KM8" s="182"/>
      <c r="KN8" s="182"/>
      <c r="KO8" s="182"/>
      <c r="KP8" s="182"/>
      <c r="KQ8" s="182"/>
      <c r="KR8" s="182"/>
      <c r="KS8" s="182"/>
      <c r="KT8" s="182"/>
      <c r="KU8" s="182"/>
      <c r="KV8" s="182"/>
      <c r="KW8" s="182"/>
      <c r="KX8" s="182"/>
      <c r="KY8" s="182"/>
      <c r="KZ8" s="182"/>
      <c r="LA8" s="182"/>
      <c r="LB8" s="182"/>
      <c r="LC8" s="182"/>
      <c r="LD8" s="182"/>
      <c r="LE8" s="182"/>
      <c r="LF8" s="182"/>
      <c r="LG8" s="182"/>
      <c r="LH8" s="182"/>
      <c r="LI8" s="182"/>
      <c r="LJ8" s="182"/>
      <c r="LK8" s="182"/>
      <c r="LL8" s="182"/>
      <c r="LM8" s="182"/>
      <c r="LN8" s="182"/>
      <c r="LO8" s="182"/>
      <c r="LP8" s="182"/>
      <c r="LQ8" s="182"/>
      <c r="LR8" s="182"/>
      <c r="LS8" s="182"/>
      <c r="LT8" s="182"/>
      <c r="LU8" s="182"/>
      <c r="LV8" s="182"/>
      <c r="LW8" s="182"/>
      <c r="LX8" s="182"/>
      <c r="LY8" s="182"/>
      <c r="LZ8" s="182"/>
      <c r="MA8" s="182"/>
      <c r="MB8" s="182"/>
      <c r="MC8" s="182"/>
      <c r="MD8" s="182"/>
      <c r="ME8" s="182"/>
      <c r="MF8" s="182"/>
      <c r="MG8" s="182"/>
      <c r="MH8" s="182"/>
      <c r="MI8" s="182"/>
      <c r="MJ8" s="182"/>
      <c r="MK8" s="182"/>
      <c r="ML8" s="182"/>
      <c r="MM8" s="182"/>
      <c r="MN8" s="182"/>
      <c r="MO8" s="182"/>
      <c r="MP8" s="182"/>
      <c r="MQ8" s="182"/>
      <c r="MR8" s="182"/>
      <c r="MS8" s="182"/>
      <c r="MT8" s="182"/>
      <c r="MU8" s="182"/>
      <c r="MV8" s="182"/>
      <c r="MW8" s="182"/>
      <c r="MX8" s="182"/>
      <c r="MY8" s="182"/>
      <c r="MZ8" s="182"/>
      <c r="NA8" s="182"/>
      <c r="NB8" s="182"/>
      <c r="NC8" s="182"/>
      <c r="ND8" s="182"/>
      <c r="NE8" s="182"/>
      <c r="NF8" s="182"/>
      <c r="NG8" s="182"/>
      <c r="NH8" s="182"/>
      <c r="NI8" s="182"/>
      <c r="NJ8" s="182"/>
      <c r="NK8" s="182"/>
      <c r="NL8" s="182"/>
      <c r="NM8" s="182"/>
      <c r="NN8" s="182"/>
      <c r="NO8" s="182"/>
      <c r="NP8" s="182"/>
      <c r="NQ8" s="182"/>
      <c r="NR8" s="182"/>
      <c r="NS8" s="182"/>
      <c r="NT8" s="182"/>
      <c r="NU8" s="182"/>
      <c r="NV8" s="182"/>
      <c r="NW8" s="182"/>
      <c r="NX8" s="182"/>
      <c r="NY8" s="182"/>
      <c r="NZ8" s="182"/>
      <c r="OA8" s="182"/>
      <c r="OB8" s="182"/>
      <c r="OC8" s="182"/>
      <c r="OD8" s="182"/>
      <c r="OE8" s="182"/>
      <c r="OF8" s="182"/>
      <c r="OG8" s="182"/>
      <c r="OH8" s="182"/>
      <c r="OI8" s="182"/>
      <c r="OJ8" s="182"/>
      <c r="OK8" s="182"/>
      <c r="OL8" s="182"/>
      <c r="OM8" s="182"/>
      <c r="ON8" s="182"/>
      <c r="OO8" s="182"/>
      <c r="OP8" s="182"/>
      <c r="OQ8" s="182"/>
      <c r="OR8" s="182"/>
      <c r="OS8" s="182"/>
      <c r="OT8" s="182"/>
      <c r="OU8" s="182"/>
      <c r="OV8" s="182"/>
      <c r="OW8" s="182"/>
      <c r="OX8" s="182"/>
      <c r="OY8" s="182"/>
      <c r="OZ8" s="182"/>
      <c r="PA8" s="182"/>
      <c r="PB8" s="182"/>
      <c r="PC8" s="182"/>
      <c r="PD8" s="182"/>
      <c r="PE8" s="182"/>
      <c r="PF8" s="182"/>
      <c r="PG8" s="182"/>
      <c r="PH8" s="182"/>
      <c r="PI8" s="182"/>
      <c r="PJ8" s="182"/>
      <c r="PK8" s="182"/>
      <c r="PL8" s="182"/>
      <c r="PM8" s="182"/>
      <c r="PN8" s="182"/>
      <c r="PO8" s="182"/>
      <c r="PP8" s="182"/>
      <c r="PQ8" s="182"/>
      <c r="PR8" s="182"/>
      <c r="PS8" s="182"/>
      <c r="PT8" s="182"/>
      <c r="PU8" s="182"/>
      <c r="PV8" s="182"/>
      <c r="PW8" s="182"/>
      <c r="PX8" s="182"/>
      <c r="PY8" s="182"/>
      <c r="PZ8" s="182"/>
      <c r="QA8" s="182"/>
      <c r="QB8" s="182"/>
      <c r="QC8" s="182"/>
      <c r="QD8" s="182"/>
      <c r="QE8" s="182"/>
      <c r="QF8" s="182"/>
      <c r="QG8" s="182"/>
      <c r="QH8" s="182"/>
      <c r="QI8" s="182"/>
      <c r="QJ8" s="182"/>
      <c r="QK8" s="182"/>
      <c r="QL8" s="182"/>
      <c r="QM8" s="182"/>
      <c r="QN8" s="182"/>
      <c r="QO8" s="182"/>
      <c r="QP8" s="182"/>
      <c r="QQ8" s="182"/>
      <c r="QR8" s="182"/>
      <c r="QS8" s="182"/>
      <c r="QT8" s="182"/>
      <c r="QU8" s="182"/>
      <c r="QV8" s="182"/>
      <c r="QW8" s="182"/>
      <c r="QX8" s="182"/>
      <c r="QY8" s="182"/>
      <c r="QZ8" s="182"/>
      <c r="RA8" s="182"/>
      <c r="RB8" s="182"/>
      <c r="RC8" s="182"/>
      <c r="RD8" s="182"/>
      <c r="RE8" s="182"/>
      <c r="RF8" s="182"/>
      <c r="RG8" s="182"/>
      <c r="RH8" s="182"/>
      <c r="RI8" s="182"/>
      <c r="RJ8" s="182"/>
      <c r="RK8" s="182"/>
      <c r="RL8" s="182"/>
      <c r="RM8" s="182"/>
      <c r="RN8" s="182"/>
      <c r="RO8" s="182"/>
      <c r="RP8" s="182"/>
      <c r="RQ8" s="182"/>
      <c r="RR8" s="182"/>
      <c r="RS8" s="182"/>
      <c r="RT8" s="182"/>
      <c r="RU8" s="182"/>
      <c r="RV8" s="182"/>
      <c r="RW8" s="182"/>
      <c r="RX8" s="182"/>
      <c r="RY8" s="182"/>
      <c r="RZ8" s="182"/>
      <c r="SA8" s="182"/>
      <c r="SB8" s="182"/>
      <c r="SC8" s="182"/>
      <c r="SD8" s="182"/>
      <c r="SE8" s="182"/>
      <c r="SF8" s="182"/>
      <c r="SG8" s="182"/>
      <c r="SH8" s="182"/>
      <c r="SI8" s="182"/>
      <c r="SJ8" s="182"/>
      <c r="SK8" s="182"/>
      <c r="SL8" s="182"/>
      <c r="SM8" s="182"/>
      <c r="SN8" s="182"/>
      <c r="SO8" s="182"/>
      <c r="SP8" s="182"/>
      <c r="SQ8" s="182"/>
      <c r="SR8" s="182"/>
      <c r="SS8" s="182"/>
      <c r="ST8" s="182"/>
      <c r="SU8" s="182"/>
      <c r="SV8" s="182"/>
      <c r="SW8" s="182"/>
      <c r="SX8" s="182"/>
      <c r="SY8" s="182"/>
      <c r="SZ8" s="182"/>
      <c r="TA8" s="182"/>
      <c r="TB8" s="182"/>
      <c r="TC8" s="182"/>
      <c r="TD8" s="182"/>
      <c r="TE8" s="182"/>
      <c r="TF8" s="182"/>
      <c r="TG8" s="182"/>
      <c r="TH8" s="182"/>
      <c r="TI8" s="182"/>
      <c r="TJ8" s="182"/>
      <c r="TK8" s="182"/>
      <c r="TL8" s="182"/>
      <c r="TM8" s="182"/>
      <c r="TN8" s="182"/>
      <c r="TO8" s="182"/>
      <c r="TP8" s="182"/>
      <c r="TQ8" s="182"/>
      <c r="TR8" s="182"/>
      <c r="TS8" s="182"/>
      <c r="TT8" s="182"/>
      <c r="TU8" s="182"/>
      <c r="TV8" s="182"/>
      <c r="TW8" s="182"/>
      <c r="TX8" s="182"/>
      <c r="TY8" s="182"/>
      <c r="TZ8" s="182"/>
      <c r="UA8" s="182"/>
      <c r="UB8" s="182"/>
      <c r="UC8" s="182"/>
      <c r="UD8" s="182"/>
      <c r="UE8" s="182"/>
      <c r="UF8" s="182"/>
      <c r="UG8" s="182"/>
      <c r="UH8" s="182"/>
      <c r="UI8" s="182"/>
      <c r="UJ8" s="182"/>
      <c r="UK8" s="182"/>
      <c r="UL8" s="182"/>
      <c r="UM8" s="182"/>
      <c r="UN8" s="182"/>
      <c r="UO8" s="182"/>
      <c r="UP8" s="182"/>
      <c r="UQ8" s="182"/>
      <c r="UR8" s="182"/>
      <c r="US8" s="182"/>
      <c r="UT8" s="182"/>
      <c r="UU8" s="182"/>
      <c r="UV8" s="182"/>
      <c r="UW8" s="182"/>
      <c r="UX8" s="182"/>
      <c r="UY8" s="182"/>
      <c r="UZ8" s="182"/>
      <c r="VA8" s="182"/>
      <c r="VB8" s="182"/>
      <c r="VC8" s="182"/>
      <c r="VD8" s="182"/>
      <c r="VE8" s="182"/>
      <c r="VF8" s="182"/>
      <c r="VG8" s="182"/>
      <c r="VH8" s="182"/>
      <c r="VI8" s="182"/>
      <c r="VJ8" s="182"/>
      <c r="VK8" s="182"/>
      <c r="VL8" s="182"/>
      <c r="VM8" s="182"/>
      <c r="VN8" s="182"/>
      <c r="VO8" s="182"/>
      <c r="VP8" s="182"/>
      <c r="VQ8" s="182"/>
      <c r="VR8" s="182"/>
      <c r="VS8" s="182"/>
      <c r="VT8" s="182"/>
      <c r="VU8" s="182"/>
      <c r="VV8" s="182"/>
      <c r="VW8" s="182"/>
      <c r="VX8" s="182"/>
      <c r="VY8" s="182"/>
      <c r="VZ8" s="182"/>
      <c r="WA8" s="182"/>
      <c r="WB8" s="182"/>
      <c r="WC8" s="182"/>
      <c r="WD8" s="182"/>
      <c r="WE8" s="182"/>
      <c r="WF8" s="182"/>
      <c r="WG8" s="182"/>
      <c r="WH8" s="182"/>
      <c r="WI8" s="182"/>
      <c r="WJ8" s="182"/>
      <c r="WK8" s="182"/>
      <c r="WL8" s="182"/>
      <c r="WM8" s="182"/>
      <c r="WN8" s="182"/>
      <c r="WO8" s="182"/>
      <c r="WP8" s="182"/>
      <c r="WQ8" s="182"/>
      <c r="WR8" s="182"/>
      <c r="WS8" s="182"/>
      <c r="WT8" s="182"/>
      <c r="WU8" s="182"/>
      <c r="WV8" s="182"/>
      <c r="WW8" s="182"/>
      <c r="WX8" s="182"/>
      <c r="WY8" s="182"/>
      <c r="WZ8" s="182"/>
      <c r="XA8" s="182"/>
      <c r="XB8" s="182"/>
      <c r="XC8" s="182"/>
      <c r="XD8" s="182"/>
      <c r="XE8" s="182"/>
      <c r="XF8" s="182"/>
      <c r="XG8" s="182"/>
      <c r="XH8" s="182"/>
      <c r="XI8" s="182"/>
      <c r="XJ8" s="182"/>
      <c r="XK8" s="182"/>
      <c r="XL8" s="182"/>
      <c r="XM8" s="182"/>
      <c r="XN8" s="182"/>
      <c r="XO8" s="182"/>
      <c r="XP8" s="182"/>
      <c r="XQ8" s="182"/>
      <c r="XR8" s="182"/>
      <c r="XS8" s="182"/>
      <c r="XT8" s="182"/>
      <c r="XU8" s="182"/>
      <c r="XV8" s="182"/>
      <c r="XW8" s="182"/>
      <c r="XX8" s="182"/>
      <c r="XY8" s="182"/>
      <c r="XZ8" s="182"/>
      <c r="YA8" s="182"/>
      <c r="YB8" s="182"/>
      <c r="YC8" s="182"/>
      <c r="YD8" s="182"/>
      <c r="YE8" s="182"/>
      <c r="YF8" s="182"/>
      <c r="YG8" s="182"/>
      <c r="YH8" s="182"/>
      <c r="YI8" s="182"/>
      <c r="YJ8" s="182"/>
      <c r="YK8" s="182"/>
      <c r="YL8" s="182"/>
      <c r="YM8" s="182"/>
      <c r="YN8" s="182"/>
      <c r="YO8" s="182"/>
      <c r="YP8" s="182"/>
      <c r="YQ8" s="182"/>
      <c r="YR8" s="182"/>
      <c r="YS8" s="182"/>
      <c r="YT8" s="182"/>
      <c r="YU8" s="182"/>
      <c r="YV8" s="182"/>
      <c r="YW8" s="182"/>
      <c r="YX8" s="182"/>
      <c r="YY8" s="182"/>
      <c r="YZ8" s="182"/>
      <c r="ZA8" s="182"/>
      <c r="ZB8" s="182"/>
      <c r="ZC8" s="182"/>
      <c r="ZD8" s="182"/>
      <c r="ZE8" s="182"/>
      <c r="ZF8" s="182"/>
      <c r="ZG8" s="182"/>
      <c r="ZH8" s="182"/>
      <c r="ZI8" s="182"/>
      <c r="ZJ8" s="182"/>
      <c r="ZK8" s="182"/>
      <c r="ZL8" s="182"/>
      <c r="ZM8" s="182"/>
      <c r="ZN8" s="182"/>
      <c r="ZO8" s="182"/>
      <c r="ZP8" s="182"/>
      <c r="ZQ8" s="182"/>
      <c r="ZR8" s="182"/>
      <c r="ZS8" s="182"/>
      <c r="ZT8" s="182"/>
      <c r="ZU8" s="182"/>
      <c r="ZV8" s="182"/>
      <c r="ZW8" s="182"/>
      <c r="ZX8" s="182"/>
      <c r="ZY8" s="182"/>
      <c r="ZZ8" s="182"/>
      <c r="AAA8" s="182"/>
      <c r="AAB8" s="182"/>
      <c r="AAC8" s="182"/>
      <c r="AAD8" s="182"/>
      <c r="AAE8" s="182"/>
      <c r="AAF8" s="182"/>
      <c r="AAG8" s="182"/>
      <c r="AAH8" s="182"/>
      <c r="AAI8" s="182"/>
      <c r="AAJ8" s="182"/>
      <c r="AAK8" s="182"/>
      <c r="AAL8" s="182"/>
      <c r="AAM8" s="182"/>
      <c r="AAN8" s="182"/>
      <c r="AAO8" s="182"/>
      <c r="AAP8" s="182"/>
      <c r="AAQ8" s="182"/>
      <c r="AAR8" s="631" t="s">
        <v>147</v>
      </c>
      <c r="AAS8" s="631"/>
      <c r="AAT8" s="631"/>
      <c r="AAU8" s="631"/>
      <c r="AAV8" s="619" t="s">
        <v>371</v>
      </c>
      <c r="AAW8" s="619"/>
      <c r="AAX8" s="619"/>
      <c r="AAY8" s="619"/>
      <c r="AAZ8" s="619"/>
      <c r="ABA8" s="619"/>
      <c r="ABB8" s="619"/>
      <c r="ABC8" s="619"/>
      <c r="ABD8" s="619"/>
      <c r="ABE8" s="619"/>
      <c r="ABF8" s="619"/>
      <c r="ABG8" s="660" t="s">
        <v>778</v>
      </c>
      <c r="ABH8" s="660"/>
      <c r="ABI8" s="660"/>
      <c r="ABJ8" s="660"/>
      <c r="ABK8" s="660"/>
      <c r="ABL8" s="660"/>
      <c r="ABM8" s="661" t="s">
        <v>735</v>
      </c>
      <c r="ABN8" s="661"/>
      <c r="ABO8" s="661"/>
      <c r="ABP8" s="661"/>
      <c r="ABQ8" s="661"/>
      <c r="ABR8" s="661"/>
      <c r="ABS8" s="661"/>
      <c r="ABT8" s="661"/>
      <c r="ABU8" s="661"/>
      <c r="ABV8" s="661"/>
      <c r="ABW8" s="661"/>
      <c r="ABX8" s="645" t="s">
        <v>194</v>
      </c>
      <c r="ABY8" s="645"/>
      <c r="ABZ8" s="645"/>
      <c r="ACA8" s="645"/>
      <c r="ACB8" s="619" t="s">
        <v>376</v>
      </c>
      <c r="ACC8" s="619"/>
      <c r="ACD8" s="619"/>
      <c r="ACE8" s="619"/>
      <c r="ACF8" s="619"/>
      <c r="ACG8" s="619"/>
      <c r="ACH8" s="645" t="s">
        <v>209</v>
      </c>
      <c r="ACI8" s="645"/>
      <c r="ACJ8" s="645"/>
      <c r="ACK8" s="645"/>
      <c r="ACL8" s="617" t="s">
        <v>379</v>
      </c>
      <c r="ACM8" s="617"/>
      <c r="ACN8" s="617"/>
      <c r="ACO8" s="617"/>
      <c r="ACP8" s="617"/>
      <c r="ACQ8" s="617"/>
      <c r="ACR8" s="617"/>
      <c r="ACS8" s="617"/>
      <c r="ACT8" s="617"/>
      <c r="ACU8" s="617"/>
      <c r="ACV8" s="617"/>
      <c r="ACW8" s="617"/>
      <c r="ACX8" s="617"/>
      <c r="ACY8" s="617"/>
      <c r="ACZ8" s="617"/>
      <c r="ADA8" s="617"/>
      <c r="ADB8" s="617"/>
      <c r="ADC8" s="617"/>
      <c r="ADD8" s="617"/>
      <c r="ADE8" s="617"/>
      <c r="ADF8" s="617"/>
      <c r="ADG8" s="617"/>
      <c r="ADH8" s="617"/>
      <c r="ADI8" s="617"/>
      <c r="ADJ8" s="617"/>
      <c r="ADK8" s="617"/>
      <c r="ADL8" s="617"/>
      <c r="ADM8" s="617"/>
      <c r="ADN8" s="617"/>
      <c r="ADO8" s="617"/>
      <c r="ADP8" s="617"/>
      <c r="ADQ8" s="619" t="s">
        <v>236</v>
      </c>
      <c r="ADR8" s="619"/>
      <c r="ADS8" s="619"/>
      <c r="ADT8" s="619"/>
      <c r="ADU8" s="619"/>
      <c r="ADV8" s="619"/>
      <c r="ADW8" s="649" t="s">
        <v>777</v>
      </c>
      <c r="ADX8" s="649"/>
      <c r="ADY8" s="649"/>
      <c r="ADZ8" s="649"/>
      <c r="AEA8" s="649"/>
      <c r="AEB8" s="649"/>
      <c r="AEC8" s="649"/>
      <c r="AED8" s="649"/>
      <c r="AEE8" s="182"/>
      <c r="AEF8" s="182"/>
      <c r="AEG8" s="182"/>
      <c r="AEH8" s="182"/>
      <c r="AEI8" s="182"/>
      <c r="AEJ8" s="182"/>
      <c r="AEK8" s="182"/>
      <c r="AEL8" s="182"/>
      <c r="AEM8" s="182"/>
      <c r="AEN8" s="182"/>
      <c r="AEO8" s="182"/>
      <c r="AEP8" s="182"/>
      <c r="AEQ8" s="182"/>
      <c r="AER8" s="182"/>
      <c r="AES8" s="182"/>
      <c r="AET8" s="182"/>
      <c r="AEU8" s="182"/>
      <c r="AEV8" s="182"/>
      <c r="AEW8" s="182"/>
      <c r="AEX8" s="182"/>
      <c r="AEY8" s="182"/>
      <c r="AEZ8" s="182"/>
      <c r="AFA8" s="182"/>
      <c r="AFB8" s="182"/>
      <c r="AFC8" s="182"/>
      <c r="AFD8" s="182"/>
      <c r="AFE8" s="182"/>
      <c r="AFF8" s="182"/>
      <c r="AFG8" s="182"/>
      <c r="AFH8" s="182"/>
      <c r="AFI8" s="182"/>
      <c r="AFJ8" s="182"/>
      <c r="AFK8" s="182"/>
      <c r="AFL8" s="182"/>
      <c r="AFM8" s="182"/>
      <c r="AFN8" s="182"/>
      <c r="AFO8" s="182"/>
      <c r="AFP8" s="182"/>
      <c r="AFQ8" s="182"/>
      <c r="AFR8" s="182"/>
      <c r="AFS8" s="182"/>
      <c r="AFT8" s="182"/>
      <c r="AFU8" s="182"/>
      <c r="AFV8" s="182"/>
      <c r="AFW8" s="182"/>
      <c r="AFX8" s="182"/>
      <c r="AFY8" s="182"/>
      <c r="AFZ8" s="182"/>
      <c r="AGA8" s="182"/>
      <c r="AGB8" s="182"/>
      <c r="AGC8" s="182"/>
      <c r="AGD8" s="182"/>
      <c r="AGE8" s="182"/>
      <c r="AGF8" s="182"/>
      <c r="AGG8" s="182"/>
      <c r="AGH8" s="182"/>
      <c r="AGI8" s="182"/>
      <c r="AGJ8" s="182"/>
      <c r="AGK8" s="182"/>
      <c r="AGL8" s="182"/>
      <c r="AGM8" s="182"/>
      <c r="AGN8" s="182"/>
      <c r="AGO8" s="182"/>
      <c r="AGP8" s="182"/>
      <c r="AGQ8" s="182"/>
      <c r="AGR8" s="182"/>
      <c r="AGS8" s="182"/>
      <c r="AGT8" s="182"/>
      <c r="AGU8" s="182"/>
      <c r="AGV8" s="182"/>
      <c r="AGW8" s="182"/>
      <c r="AGX8" s="182"/>
      <c r="AGY8" s="182"/>
      <c r="AGZ8" s="182"/>
      <c r="AHA8" s="182"/>
      <c r="AHB8" s="182"/>
      <c r="AHC8" s="182"/>
      <c r="AHD8" s="182"/>
      <c r="AHE8" s="182"/>
      <c r="AHF8" s="182"/>
      <c r="AHG8" s="182"/>
      <c r="AHH8" s="182"/>
      <c r="AHI8" s="182"/>
      <c r="AHJ8" s="182"/>
      <c r="AHK8" s="182"/>
      <c r="AHL8" s="182"/>
      <c r="AHM8" s="182"/>
      <c r="AHN8" s="182"/>
      <c r="AHO8" s="182"/>
      <c r="AHP8" s="182"/>
      <c r="AHQ8" s="182"/>
      <c r="AHR8" s="182"/>
      <c r="AHS8" s="182"/>
      <c r="AHT8" s="182"/>
      <c r="AHU8" s="182"/>
      <c r="AHV8" s="182"/>
      <c r="AHW8" s="182"/>
      <c r="AHX8" s="182"/>
      <c r="AHY8" s="182"/>
      <c r="AHZ8" s="182"/>
      <c r="AIA8" s="182"/>
      <c r="AIB8" s="182"/>
      <c r="AIC8" s="182"/>
      <c r="AID8" s="182"/>
      <c r="AIE8" s="182"/>
      <c r="AIF8" s="182"/>
      <c r="AIG8" s="182"/>
      <c r="AIH8" s="182"/>
      <c r="AII8" s="182"/>
      <c r="AIJ8" s="182"/>
      <c r="AIK8" s="182"/>
      <c r="AIL8" s="182"/>
      <c r="AIM8" s="182"/>
      <c r="AIN8" s="182"/>
      <c r="AIO8" s="182"/>
      <c r="AIP8" s="182"/>
      <c r="AIQ8" s="182"/>
      <c r="AIR8" s="182"/>
      <c r="AIS8" s="182"/>
      <c r="AIT8" s="182"/>
      <c r="AIU8" s="182"/>
      <c r="AIV8" s="182"/>
      <c r="AIW8" s="182"/>
      <c r="AIX8" s="182"/>
      <c r="AIY8" s="182"/>
      <c r="AIZ8" s="182"/>
      <c r="AJA8" s="182"/>
      <c r="AJB8" s="182"/>
      <c r="AJC8" s="182"/>
      <c r="AJD8" s="182"/>
      <c r="AJE8" s="182"/>
      <c r="AJF8" s="182"/>
      <c r="AJG8" s="182"/>
      <c r="AJH8" s="182"/>
      <c r="AJI8" s="182"/>
      <c r="AJJ8" s="182"/>
      <c r="AJK8" s="182"/>
      <c r="AJL8" s="182"/>
      <c r="AJM8" s="182"/>
      <c r="AJN8" s="182"/>
      <c r="AJO8" s="182"/>
      <c r="AJP8" s="182"/>
      <c r="AJQ8" s="182"/>
      <c r="AJR8" s="182"/>
      <c r="AJS8" s="182"/>
      <c r="AJT8" s="182"/>
      <c r="AJU8" s="182"/>
      <c r="AJV8" s="182"/>
      <c r="AJW8" s="182"/>
      <c r="AJX8" s="182"/>
      <c r="AJY8" s="182"/>
      <c r="AJZ8" s="182"/>
      <c r="AKA8" s="182"/>
      <c r="AKB8" s="182"/>
      <c r="AKC8" s="182"/>
      <c r="AKD8" s="182"/>
      <c r="AKE8" s="182"/>
      <c r="AKF8" s="182"/>
      <c r="AKG8" s="182"/>
      <c r="AKH8" s="182"/>
      <c r="AKI8" s="182"/>
      <c r="AKJ8" s="182"/>
      <c r="AKK8" s="182"/>
      <c r="AKL8" s="182"/>
      <c r="AKM8" s="182"/>
      <c r="AKN8" s="182"/>
      <c r="AKO8" s="182"/>
      <c r="AKP8" s="182"/>
      <c r="AKQ8" s="182"/>
      <c r="AKR8" s="182"/>
      <c r="AKS8" s="182"/>
      <c r="AKT8" s="182"/>
      <c r="AKU8" s="182"/>
      <c r="AKV8" s="182"/>
      <c r="AKW8" s="182"/>
      <c r="AKX8" s="182"/>
      <c r="AKY8" s="182"/>
      <c r="AKZ8" s="182"/>
      <c r="ALA8" s="182"/>
      <c r="ALB8" s="182"/>
      <c r="ALC8" s="182"/>
      <c r="ALD8" s="182"/>
      <c r="ALE8" s="182"/>
      <c r="ALF8" s="182"/>
      <c r="ALG8" s="182"/>
      <c r="ALH8" s="182"/>
      <c r="ALI8" s="182"/>
      <c r="ALJ8" s="182"/>
      <c r="ALK8" s="182"/>
      <c r="ALL8" s="182"/>
      <c r="ALM8" s="182"/>
      <c r="ALN8" s="182"/>
      <c r="ALO8" s="182"/>
      <c r="ALP8" s="182"/>
      <c r="ALQ8" s="182"/>
      <c r="ALR8" s="182"/>
      <c r="ALS8" s="182"/>
      <c r="ALT8" s="182"/>
      <c r="ALU8" s="182"/>
      <c r="ALV8" s="182"/>
      <c r="ALW8" s="182"/>
      <c r="ALX8" s="182"/>
      <c r="ALY8" s="182"/>
      <c r="ALZ8" s="182"/>
      <c r="AMA8" s="182"/>
      <c r="AMB8" s="182"/>
      <c r="AMC8" s="182"/>
      <c r="AMD8" s="182"/>
      <c r="AME8" s="182"/>
      <c r="AMF8" s="182"/>
      <c r="AMG8" s="182"/>
      <c r="AMH8" s="182"/>
      <c r="AMI8" s="182"/>
      <c r="AMJ8" s="182"/>
      <c r="AMK8" s="182"/>
      <c r="AML8" s="182"/>
      <c r="AMM8" s="182"/>
      <c r="AMN8" s="182"/>
      <c r="AMO8" s="182"/>
      <c r="AMP8" s="182"/>
      <c r="AMQ8" s="182"/>
      <c r="AMR8" s="182"/>
      <c r="AMS8" s="182"/>
      <c r="AMT8" s="182"/>
      <c r="AMU8" s="182"/>
      <c r="AMV8" s="182"/>
      <c r="AMW8" s="182"/>
      <c r="AMX8" s="182"/>
      <c r="AMY8" s="182"/>
      <c r="AMZ8" s="182"/>
      <c r="ANA8" s="182"/>
      <c r="ANB8" s="182"/>
      <c r="ANC8" s="182"/>
      <c r="AND8" s="182"/>
      <c r="ANE8" s="182"/>
      <c r="ANF8" s="182"/>
      <c r="ANG8" s="182"/>
      <c r="ANH8" s="182"/>
      <c r="ANI8" s="182"/>
      <c r="ANJ8" s="182"/>
      <c r="ANK8" s="182"/>
      <c r="ANL8" s="182"/>
      <c r="ANM8" s="182"/>
      <c r="ANN8" s="182"/>
      <c r="ANO8" s="182"/>
      <c r="ANP8" s="182"/>
      <c r="ANQ8" s="182"/>
      <c r="ANR8" s="182"/>
      <c r="ANS8" s="182"/>
      <c r="ANT8" s="182"/>
      <c r="ANU8" s="182"/>
      <c r="ANV8" s="182"/>
      <c r="ANW8" s="182"/>
      <c r="ANX8" s="182"/>
      <c r="ANY8" s="182"/>
      <c r="ANZ8" s="182"/>
      <c r="AOA8" s="182"/>
      <c r="AOB8" s="182"/>
      <c r="AOC8" s="182"/>
      <c r="AOD8" s="182"/>
      <c r="AOE8" s="182"/>
      <c r="AOF8" s="182"/>
      <c r="AOG8" s="182"/>
      <c r="AOH8" s="182"/>
      <c r="AOI8" s="182"/>
      <c r="AOJ8" s="182"/>
      <c r="AOK8" s="182"/>
      <c r="AOL8" s="182"/>
    </row>
    <row r="9" spans="1:1087" s="74" customFormat="1" ht="182.4" customHeight="1" thickTop="1" thickBot="1">
      <c r="A9" s="176" t="s">
        <v>614</v>
      </c>
      <c r="B9" s="179" t="s">
        <v>665</v>
      </c>
      <c r="FB9" s="189"/>
      <c r="FC9" s="189"/>
      <c r="FD9" s="189"/>
      <c r="FE9" s="189"/>
      <c r="FF9" s="189"/>
      <c r="FG9" s="189"/>
      <c r="FH9" s="189"/>
      <c r="FI9" s="189"/>
      <c r="FJ9" s="189"/>
      <c r="FK9" s="189"/>
      <c r="FL9" s="189"/>
      <c r="FM9" s="189"/>
      <c r="FN9" s="189"/>
      <c r="FO9" s="189"/>
      <c r="FP9" s="189"/>
      <c r="FQ9" s="189"/>
      <c r="FR9" s="189"/>
      <c r="FS9" s="189"/>
      <c r="FT9" s="189"/>
      <c r="FU9" s="189"/>
      <c r="FV9" s="189"/>
      <c r="FW9" s="189"/>
      <c r="FX9" s="189"/>
      <c r="FY9" s="189"/>
      <c r="FZ9" s="189"/>
      <c r="GA9" s="189"/>
      <c r="GB9" s="189"/>
      <c r="GC9" s="189"/>
      <c r="GD9" s="189"/>
      <c r="GE9" s="189"/>
      <c r="GF9" s="189"/>
      <c r="GG9" s="189"/>
      <c r="GH9" s="189"/>
      <c r="GI9" s="189"/>
      <c r="GJ9" s="189"/>
      <c r="GK9" s="189"/>
      <c r="GL9" s="189"/>
      <c r="GM9" s="189"/>
      <c r="GN9" s="189"/>
      <c r="GO9" s="189"/>
      <c r="GP9" s="189"/>
      <c r="GQ9" s="189"/>
      <c r="GR9" s="189"/>
      <c r="GS9" s="189"/>
      <c r="GT9" s="189"/>
      <c r="GU9" s="189"/>
      <c r="GV9" s="189"/>
      <c r="GW9" s="189"/>
      <c r="GX9" s="189"/>
      <c r="GY9" s="189"/>
      <c r="GZ9" s="189"/>
      <c r="HA9" s="189"/>
      <c r="HB9" s="189"/>
      <c r="HC9" s="189"/>
      <c r="HD9" s="189"/>
      <c r="HE9" s="189"/>
      <c r="HF9" s="189"/>
      <c r="HG9" s="189"/>
      <c r="HH9" s="189"/>
      <c r="HI9" s="189"/>
      <c r="HJ9" s="189"/>
      <c r="HK9" s="189"/>
      <c r="HL9" s="189"/>
      <c r="HM9" s="189"/>
      <c r="HN9" s="189"/>
      <c r="HO9" s="189"/>
      <c r="HP9" s="189"/>
      <c r="HQ9" s="189"/>
      <c r="HR9" s="189"/>
      <c r="HS9" s="189"/>
      <c r="HT9" s="189"/>
      <c r="HU9" s="189"/>
      <c r="HV9" s="189"/>
      <c r="HW9" s="189"/>
      <c r="HX9" s="189"/>
      <c r="HY9" s="189"/>
      <c r="HZ9" s="189"/>
      <c r="IA9" s="189"/>
      <c r="IB9" s="189"/>
      <c r="IC9" s="189"/>
      <c r="ID9" s="189"/>
      <c r="IE9" s="189"/>
      <c r="IF9" s="189"/>
      <c r="IG9" s="189"/>
      <c r="IH9" s="189"/>
      <c r="II9" s="189"/>
      <c r="IJ9" s="189"/>
      <c r="IK9" s="189"/>
      <c r="IL9" s="189"/>
      <c r="IM9" s="189"/>
      <c r="IN9" s="189"/>
      <c r="IO9" s="189"/>
      <c r="IP9" s="189"/>
      <c r="IQ9" s="189"/>
      <c r="IR9" s="189"/>
      <c r="IS9" s="189"/>
      <c r="IT9" s="189"/>
      <c r="IU9" s="189"/>
      <c r="IV9" s="189"/>
      <c r="IW9" s="189"/>
      <c r="IX9" s="189"/>
      <c r="IY9" s="189"/>
      <c r="IZ9" s="189"/>
      <c r="JA9" s="189"/>
      <c r="JB9" s="189"/>
      <c r="JC9" s="189"/>
      <c r="JD9" s="189"/>
      <c r="JE9" s="189"/>
      <c r="JF9" s="189"/>
      <c r="JG9" s="189"/>
      <c r="JH9" s="189"/>
      <c r="JI9" s="189"/>
      <c r="JJ9" s="189"/>
      <c r="JK9" s="189"/>
      <c r="JL9" s="189"/>
      <c r="JM9" s="189"/>
      <c r="JN9" s="189"/>
      <c r="JO9" s="189"/>
      <c r="JP9" s="189"/>
      <c r="JQ9" s="189"/>
      <c r="JR9" s="189"/>
      <c r="JS9" s="189"/>
      <c r="JT9" s="189"/>
      <c r="JU9" s="189"/>
      <c r="JV9" s="189"/>
      <c r="JW9" s="189"/>
      <c r="JX9" s="189"/>
      <c r="JY9" s="189"/>
      <c r="JZ9" s="189"/>
      <c r="KA9" s="189"/>
      <c r="KB9" s="189"/>
      <c r="KC9" s="189"/>
      <c r="KD9" s="189"/>
      <c r="KE9" s="189"/>
      <c r="KF9" s="189"/>
      <c r="KG9" s="189"/>
      <c r="KH9" s="189"/>
      <c r="KI9" s="189"/>
      <c r="KJ9" s="189"/>
      <c r="KK9" s="189"/>
      <c r="KL9" s="189"/>
      <c r="KM9" s="189"/>
      <c r="KN9" s="189"/>
      <c r="KO9" s="189"/>
      <c r="KP9" s="189"/>
      <c r="KQ9" s="189"/>
      <c r="KR9" s="189"/>
      <c r="KS9" s="189"/>
      <c r="KT9" s="189"/>
      <c r="KU9" s="189"/>
      <c r="KV9" s="189"/>
      <c r="KW9" s="189"/>
      <c r="KX9" s="189"/>
      <c r="KY9" s="189"/>
      <c r="KZ9" s="189"/>
      <c r="LA9" s="189"/>
      <c r="LB9" s="189"/>
      <c r="LC9" s="189"/>
      <c r="LD9" s="189"/>
      <c r="LE9" s="189"/>
      <c r="LF9" s="189"/>
      <c r="LG9" s="189"/>
      <c r="LH9" s="189"/>
      <c r="LI9" s="189"/>
      <c r="LJ9" s="189"/>
      <c r="LK9" s="189"/>
      <c r="LL9" s="189"/>
      <c r="LM9" s="189"/>
      <c r="LN9" s="189"/>
      <c r="LO9" s="189"/>
      <c r="LP9" s="189"/>
      <c r="LQ9" s="189"/>
      <c r="LR9" s="189"/>
      <c r="LS9" s="189"/>
      <c r="LT9" s="189"/>
      <c r="LU9" s="189"/>
      <c r="LV9" s="189"/>
      <c r="LW9" s="189"/>
      <c r="LX9" s="189"/>
      <c r="LY9" s="189"/>
      <c r="LZ9" s="189"/>
      <c r="MA9" s="189"/>
      <c r="MB9" s="189"/>
      <c r="MC9" s="189"/>
      <c r="MD9" s="189"/>
      <c r="ME9" s="189"/>
      <c r="MF9" s="189"/>
      <c r="MG9" s="189"/>
      <c r="MH9" s="189"/>
      <c r="MI9" s="189"/>
      <c r="MJ9" s="189"/>
      <c r="MK9" s="189"/>
      <c r="ML9" s="189"/>
      <c r="MM9" s="189"/>
      <c r="MN9" s="189"/>
      <c r="MO9" s="189"/>
      <c r="MP9" s="189"/>
      <c r="MQ9" s="189"/>
      <c r="MR9" s="189"/>
      <c r="MS9" s="189"/>
      <c r="MT9" s="189"/>
      <c r="MU9" s="189"/>
      <c r="MV9" s="189"/>
      <c r="MW9" s="189"/>
      <c r="MX9" s="189"/>
      <c r="MY9" s="189"/>
      <c r="MZ9" s="189"/>
      <c r="NA9" s="189"/>
      <c r="NB9" s="189"/>
      <c r="NC9" s="189"/>
      <c r="ND9" s="189"/>
      <c r="NE9" s="189"/>
      <c r="NF9" s="189"/>
      <c r="NG9" s="189"/>
      <c r="NH9" s="189"/>
      <c r="NI9" s="189"/>
      <c r="NJ9" s="189"/>
      <c r="NK9" s="189"/>
      <c r="NL9" s="189"/>
      <c r="NM9" s="189"/>
      <c r="NN9" s="189"/>
      <c r="NO9" s="189"/>
      <c r="NP9" s="189"/>
      <c r="NQ9" s="189"/>
      <c r="NR9" s="189"/>
      <c r="NS9" s="189"/>
      <c r="NT9" s="189"/>
      <c r="NU9" s="189"/>
      <c r="NV9" s="189"/>
      <c r="NW9" s="189"/>
      <c r="NX9" s="189"/>
      <c r="NY9" s="189"/>
      <c r="NZ9" s="189"/>
      <c r="OA9" s="189"/>
      <c r="OB9" s="189"/>
      <c r="OC9" s="189"/>
      <c r="OD9" s="189"/>
      <c r="OE9" s="189"/>
      <c r="OF9" s="189"/>
      <c r="OG9" s="189"/>
      <c r="OH9" s="189"/>
      <c r="OI9" s="189"/>
      <c r="OJ9" s="189"/>
      <c r="OK9" s="189"/>
      <c r="OL9" s="189"/>
      <c r="OM9" s="189"/>
      <c r="ON9" s="189"/>
      <c r="OO9" s="189"/>
      <c r="OP9" s="189"/>
      <c r="OQ9" s="189"/>
      <c r="OR9" s="189"/>
      <c r="OS9" s="189"/>
      <c r="OT9" s="189"/>
      <c r="OU9" s="189"/>
      <c r="OV9" s="189"/>
      <c r="OW9" s="189"/>
      <c r="OX9" s="189"/>
      <c r="OY9" s="189"/>
      <c r="OZ9" s="189"/>
      <c r="PA9" s="189"/>
      <c r="PB9" s="189"/>
      <c r="PC9" s="189"/>
      <c r="PD9" s="189"/>
      <c r="PE9" s="189"/>
      <c r="PF9" s="189"/>
      <c r="PG9" s="189"/>
      <c r="PH9" s="189"/>
      <c r="PI9" s="189"/>
      <c r="PJ9" s="189"/>
      <c r="PK9" s="189"/>
      <c r="PL9" s="189"/>
      <c r="PM9" s="189"/>
      <c r="PN9" s="189"/>
      <c r="PO9" s="189"/>
      <c r="PP9" s="189"/>
      <c r="PQ9" s="189"/>
      <c r="PR9" s="189"/>
      <c r="PS9" s="189"/>
      <c r="PT9" s="189"/>
      <c r="PU9" s="189"/>
      <c r="PV9" s="189"/>
      <c r="PW9" s="189"/>
      <c r="PX9" s="189"/>
      <c r="PY9" s="189"/>
      <c r="PZ9" s="189"/>
      <c r="QA9" s="189"/>
      <c r="QB9" s="189"/>
      <c r="QC9" s="189"/>
      <c r="QD9" s="189"/>
      <c r="QE9" s="189"/>
      <c r="QF9" s="189"/>
      <c r="QG9" s="189"/>
      <c r="QH9" s="189"/>
      <c r="QI9" s="189"/>
      <c r="QJ9" s="189"/>
      <c r="QK9" s="189"/>
      <c r="QL9" s="189"/>
      <c r="QM9" s="189"/>
      <c r="QN9" s="189"/>
      <c r="QO9" s="189"/>
      <c r="QP9" s="189"/>
      <c r="QQ9" s="189"/>
      <c r="QR9" s="189"/>
      <c r="QS9" s="189"/>
      <c r="QT9" s="189"/>
      <c r="QU9" s="189"/>
      <c r="QV9" s="189"/>
      <c r="QW9" s="189"/>
      <c r="QX9" s="189"/>
      <c r="QY9" s="189"/>
      <c r="QZ9" s="189"/>
      <c r="RA9" s="189"/>
      <c r="RB9" s="189"/>
      <c r="RC9" s="189"/>
      <c r="RD9" s="189"/>
      <c r="RE9" s="189"/>
      <c r="RF9" s="189"/>
      <c r="RG9" s="189"/>
      <c r="RH9" s="189"/>
      <c r="RI9" s="189"/>
      <c r="RJ9" s="189"/>
      <c r="RK9" s="189"/>
      <c r="RL9" s="189"/>
      <c r="RM9" s="189"/>
      <c r="RN9" s="189"/>
      <c r="RO9" s="189"/>
      <c r="RP9" s="189"/>
      <c r="RQ9" s="189"/>
      <c r="RR9" s="189"/>
      <c r="RS9" s="189"/>
      <c r="RT9" s="189"/>
      <c r="RU9" s="189"/>
      <c r="RV9" s="189"/>
      <c r="RW9" s="189"/>
      <c r="RX9" s="189"/>
      <c r="RY9" s="189"/>
      <c r="RZ9" s="189"/>
      <c r="SA9" s="189"/>
      <c r="SB9" s="189"/>
      <c r="SC9" s="189"/>
      <c r="SD9" s="189"/>
      <c r="SE9" s="189"/>
      <c r="SF9" s="189"/>
      <c r="SG9" s="189"/>
      <c r="SH9" s="189"/>
      <c r="SI9" s="189"/>
      <c r="SJ9" s="189"/>
      <c r="SK9" s="189"/>
      <c r="SL9" s="189"/>
      <c r="SM9" s="189"/>
      <c r="SN9" s="189"/>
      <c r="SO9" s="189"/>
      <c r="SP9" s="189"/>
      <c r="SQ9" s="189"/>
      <c r="SR9" s="189"/>
      <c r="SS9" s="189"/>
      <c r="ST9" s="189"/>
      <c r="SU9" s="189"/>
      <c r="SV9" s="189"/>
      <c r="SW9" s="189"/>
      <c r="SX9" s="189"/>
      <c r="SY9" s="189"/>
      <c r="SZ9" s="189"/>
      <c r="TA9" s="189"/>
      <c r="TB9" s="189"/>
      <c r="TC9" s="189"/>
      <c r="TD9" s="189"/>
      <c r="TE9" s="189"/>
      <c r="TF9" s="189"/>
      <c r="TG9" s="189"/>
      <c r="TH9" s="189"/>
      <c r="TI9" s="189"/>
      <c r="TJ9" s="189"/>
      <c r="TK9" s="189"/>
      <c r="TL9" s="189"/>
      <c r="TM9" s="189"/>
      <c r="TN9" s="189"/>
      <c r="TO9" s="189"/>
      <c r="TP9" s="189"/>
      <c r="TQ9" s="189"/>
      <c r="TR9" s="189"/>
      <c r="TS9" s="189"/>
      <c r="TT9" s="189"/>
      <c r="TU9" s="189"/>
      <c r="TV9" s="189"/>
      <c r="TW9" s="189"/>
      <c r="TX9" s="189"/>
      <c r="TY9" s="189"/>
      <c r="TZ9" s="189"/>
      <c r="UA9" s="189"/>
      <c r="UB9" s="189"/>
      <c r="UC9" s="189"/>
      <c r="UD9" s="189"/>
      <c r="UE9" s="189"/>
      <c r="UF9" s="189"/>
      <c r="UG9" s="189"/>
      <c r="UH9" s="189"/>
      <c r="UI9" s="189"/>
      <c r="UJ9" s="189"/>
      <c r="UK9" s="189"/>
      <c r="UL9" s="189"/>
      <c r="UM9" s="189"/>
      <c r="UN9" s="189"/>
      <c r="UO9" s="189"/>
      <c r="UP9" s="189"/>
      <c r="UQ9" s="189"/>
      <c r="UR9" s="189"/>
      <c r="US9" s="189"/>
      <c r="UT9" s="189"/>
      <c r="UU9" s="189"/>
      <c r="UV9" s="189"/>
      <c r="UW9" s="189"/>
      <c r="UX9" s="189"/>
      <c r="UY9" s="189"/>
      <c r="UZ9" s="189"/>
      <c r="VA9" s="189"/>
      <c r="VB9" s="189"/>
      <c r="VC9" s="189"/>
      <c r="VD9" s="189"/>
      <c r="VE9" s="189"/>
      <c r="VF9" s="189"/>
      <c r="VG9" s="189"/>
      <c r="VH9" s="189"/>
      <c r="VI9" s="189"/>
      <c r="VJ9" s="189"/>
      <c r="VK9" s="189"/>
      <c r="VL9" s="189"/>
      <c r="VM9" s="189"/>
      <c r="VN9" s="189"/>
      <c r="VO9" s="189"/>
      <c r="VP9" s="189"/>
      <c r="VQ9" s="189"/>
      <c r="VR9" s="189"/>
      <c r="VS9" s="189"/>
      <c r="VT9" s="189"/>
      <c r="VU9" s="189"/>
      <c r="VV9" s="189"/>
      <c r="VW9" s="189"/>
      <c r="VX9" s="189"/>
      <c r="VY9" s="189"/>
      <c r="VZ9" s="189"/>
      <c r="WA9" s="189"/>
      <c r="WB9" s="189"/>
      <c r="WC9" s="189"/>
      <c r="WD9" s="189"/>
      <c r="WE9" s="189"/>
      <c r="WF9" s="189"/>
      <c r="WG9" s="189"/>
      <c r="WH9" s="189"/>
      <c r="WI9" s="189"/>
      <c r="WJ9" s="189"/>
      <c r="WK9" s="189"/>
      <c r="WL9" s="189"/>
      <c r="WM9" s="189"/>
      <c r="WN9" s="189"/>
      <c r="WO9" s="189"/>
      <c r="WP9" s="189"/>
      <c r="WQ9" s="189"/>
      <c r="WR9" s="189"/>
      <c r="WS9" s="189"/>
      <c r="WT9" s="189"/>
      <c r="WU9" s="189"/>
      <c r="WV9" s="189"/>
      <c r="WW9" s="189"/>
      <c r="WX9" s="189"/>
      <c r="WY9" s="189"/>
      <c r="WZ9" s="189"/>
      <c r="XA9" s="189"/>
      <c r="XB9" s="189"/>
      <c r="XC9" s="189"/>
      <c r="XD9" s="189"/>
      <c r="XE9" s="189"/>
      <c r="XF9" s="189"/>
      <c r="XG9" s="189"/>
      <c r="XH9" s="189"/>
      <c r="XI9" s="189"/>
      <c r="XJ9" s="189"/>
      <c r="XK9" s="189"/>
      <c r="XL9" s="189"/>
      <c r="XM9" s="189"/>
      <c r="XN9" s="189"/>
      <c r="XO9" s="189"/>
      <c r="XP9" s="189"/>
      <c r="XQ9" s="189"/>
      <c r="XR9" s="189"/>
      <c r="XS9" s="189"/>
      <c r="XT9" s="189"/>
      <c r="XU9" s="189"/>
      <c r="XV9" s="189"/>
      <c r="XW9" s="189"/>
      <c r="XX9" s="189"/>
      <c r="XY9" s="189"/>
      <c r="XZ9" s="189"/>
      <c r="YA9" s="189"/>
      <c r="YB9" s="189"/>
      <c r="YC9" s="189"/>
      <c r="YD9" s="189"/>
      <c r="YE9" s="189"/>
      <c r="YF9" s="189"/>
      <c r="YG9" s="189"/>
      <c r="YH9" s="189"/>
      <c r="YI9" s="189"/>
      <c r="YJ9" s="189"/>
      <c r="YK9" s="189"/>
      <c r="YL9" s="189"/>
      <c r="YM9" s="189"/>
      <c r="YN9" s="189"/>
      <c r="YO9" s="189"/>
      <c r="YP9" s="189"/>
      <c r="YQ9" s="189"/>
      <c r="YR9" s="189"/>
      <c r="YS9" s="189"/>
      <c r="YT9" s="189"/>
      <c r="YU9" s="189"/>
      <c r="YV9" s="189"/>
      <c r="YW9" s="189"/>
      <c r="YX9" s="189"/>
      <c r="YY9" s="189"/>
      <c r="YZ9" s="189"/>
      <c r="ZA9" s="189"/>
      <c r="ZB9" s="189"/>
      <c r="ZC9" s="189"/>
      <c r="ZD9" s="189"/>
      <c r="ZE9" s="189"/>
      <c r="ZF9" s="189"/>
      <c r="ZG9" s="189"/>
      <c r="ZH9" s="189"/>
      <c r="ZI9" s="189"/>
      <c r="ZJ9" s="189"/>
      <c r="ZK9" s="189"/>
      <c r="ZL9" s="189"/>
      <c r="ZM9" s="189"/>
      <c r="ZN9" s="189"/>
      <c r="ZO9" s="189"/>
      <c r="ZP9" s="189"/>
      <c r="ZQ9" s="189"/>
      <c r="ZR9" s="189"/>
      <c r="ZS9" s="189"/>
      <c r="ZT9" s="189"/>
      <c r="ZU9" s="189"/>
      <c r="ZV9" s="189"/>
      <c r="ZW9" s="189"/>
      <c r="ZX9" s="189"/>
      <c r="ZY9" s="189"/>
      <c r="ZZ9" s="189"/>
      <c r="AAA9" s="189"/>
      <c r="AAB9" s="189"/>
      <c r="AAC9" s="189"/>
      <c r="AAD9" s="189"/>
      <c r="AAE9" s="189"/>
      <c r="AAF9" s="189"/>
      <c r="AAG9" s="189"/>
      <c r="AAH9" s="189"/>
      <c r="AAI9" s="189"/>
      <c r="AAJ9" s="189"/>
      <c r="AAK9" s="189"/>
      <c r="AAL9" s="182"/>
      <c r="AAM9" s="182"/>
      <c r="AAN9" s="182"/>
      <c r="AAO9" s="607" t="s">
        <v>147</v>
      </c>
      <c r="AAP9" s="608"/>
      <c r="AAQ9" s="608"/>
      <c r="AAR9" s="608"/>
      <c r="AAS9" s="608"/>
      <c r="AAT9" s="609"/>
      <c r="AAU9" s="603" t="s">
        <v>417</v>
      </c>
      <c r="AAV9" s="604"/>
      <c r="AAW9" s="604"/>
      <c r="AAX9" s="604"/>
      <c r="AAY9" s="604"/>
      <c r="AAZ9" s="610"/>
      <c r="ABA9" s="569" t="s">
        <v>596</v>
      </c>
      <c r="ABB9" s="569"/>
      <c r="ABC9" s="569"/>
      <c r="ABD9" s="569"/>
      <c r="ABE9" s="569"/>
      <c r="ABF9" s="569"/>
      <c r="ABG9" s="569"/>
      <c r="ABH9" s="569"/>
      <c r="ABI9" s="569"/>
      <c r="ABJ9" s="569"/>
      <c r="ABK9" s="569"/>
      <c r="ABL9" s="569"/>
      <c r="ABM9" s="569"/>
      <c r="ABN9" s="569"/>
      <c r="ABO9" s="569" t="s">
        <v>597</v>
      </c>
      <c r="ABP9" s="569"/>
      <c r="ABQ9" s="569"/>
      <c r="ABR9" s="569"/>
      <c r="ABS9" s="569"/>
      <c r="ABT9" s="569"/>
      <c r="ABU9" s="569"/>
      <c r="ABV9" s="569"/>
      <c r="ABW9" s="569"/>
      <c r="ABX9" s="569"/>
      <c r="ABY9" s="569"/>
      <c r="ABZ9" s="569"/>
      <c r="ACA9" s="569"/>
      <c r="ACB9" s="569"/>
      <c r="ACC9" s="569"/>
      <c r="ACD9" s="569" t="s">
        <v>658</v>
      </c>
      <c r="ACE9" s="569"/>
      <c r="ACF9" s="569"/>
      <c r="ACG9" s="569"/>
      <c r="ACH9" s="569"/>
      <c r="ACI9" s="569"/>
      <c r="ACJ9" s="569"/>
      <c r="ACK9" s="569"/>
      <c r="ACL9" s="569"/>
      <c r="ACM9" s="569"/>
      <c r="ACN9" s="569"/>
      <c r="ACO9" s="569"/>
      <c r="ACP9" s="569"/>
      <c r="ACQ9" s="569"/>
      <c r="ACR9" s="569"/>
      <c r="ACS9" s="569"/>
      <c r="ACT9" s="569"/>
      <c r="ACU9" s="569"/>
      <c r="ACV9" s="569"/>
      <c r="ACW9" s="569"/>
      <c r="ACX9" s="569"/>
      <c r="ACY9" s="569"/>
      <c r="ACZ9" s="569"/>
      <c r="ADA9" s="569"/>
      <c r="ADB9" s="574" t="s">
        <v>595</v>
      </c>
      <c r="ADC9" s="574"/>
      <c r="ADD9" s="574"/>
      <c r="ADE9" s="574"/>
      <c r="ADF9" s="574"/>
      <c r="ADG9" s="574"/>
      <c r="ADH9" s="574"/>
      <c r="ADI9" s="574"/>
      <c r="ADJ9" s="574"/>
      <c r="ADK9" s="574"/>
      <c r="ADL9" s="574"/>
      <c r="ADM9" s="574"/>
      <c r="ADN9" s="574"/>
      <c r="ADO9" s="574"/>
      <c r="ADP9" s="574"/>
      <c r="ADQ9" s="574"/>
      <c r="ADR9" s="574"/>
      <c r="ADS9" s="574"/>
      <c r="ADT9" s="574"/>
      <c r="ADU9" s="574"/>
      <c r="ADV9" s="574"/>
      <c r="ADW9" s="574"/>
      <c r="ADX9" s="574"/>
      <c r="ADY9" s="574"/>
      <c r="ADZ9" s="574"/>
      <c r="AEA9" s="574"/>
      <c r="AEB9" s="598" t="s">
        <v>702</v>
      </c>
      <c r="AEC9" s="598"/>
      <c r="AED9" s="598"/>
      <c r="AEE9" s="598"/>
      <c r="AEF9" s="598"/>
      <c r="AEG9" s="598"/>
      <c r="AEH9" s="598"/>
      <c r="AEI9" s="569" t="s">
        <v>703</v>
      </c>
      <c r="AEJ9" s="569"/>
      <c r="AEK9" s="569"/>
      <c r="AEL9" s="569"/>
      <c r="AEM9" s="569" t="s">
        <v>706</v>
      </c>
      <c r="AEN9" s="569"/>
      <c r="AEO9" s="569"/>
      <c r="AEP9" s="569"/>
      <c r="AEQ9" s="569"/>
      <c r="AER9" s="569"/>
      <c r="ALJ9" s="189"/>
      <c r="ALK9" s="189"/>
      <c r="ALL9" s="189"/>
      <c r="ALM9" s="189"/>
      <c r="ALN9" s="189"/>
      <c r="ALO9" s="189"/>
      <c r="ALP9" s="189"/>
      <c r="ALQ9" s="189"/>
      <c r="ALR9" s="189"/>
      <c r="ALS9" s="189"/>
      <c r="ALT9" s="189"/>
      <c r="ALU9" s="189"/>
      <c r="ALV9" s="189"/>
      <c r="ALW9" s="189"/>
      <c r="ALX9" s="189"/>
      <c r="ALY9" s="189"/>
      <c r="ALZ9" s="189"/>
      <c r="AMA9" s="189"/>
      <c r="AMB9" s="189"/>
      <c r="AMC9" s="189"/>
      <c r="AMD9" s="189"/>
      <c r="AME9" s="189"/>
      <c r="AMF9" s="189"/>
      <c r="AMG9" s="189"/>
      <c r="AMH9" s="189"/>
      <c r="AMI9" s="189"/>
      <c r="AMJ9" s="189"/>
      <c r="AMK9" s="189"/>
      <c r="AML9" s="189"/>
      <c r="AMM9" s="189"/>
      <c r="AMN9" s="189"/>
      <c r="AMO9" s="189"/>
      <c r="AMP9" s="189"/>
      <c r="AMQ9" s="189"/>
      <c r="AMR9" s="189"/>
      <c r="AMS9" s="189"/>
      <c r="AMT9" s="189"/>
      <c r="AMU9" s="189"/>
      <c r="AMV9" s="189"/>
      <c r="AMW9" s="189"/>
      <c r="AMX9" s="189"/>
      <c r="AMY9" s="189"/>
      <c r="AMZ9" s="189"/>
      <c r="ANA9" s="189"/>
      <c r="ANB9" s="189"/>
      <c r="ANC9" s="189"/>
      <c r="AND9" s="189"/>
      <c r="ANE9" s="189"/>
      <c r="ANF9" s="189"/>
      <c r="ANG9" s="189"/>
      <c r="ANH9" s="189"/>
      <c r="ANI9" s="189"/>
      <c r="ANJ9" s="189"/>
      <c r="ANK9" s="189"/>
      <c r="ANL9" s="189"/>
      <c r="ANM9" s="189"/>
      <c r="ANN9" s="189"/>
      <c r="ANO9" s="189"/>
      <c r="ANP9" s="189"/>
      <c r="ANQ9" s="189"/>
      <c r="ANR9" s="189"/>
      <c r="ANS9" s="189"/>
      <c r="ANT9" s="189"/>
      <c r="ANU9" s="189"/>
      <c r="ANV9" s="189"/>
      <c r="ANW9" s="189"/>
      <c r="ANX9" s="189"/>
      <c r="ANY9" s="189"/>
      <c r="ANZ9" s="189"/>
      <c r="AOA9" s="189"/>
      <c r="AOB9" s="189"/>
      <c r="AOC9" s="189"/>
      <c r="AOD9" s="189"/>
      <c r="AOE9" s="189"/>
      <c r="AOF9" s="189"/>
      <c r="AOG9" s="189"/>
      <c r="AOH9" s="189"/>
      <c r="AOI9" s="189"/>
      <c r="AOJ9" s="189"/>
      <c r="AOK9" s="189"/>
      <c r="AOL9" s="189"/>
    </row>
    <row r="10" spans="1:1087" s="74" customFormat="1" ht="120.6" customHeight="1" thickTop="1" thickBot="1">
      <c r="A10" s="176" t="s">
        <v>614</v>
      </c>
      <c r="B10" s="179" t="s">
        <v>666</v>
      </c>
      <c r="FB10" s="189"/>
      <c r="FC10" s="189"/>
      <c r="FD10" s="189"/>
      <c r="FE10" s="189"/>
      <c r="FF10" s="189"/>
      <c r="FG10" s="189"/>
      <c r="FH10" s="189"/>
      <c r="FI10" s="189"/>
      <c r="FJ10" s="189"/>
      <c r="FK10" s="189"/>
      <c r="FL10" s="189"/>
      <c r="FM10" s="189"/>
      <c r="FN10" s="189"/>
      <c r="FO10" s="189"/>
      <c r="FP10" s="189"/>
      <c r="FQ10" s="189"/>
      <c r="FR10" s="189"/>
      <c r="FS10" s="189"/>
      <c r="FT10" s="189"/>
      <c r="FU10" s="189"/>
      <c r="FV10" s="189"/>
      <c r="FW10" s="189"/>
      <c r="FX10" s="189"/>
      <c r="FY10" s="189"/>
      <c r="FZ10" s="189"/>
      <c r="GA10" s="189"/>
      <c r="GB10" s="189"/>
      <c r="GC10" s="189"/>
      <c r="GD10" s="189"/>
      <c r="GE10" s="189"/>
      <c r="GF10" s="189"/>
      <c r="GG10" s="189"/>
      <c r="GH10" s="189"/>
      <c r="GI10" s="189"/>
      <c r="GJ10" s="189"/>
      <c r="GK10" s="189"/>
      <c r="GL10" s="189"/>
      <c r="GM10" s="189"/>
      <c r="GN10" s="189"/>
      <c r="GO10" s="189"/>
      <c r="GP10" s="189"/>
      <c r="GQ10" s="189"/>
      <c r="GR10" s="189"/>
      <c r="GS10" s="189"/>
      <c r="GT10" s="189"/>
      <c r="GU10" s="189"/>
      <c r="GV10" s="189"/>
      <c r="GW10" s="189"/>
      <c r="GX10" s="189"/>
      <c r="GY10" s="189"/>
      <c r="GZ10" s="189"/>
      <c r="HA10" s="189"/>
      <c r="HB10" s="189"/>
      <c r="HC10" s="189"/>
      <c r="HD10" s="189"/>
      <c r="HE10" s="189"/>
      <c r="HF10" s="189"/>
      <c r="HG10" s="189"/>
      <c r="HH10" s="189"/>
      <c r="HI10" s="189"/>
      <c r="HJ10" s="189"/>
      <c r="HK10" s="189"/>
      <c r="HL10" s="189"/>
      <c r="HM10" s="189"/>
      <c r="HN10" s="189"/>
      <c r="HO10" s="189"/>
      <c r="HP10" s="189"/>
      <c r="HQ10" s="189"/>
      <c r="HR10" s="189"/>
      <c r="HS10" s="189"/>
      <c r="HT10" s="189"/>
      <c r="HU10" s="189"/>
      <c r="HV10" s="189"/>
      <c r="HW10" s="189"/>
      <c r="HX10" s="189"/>
      <c r="HY10" s="189"/>
      <c r="HZ10" s="189"/>
      <c r="IA10" s="189"/>
      <c r="IB10" s="189"/>
      <c r="IC10" s="189"/>
      <c r="ID10" s="189"/>
      <c r="IE10" s="189"/>
      <c r="IF10" s="189"/>
      <c r="IG10" s="189"/>
      <c r="IH10" s="189"/>
      <c r="II10" s="189"/>
      <c r="IJ10" s="189"/>
      <c r="IK10" s="189"/>
      <c r="IL10" s="189"/>
      <c r="IM10" s="189"/>
      <c r="IN10" s="189"/>
      <c r="IO10" s="189"/>
      <c r="IP10" s="189"/>
      <c r="IQ10" s="189"/>
      <c r="IR10" s="189"/>
      <c r="IS10" s="189"/>
      <c r="IT10" s="189"/>
      <c r="IU10" s="189"/>
      <c r="IV10" s="189"/>
      <c r="IW10" s="189"/>
      <c r="IX10" s="189"/>
      <c r="IY10" s="189"/>
      <c r="IZ10" s="189"/>
      <c r="JA10" s="189"/>
      <c r="JB10" s="189"/>
      <c r="JC10" s="189"/>
      <c r="JD10" s="189"/>
      <c r="JE10" s="189"/>
      <c r="JF10" s="189"/>
      <c r="JG10" s="189"/>
      <c r="JH10" s="189"/>
      <c r="JI10" s="189"/>
      <c r="JJ10" s="189"/>
      <c r="JK10" s="189"/>
      <c r="JL10" s="189"/>
      <c r="JM10" s="189"/>
      <c r="JN10" s="189"/>
      <c r="JO10" s="189"/>
      <c r="JP10" s="189"/>
      <c r="JQ10" s="189"/>
      <c r="JR10" s="189"/>
      <c r="JS10" s="189"/>
      <c r="JT10" s="189"/>
      <c r="JU10" s="189"/>
      <c r="JV10" s="189"/>
      <c r="JW10" s="189"/>
      <c r="JX10" s="189"/>
      <c r="JY10" s="189"/>
      <c r="JZ10" s="189"/>
      <c r="KA10" s="189"/>
      <c r="KB10" s="189"/>
      <c r="KC10" s="189"/>
      <c r="KD10" s="189"/>
      <c r="KE10" s="189"/>
      <c r="KF10" s="189"/>
      <c r="KG10" s="189"/>
      <c r="KH10" s="189"/>
      <c r="KI10" s="189"/>
      <c r="KJ10" s="189"/>
      <c r="KK10" s="189"/>
      <c r="KL10" s="189"/>
      <c r="KM10" s="189"/>
      <c r="KN10" s="189"/>
      <c r="KO10" s="189"/>
      <c r="KP10" s="189"/>
      <c r="KQ10" s="189"/>
      <c r="KR10" s="189"/>
      <c r="KS10" s="189"/>
      <c r="KT10" s="189"/>
      <c r="KU10" s="189"/>
      <c r="KV10" s="189"/>
      <c r="KW10" s="189"/>
      <c r="KX10" s="189"/>
      <c r="KY10" s="189"/>
      <c r="KZ10" s="189"/>
      <c r="LA10" s="189"/>
      <c r="LB10" s="189"/>
      <c r="LC10" s="189"/>
      <c r="LD10" s="189"/>
      <c r="LE10" s="189"/>
      <c r="LF10" s="189"/>
      <c r="LG10" s="189"/>
      <c r="LH10" s="189"/>
      <c r="LI10" s="189"/>
      <c r="LJ10" s="189"/>
      <c r="LK10" s="189"/>
      <c r="LL10" s="189"/>
      <c r="LM10" s="189"/>
      <c r="LN10" s="189"/>
      <c r="LO10" s="189"/>
      <c r="LP10" s="189"/>
      <c r="LQ10" s="189"/>
      <c r="LR10" s="189"/>
      <c r="LS10" s="189"/>
      <c r="LT10" s="189"/>
      <c r="LU10" s="189"/>
      <c r="LV10" s="189"/>
      <c r="LW10" s="189"/>
      <c r="LX10" s="189"/>
      <c r="LY10" s="189"/>
      <c r="LZ10" s="189"/>
      <c r="MA10" s="189"/>
      <c r="MB10" s="189"/>
      <c r="MC10" s="189"/>
      <c r="MD10" s="189"/>
      <c r="ME10" s="189"/>
      <c r="MF10" s="189"/>
      <c r="MG10" s="189"/>
      <c r="MH10" s="189"/>
      <c r="MI10" s="189"/>
      <c r="MJ10" s="189"/>
      <c r="MK10" s="189"/>
      <c r="ML10" s="189"/>
      <c r="MM10" s="189"/>
      <c r="MN10" s="189"/>
      <c r="MO10" s="189"/>
      <c r="MP10" s="189"/>
      <c r="MQ10" s="189"/>
      <c r="MR10" s="189"/>
      <c r="MS10" s="189"/>
      <c r="MT10" s="189"/>
      <c r="MU10" s="189"/>
      <c r="MV10" s="189"/>
      <c r="MW10" s="189"/>
      <c r="MX10" s="189"/>
      <c r="MY10" s="189"/>
      <c r="MZ10" s="189"/>
      <c r="NA10" s="189"/>
      <c r="NB10" s="189"/>
      <c r="NC10" s="189"/>
      <c r="ND10" s="189"/>
      <c r="NE10" s="189"/>
      <c r="NF10" s="189"/>
      <c r="NG10" s="189"/>
      <c r="NH10" s="189"/>
      <c r="NI10" s="189"/>
      <c r="NJ10" s="189"/>
      <c r="NK10" s="189"/>
      <c r="NL10" s="189"/>
      <c r="NM10" s="189"/>
      <c r="NN10" s="189"/>
      <c r="NO10" s="189"/>
      <c r="NP10" s="189"/>
      <c r="NQ10" s="189"/>
      <c r="NR10" s="189"/>
      <c r="NS10" s="189"/>
      <c r="NT10" s="189"/>
      <c r="NU10" s="189"/>
      <c r="NV10" s="189"/>
      <c r="NW10" s="189"/>
      <c r="NX10" s="189"/>
      <c r="NY10" s="189"/>
      <c r="NZ10" s="189"/>
      <c r="OA10" s="189"/>
      <c r="OB10" s="189"/>
      <c r="OC10" s="189"/>
      <c r="OD10" s="189"/>
      <c r="OE10" s="189"/>
      <c r="OF10" s="189"/>
      <c r="OG10" s="189"/>
      <c r="OH10" s="189"/>
      <c r="OI10" s="189"/>
      <c r="OJ10" s="189"/>
      <c r="OK10" s="189"/>
      <c r="OL10" s="189"/>
      <c r="OM10" s="189"/>
      <c r="ON10" s="189"/>
      <c r="OO10" s="189"/>
      <c r="OP10" s="189"/>
      <c r="OQ10" s="189"/>
      <c r="OR10" s="189"/>
      <c r="OS10" s="189"/>
      <c r="OT10" s="189"/>
      <c r="OU10" s="189"/>
      <c r="OV10" s="189"/>
      <c r="OW10" s="189"/>
      <c r="OX10" s="189"/>
      <c r="OY10" s="189"/>
      <c r="OZ10" s="189"/>
      <c r="PA10" s="189"/>
      <c r="PB10" s="189"/>
      <c r="PC10" s="189"/>
      <c r="PD10" s="189"/>
      <c r="PE10" s="189"/>
      <c r="PF10" s="189"/>
      <c r="PG10" s="189"/>
      <c r="PH10" s="189"/>
      <c r="PI10" s="189"/>
      <c r="PJ10" s="189"/>
      <c r="PK10" s="189"/>
      <c r="PL10" s="189"/>
      <c r="PM10" s="189"/>
      <c r="PN10" s="189"/>
      <c r="PO10" s="189"/>
      <c r="PP10" s="189"/>
      <c r="PQ10" s="189"/>
      <c r="PR10" s="189"/>
      <c r="PS10" s="189"/>
      <c r="PT10" s="189"/>
      <c r="PU10" s="189"/>
      <c r="PV10" s="189"/>
      <c r="PW10" s="189"/>
      <c r="PX10" s="189"/>
      <c r="PY10" s="189"/>
      <c r="PZ10" s="189"/>
      <c r="QA10" s="189"/>
      <c r="QB10" s="189"/>
      <c r="QC10" s="189"/>
      <c r="QD10" s="189"/>
      <c r="QE10" s="189"/>
      <c r="QF10" s="189"/>
      <c r="QG10" s="189"/>
      <c r="QH10" s="189"/>
      <c r="QI10" s="189"/>
      <c r="QJ10" s="189"/>
      <c r="QK10" s="189"/>
      <c r="QL10" s="189"/>
      <c r="QM10" s="189"/>
      <c r="QN10" s="189"/>
      <c r="QO10" s="189"/>
      <c r="QP10" s="189"/>
      <c r="QQ10" s="189"/>
      <c r="QR10" s="189"/>
      <c r="QS10" s="189"/>
      <c r="QT10" s="189"/>
      <c r="QU10" s="189"/>
      <c r="QV10" s="189"/>
      <c r="QW10" s="189"/>
      <c r="QX10" s="189"/>
      <c r="QY10" s="189"/>
      <c r="QZ10" s="189"/>
      <c r="RA10" s="189"/>
      <c r="RB10" s="189"/>
      <c r="RC10" s="189"/>
      <c r="RD10" s="189"/>
      <c r="RE10" s="189"/>
      <c r="RF10" s="189"/>
      <c r="RG10" s="189"/>
      <c r="RH10" s="189"/>
      <c r="RI10" s="189"/>
      <c r="RJ10" s="189"/>
      <c r="RK10" s="189"/>
      <c r="RL10" s="189"/>
      <c r="RM10" s="189"/>
      <c r="RN10" s="189"/>
      <c r="RO10" s="189"/>
      <c r="RP10" s="189"/>
      <c r="RQ10" s="189"/>
      <c r="RR10" s="189"/>
      <c r="RS10" s="189"/>
      <c r="RT10" s="189"/>
      <c r="RU10" s="189"/>
      <c r="RV10" s="189"/>
      <c r="RW10" s="189"/>
      <c r="RX10" s="189"/>
      <c r="RY10" s="189"/>
      <c r="RZ10" s="189"/>
      <c r="SA10" s="189"/>
      <c r="SB10" s="189"/>
      <c r="SC10" s="189"/>
      <c r="SD10" s="189"/>
      <c r="SE10" s="189"/>
      <c r="SF10" s="189"/>
      <c r="SG10" s="189"/>
      <c r="SH10" s="189"/>
      <c r="SI10" s="189"/>
      <c r="SJ10" s="189"/>
      <c r="SK10" s="189"/>
      <c r="SL10" s="189"/>
      <c r="SM10" s="189"/>
      <c r="SN10" s="189"/>
      <c r="SO10" s="189"/>
      <c r="SP10" s="189"/>
      <c r="SQ10" s="189"/>
      <c r="SR10" s="189"/>
      <c r="SS10" s="189"/>
      <c r="ST10" s="189"/>
      <c r="SU10" s="189"/>
      <c r="SV10" s="189"/>
      <c r="SW10" s="189"/>
      <c r="SX10" s="189"/>
      <c r="SY10" s="189"/>
      <c r="SZ10" s="189"/>
      <c r="TA10" s="189"/>
      <c r="TB10" s="189"/>
      <c r="TC10" s="189"/>
      <c r="TD10" s="189"/>
      <c r="TE10" s="189"/>
      <c r="TF10" s="189"/>
      <c r="TG10" s="189"/>
      <c r="TH10" s="189"/>
      <c r="TI10" s="189"/>
      <c r="TJ10" s="189"/>
      <c r="TK10" s="189"/>
      <c r="TL10" s="189"/>
      <c r="TM10" s="189"/>
      <c r="TN10" s="189"/>
      <c r="TO10" s="189"/>
      <c r="TP10" s="189"/>
      <c r="TQ10" s="189"/>
      <c r="TR10" s="189"/>
      <c r="TS10" s="189"/>
      <c r="TT10" s="189"/>
      <c r="TU10" s="189"/>
      <c r="TV10" s="189"/>
      <c r="TW10" s="189"/>
      <c r="TX10" s="189"/>
      <c r="TY10" s="189"/>
      <c r="TZ10" s="189"/>
      <c r="UA10" s="189"/>
      <c r="UB10" s="189"/>
      <c r="UC10" s="189"/>
      <c r="UD10" s="189"/>
      <c r="UE10" s="189"/>
      <c r="UF10" s="189"/>
      <c r="UG10" s="189"/>
      <c r="UH10" s="189"/>
      <c r="UI10" s="189"/>
      <c r="UJ10" s="189"/>
      <c r="UK10" s="189"/>
      <c r="UL10" s="189"/>
      <c r="UM10" s="189"/>
      <c r="UN10" s="189"/>
      <c r="UO10" s="189"/>
      <c r="UP10" s="189"/>
      <c r="UQ10" s="189"/>
      <c r="UR10" s="189"/>
      <c r="US10" s="189"/>
      <c r="UT10" s="189"/>
      <c r="UU10" s="189"/>
      <c r="UV10" s="189"/>
      <c r="UW10" s="189"/>
      <c r="UX10" s="189"/>
      <c r="UY10" s="189"/>
      <c r="UZ10" s="189"/>
      <c r="VA10" s="189"/>
      <c r="VB10" s="189"/>
      <c r="VC10" s="189"/>
      <c r="VD10" s="189"/>
      <c r="VE10" s="189"/>
      <c r="VF10" s="189"/>
      <c r="VG10" s="189"/>
      <c r="VH10" s="189"/>
      <c r="VI10" s="189"/>
      <c r="VJ10" s="189"/>
      <c r="VK10" s="189"/>
      <c r="VL10" s="189"/>
      <c r="VM10" s="189"/>
      <c r="VN10" s="189"/>
      <c r="VO10" s="189"/>
      <c r="VP10" s="189"/>
      <c r="VQ10" s="189"/>
      <c r="VR10" s="189"/>
      <c r="VS10" s="189"/>
      <c r="VT10" s="189"/>
      <c r="VU10" s="189"/>
      <c r="VV10" s="189"/>
      <c r="VW10" s="189"/>
      <c r="VX10" s="189"/>
      <c r="VY10" s="189"/>
      <c r="VZ10" s="189"/>
      <c r="WA10" s="189"/>
      <c r="WB10" s="189"/>
      <c r="WC10" s="189"/>
      <c r="WD10" s="189"/>
      <c r="WE10" s="189"/>
      <c r="WF10" s="189"/>
      <c r="WG10" s="189"/>
      <c r="WH10" s="189"/>
      <c r="WI10" s="189"/>
      <c r="WJ10" s="189"/>
      <c r="WK10" s="189"/>
      <c r="WL10" s="189"/>
      <c r="WM10" s="189"/>
      <c r="WN10" s="189"/>
      <c r="WO10" s="189"/>
      <c r="WP10" s="189"/>
      <c r="WQ10" s="189"/>
      <c r="WR10" s="189"/>
      <c r="WS10" s="189"/>
      <c r="WT10" s="189"/>
      <c r="WU10" s="189"/>
      <c r="WV10" s="189"/>
      <c r="WW10" s="189"/>
      <c r="WX10" s="189"/>
      <c r="WY10" s="189"/>
      <c r="WZ10" s="189"/>
      <c r="XA10" s="189"/>
      <c r="XB10" s="189"/>
      <c r="XC10" s="189"/>
      <c r="XD10" s="189"/>
      <c r="XE10" s="189"/>
      <c r="XF10" s="189"/>
      <c r="XG10" s="189"/>
      <c r="XH10" s="189"/>
      <c r="XI10" s="189"/>
      <c r="XJ10" s="189"/>
      <c r="XK10" s="189"/>
      <c r="XL10" s="189"/>
      <c r="XM10" s="189"/>
      <c r="XN10" s="189"/>
      <c r="XO10" s="189"/>
      <c r="XP10" s="189"/>
      <c r="XQ10" s="189"/>
      <c r="XR10" s="189"/>
      <c r="XS10" s="189"/>
      <c r="XT10" s="189"/>
      <c r="XU10" s="189"/>
      <c r="XV10" s="189"/>
      <c r="XW10" s="189"/>
      <c r="XX10" s="189"/>
      <c r="XY10" s="189"/>
      <c r="XZ10" s="189"/>
      <c r="YA10" s="189"/>
      <c r="YB10" s="189"/>
      <c r="YC10" s="189"/>
      <c r="YD10" s="189"/>
      <c r="YE10" s="189"/>
      <c r="YF10" s="189"/>
      <c r="YG10" s="189"/>
      <c r="YH10" s="189"/>
      <c r="YI10" s="189"/>
      <c r="YJ10" s="189"/>
      <c r="YK10" s="189"/>
      <c r="YL10" s="189"/>
      <c r="YM10" s="189"/>
      <c r="YN10" s="189"/>
      <c r="YO10" s="189"/>
      <c r="YP10" s="189"/>
      <c r="YQ10" s="189"/>
      <c r="YR10" s="189"/>
      <c r="YS10" s="189"/>
      <c r="YT10" s="189"/>
      <c r="YU10" s="189"/>
      <c r="YV10" s="189"/>
      <c r="YW10" s="189"/>
      <c r="YX10" s="189"/>
      <c r="YY10" s="189"/>
      <c r="YZ10" s="189"/>
      <c r="ZA10" s="189"/>
      <c r="ZB10" s="189"/>
      <c r="ZC10" s="189"/>
      <c r="ZD10" s="189"/>
      <c r="ZE10" s="189"/>
      <c r="ZF10" s="189"/>
      <c r="ZG10" s="189"/>
      <c r="ZH10" s="189"/>
      <c r="ZI10" s="189"/>
      <c r="ZJ10" s="189"/>
      <c r="ZK10" s="189"/>
      <c r="ZL10" s="189"/>
      <c r="ZM10" s="189"/>
      <c r="ZN10" s="189"/>
      <c r="ZO10" s="189"/>
      <c r="ZP10" s="189"/>
      <c r="ZQ10" s="189"/>
      <c r="ZR10" s="189"/>
      <c r="ZS10" s="189"/>
      <c r="ZT10" s="189"/>
      <c r="ZU10" s="189"/>
      <c r="ZV10" s="189"/>
      <c r="ZW10" s="189"/>
      <c r="ZX10" s="189"/>
      <c r="ZY10" s="189"/>
      <c r="ZZ10" s="189"/>
      <c r="AAA10" s="189"/>
      <c r="AAB10" s="189"/>
      <c r="AAC10" s="189"/>
      <c r="AAD10" s="189"/>
      <c r="AAE10" s="189"/>
      <c r="AAF10" s="189"/>
      <c r="AAG10" s="189"/>
      <c r="AAH10" s="189"/>
      <c r="AAI10" s="189"/>
      <c r="AAJ10" s="189"/>
      <c r="AAK10" s="189"/>
      <c r="AAL10" s="189"/>
      <c r="AAM10" s="189"/>
      <c r="AAN10" s="189"/>
      <c r="AAO10" s="189"/>
      <c r="AAP10" s="189"/>
      <c r="AAQ10" s="189"/>
      <c r="AAR10" s="189"/>
      <c r="AAS10" s="189"/>
      <c r="AAT10" s="189"/>
      <c r="AAU10" s="189"/>
      <c r="AAV10" s="189"/>
      <c r="AAW10" s="189"/>
      <c r="AAX10" s="189"/>
      <c r="AAY10" s="189"/>
      <c r="AAZ10" s="189"/>
      <c r="ABA10" s="189"/>
      <c r="ABB10" s="189"/>
      <c r="ABC10" s="189"/>
      <c r="ABD10" s="189"/>
      <c r="ABE10" s="189"/>
      <c r="ABF10" s="189"/>
      <c r="ABG10" s="189"/>
      <c r="ABH10" s="189"/>
      <c r="ABI10" s="189"/>
      <c r="ABJ10" s="189"/>
      <c r="ABK10" s="189"/>
      <c r="ABL10" s="189"/>
      <c r="ABM10" s="189"/>
      <c r="ABN10" s="189"/>
      <c r="ABO10" s="189"/>
      <c r="ABP10" s="189"/>
      <c r="ABQ10" s="189"/>
      <c r="ABR10" s="189"/>
      <c r="ABS10" s="189"/>
      <c r="ABT10" s="189"/>
      <c r="ABU10" s="189"/>
      <c r="ABV10" s="189"/>
      <c r="ABW10" s="189"/>
      <c r="ABX10" s="189"/>
      <c r="ABY10" s="189"/>
      <c r="ABZ10" s="189"/>
      <c r="ACA10" s="189"/>
      <c r="ACB10" s="189"/>
      <c r="ACC10" s="189"/>
      <c r="ACD10" s="189"/>
      <c r="ACE10" s="189"/>
      <c r="ACF10" s="189"/>
      <c r="ACG10" s="189"/>
      <c r="ACH10" s="189"/>
      <c r="ACI10" s="189"/>
      <c r="ACJ10" s="189"/>
      <c r="ACK10" s="189"/>
      <c r="ACL10" s="189"/>
      <c r="ACM10" s="189"/>
      <c r="ACN10" s="189"/>
      <c r="ACO10" s="189"/>
      <c r="ACP10" s="189"/>
      <c r="ACQ10" s="189"/>
      <c r="ACR10" s="189"/>
      <c r="ACS10" s="189"/>
      <c r="ACT10" s="189"/>
      <c r="ACU10" s="189"/>
      <c r="ACV10" s="189"/>
      <c r="ACW10" s="189"/>
      <c r="ACX10" s="189"/>
      <c r="ACY10" s="189"/>
      <c r="ACZ10" s="189"/>
      <c r="ADA10" s="189"/>
      <c r="ADB10" s="189"/>
      <c r="ADC10" s="631" t="s">
        <v>147</v>
      </c>
      <c r="ADD10" s="631"/>
      <c r="ADE10" s="631"/>
      <c r="ADF10" s="631"/>
      <c r="ADG10" s="631"/>
      <c r="ADH10" s="631"/>
      <c r="ADI10" s="618" t="s">
        <v>776</v>
      </c>
      <c r="ADJ10" s="618"/>
      <c r="ADK10" s="618"/>
      <c r="ADL10" s="618"/>
      <c r="ADM10" s="618"/>
      <c r="ADN10" s="618"/>
      <c r="ADO10" s="618"/>
      <c r="ADP10" s="655" t="s">
        <v>603</v>
      </c>
      <c r="ADQ10" s="655"/>
      <c r="ADR10" s="655"/>
      <c r="ADS10" s="655"/>
      <c r="ADT10" s="655"/>
      <c r="ADU10" s="655"/>
      <c r="ADV10" s="655"/>
      <c r="ADW10" s="655"/>
      <c r="ADX10" s="655"/>
      <c r="ADY10" s="655"/>
      <c r="ADZ10" s="655"/>
      <c r="AEA10" s="655"/>
      <c r="AEB10" s="655"/>
      <c r="AEC10" s="655"/>
      <c r="AED10" s="655"/>
      <c r="AEE10" s="655"/>
      <c r="AEF10" s="655"/>
      <c r="AEG10" s="655"/>
      <c r="AEH10" s="655"/>
      <c r="AEI10" s="655"/>
      <c r="AEJ10" s="655"/>
      <c r="AEK10" s="655"/>
      <c r="AEL10" s="655"/>
      <c r="AEM10" s="655"/>
      <c r="AEN10" s="655"/>
      <c r="AEO10" s="655"/>
      <c r="AEP10" s="655"/>
      <c r="AEQ10" s="655"/>
      <c r="AER10" s="655"/>
      <c r="AES10" s="655"/>
      <c r="AET10" s="655"/>
      <c r="AEU10" s="655"/>
      <c r="AEV10" s="655"/>
      <c r="AEW10" s="655"/>
      <c r="AEX10" s="655"/>
      <c r="AEY10" s="655"/>
      <c r="AEZ10" s="655"/>
      <c r="AFA10" s="655"/>
      <c r="AFB10" s="655"/>
      <c r="AFC10" s="655"/>
      <c r="AFD10" s="655"/>
      <c r="AFE10" s="655"/>
      <c r="AFF10" s="655"/>
      <c r="AFG10" s="655"/>
      <c r="AFH10" s="655"/>
      <c r="AFI10" s="655"/>
      <c r="AFJ10" s="655"/>
      <c r="AFK10" s="655"/>
      <c r="AFL10" s="655"/>
      <c r="AFM10" s="655"/>
      <c r="AFN10" s="655"/>
      <c r="AFO10" s="655"/>
      <c r="AFP10" s="655"/>
      <c r="AFQ10" s="655"/>
      <c r="AFR10" s="655"/>
      <c r="AFS10" s="655"/>
      <c r="AFT10" s="655"/>
      <c r="AFU10" s="655"/>
      <c r="AFV10" s="655"/>
      <c r="AFW10" s="655"/>
      <c r="AFX10" s="655"/>
      <c r="AFY10" s="655"/>
      <c r="AFZ10" s="655"/>
      <c r="AGA10" s="655"/>
      <c r="AGB10" s="655"/>
      <c r="AGC10" s="655"/>
      <c r="AGD10" s="655"/>
      <c r="AGE10" s="656" t="s">
        <v>602</v>
      </c>
      <c r="AGF10" s="656"/>
      <c r="AGG10" s="656"/>
      <c r="AGH10" s="656"/>
      <c r="AGI10" s="656"/>
      <c r="AGJ10" s="656"/>
      <c r="AGK10" s="656"/>
      <c r="AGL10" s="656"/>
      <c r="AGM10" s="656"/>
      <c r="AGN10" s="656"/>
      <c r="AGO10" s="656"/>
      <c r="AGP10" s="656"/>
      <c r="AGQ10" s="656"/>
      <c r="AGR10" s="656"/>
      <c r="AGS10" s="656"/>
      <c r="AGT10" s="656"/>
      <c r="AGU10" s="656"/>
      <c r="AGV10" s="656"/>
      <c r="AGW10" s="656"/>
      <c r="AGX10" s="656"/>
      <c r="AGY10" s="656"/>
      <c r="AGZ10" s="656"/>
      <c r="AHA10" s="656"/>
      <c r="AHB10" s="656"/>
      <c r="AHC10" s="656"/>
      <c r="AHD10" s="656"/>
      <c r="AHE10" s="656"/>
      <c r="AHF10" s="656"/>
      <c r="AHG10" s="656"/>
      <c r="AHH10" s="656"/>
      <c r="AHI10" s="656"/>
      <c r="AHJ10" s="656"/>
      <c r="AHK10" s="656"/>
      <c r="AHL10" s="656"/>
      <c r="AHM10" s="656"/>
      <c r="AHN10" s="656"/>
      <c r="AHO10" s="656"/>
      <c r="AHP10" s="656"/>
      <c r="AHQ10" s="656"/>
      <c r="AHR10" s="656"/>
      <c r="AHS10" s="656"/>
      <c r="AHT10" s="656"/>
      <c r="AHU10" s="656"/>
      <c r="AHV10" s="656"/>
      <c r="AHW10" s="656"/>
      <c r="AHX10" s="656"/>
      <c r="AHY10" s="656"/>
      <c r="AHZ10" s="656"/>
      <c r="AIA10" s="656"/>
      <c r="AIB10" s="656"/>
      <c r="AIC10" s="656"/>
      <c r="AID10" s="656"/>
      <c r="AIE10" s="656"/>
      <c r="AIF10" s="656"/>
      <c r="AIG10" s="656"/>
      <c r="AIH10" s="656"/>
      <c r="AII10" s="656"/>
      <c r="AIJ10" s="656"/>
      <c r="AIK10" s="656"/>
      <c r="AIL10" s="656"/>
      <c r="AIM10" s="656"/>
      <c r="AIN10" s="656"/>
      <c r="AIO10" s="656"/>
      <c r="AIP10" s="656"/>
      <c r="AIQ10" s="656"/>
      <c r="AIR10" s="656"/>
      <c r="AIS10" s="656"/>
      <c r="AIT10" s="654" t="s">
        <v>601</v>
      </c>
      <c r="AIU10" s="654"/>
      <c r="AIV10" s="654"/>
      <c r="AIW10" s="654"/>
      <c r="AIX10" s="654"/>
      <c r="AIY10" s="654"/>
      <c r="AIZ10" s="654"/>
      <c r="AJA10" s="654"/>
      <c r="AJB10" s="654"/>
      <c r="AJC10" s="654"/>
      <c r="AJD10" s="654"/>
      <c r="AJE10" s="654"/>
      <c r="AJF10" s="654"/>
      <c r="AJG10" s="654"/>
      <c r="AJH10" s="654"/>
      <c r="AJI10" s="654"/>
      <c r="AJJ10" s="654"/>
      <c r="AJK10" s="654"/>
      <c r="AJL10" s="654"/>
      <c r="AJM10" s="654"/>
      <c r="AJN10" s="654"/>
      <c r="AJO10" s="654"/>
      <c r="AJP10" s="654"/>
      <c r="AJQ10" s="654"/>
      <c r="AJR10" s="654"/>
      <c r="AJS10" s="654"/>
      <c r="AJT10" s="654"/>
      <c r="AJU10" s="654"/>
      <c r="AJV10" s="654"/>
      <c r="AJW10" s="654"/>
      <c r="AJX10" s="654"/>
      <c r="AJY10" s="654"/>
      <c r="AJZ10" s="654"/>
      <c r="AKA10" s="654"/>
      <c r="AKB10" s="654"/>
      <c r="AKC10" s="654"/>
      <c r="AKD10" s="654"/>
      <c r="AKE10" s="654"/>
      <c r="AKF10" s="654"/>
      <c r="AKG10" s="654"/>
      <c r="AKH10" s="654"/>
      <c r="AKI10" s="654"/>
      <c r="AKJ10" s="654"/>
      <c r="AKK10" s="654"/>
      <c r="AKL10" s="654"/>
      <c r="AKM10" s="654"/>
      <c r="AKN10" s="654"/>
      <c r="AKO10" s="654"/>
      <c r="AKP10" s="654"/>
      <c r="AKQ10" s="654"/>
      <c r="AKR10" s="654"/>
      <c r="AKS10" s="654"/>
      <c r="AKT10" s="654"/>
      <c r="AKU10" s="654"/>
      <c r="AKV10" s="654"/>
      <c r="AKW10" s="654"/>
      <c r="AKX10" s="654"/>
      <c r="AKY10" s="654"/>
      <c r="AKZ10" s="654"/>
      <c r="ALA10" s="654"/>
      <c r="ALB10" s="654"/>
      <c r="ALC10" s="654"/>
      <c r="ALD10" s="654"/>
      <c r="ALE10" s="654"/>
      <c r="ALF10" s="654"/>
      <c r="ALG10" s="654"/>
      <c r="ALH10" s="654"/>
      <c r="ALI10" s="189"/>
      <c r="ALJ10" s="189"/>
      <c r="ALK10" s="189"/>
      <c r="ALL10" s="189"/>
      <c r="ALM10" s="189"/>
      <c r="ALN10" s="189"/>
      <c r="ALO10" s="189"/>
      <c r="ALP10" s="189"/>
      <c r="ALQ10" s="189"/>
      <c r="ALR10" s="189"/>
      <c r="ALS10" s="189"/>
      <c r="ALT10" s="189"/>
      <c r="ALU10" s="189"/>
      <c r="ALV10" s="189"/>
      <c r="ALW10" s="189"/>
      <c r="ALX10" s="189"/>
      <c r="ALY10" s="189"/>
      <c r="ALZ10" s="189"/>
      <c r="AMA10" s="189"/>
      <c r="AMB10" s="189"/>
      <c r="AMC10" s="189"/>
      <c r="AMD10" s="189"/>
      <c r="AME10" s="189"/>
      <c r="AMF10" s="189"/>
      <c r="AMG10" s="189"/>
      <c r="AMH10" s="189"/>
      <c r="AMI10" s="189"/>
      <c r="AMJ10" s="189"/>
      <c r="AMK10" s="189"/>
      <c r="AML10" s="189"/>
      <c r="AMM10" s="189"/>
      <c r="AMN10" s="189"/>
      <c r="AMO10" s="189"/>
      <c r="AMP10" s="189"/>
      <c r="AMQ10" s="189"/>
      <c r="AMR10" s="189"/>
      <c r="AMS10" s="189"/>
      <c r="AMT10" s="189"/>
      <c r="AMU10" s="189"/>
      <c r="AMV10" s="189"/>
      <c r="AMW10" s="189"/>
      <c r="AMX10" s="189"/>
      <c r="AMY10" s="189"/>
      <c r="AMZ10" s="189"/>
      <c r="ANA10" s="189"/>
      <c r="ANB10" s="189"/>
      <c r="ANC10" s="189"/>
      <c r="AND10" s="189"/>
      <c r="ANE10" s="189"/>
      <c r="ANF10" s="189"/>
      <c r="ANG10" s="189"/>
      <c r="ANH10" s="189"/>
      <c r="ANI10" s="189"/>
      <c r="ANJ10" s="189"/>
      <c r="ANK10" s="189"/>
      <c r="ANL10" s="189"/>
      <c r="ANM10" s="189"/>
      <c r="ANN10" s="189"/>
      <c r="ANO10" s="189"/>
      <c r="ANP10" s="189"/>
      <c r="ANQ10" s="189"/>
      <c r="ANR10" s="189"/>
      <c r="ANS10" s="189"/>
      <c r="ANT10" s="189"/>
      <c r="ANU10" s="189"/>
      <c r="ANV10" s="189"/>
      <c r="ANW10" s="189"/>
      <c r="ANX10" s="189"/>
      <c r="ANY10" s="189"/>
      <c r="ANZ10" s="189"/>
      <c r="AOA10" s="189"/>
      <c r="AOB10" s="189"/>
      <c r="AOC10" s="189"/>
      <c r="AOD10" s="189"/>
      <c r="AOE10" s="189"/>
      <c r="AOF10" s="189"/>
      <c r="AOG10" s="189"/>
      <c r="AOH10" s="189"/>
      <c r="AOI10" s="189"/>
      <c r="AOJ10" s="189"/>
      <c r="AOK10" s="189"/>
      <c r="AOL10" s="189"/>
    </row>
    <row r="11" spans="1:1087" ht="15" thickTop="1"/>
  </sheetData>
  <mergeCells count="246">
    <mergeCell ref="AIT10:ALH10"/>
    <mergeCell ref="ADC10:ADH10"/>
    <mergeCell ref="ADI10:ADO10"/>
    <mergeCell ref="ADP10:AGD10"/>
    <mergeCell ref="AGE10:AIS10"/>
    <mergeCell ref="ADQ8:ADV8"/>
    <mergeCell ref="ADW8:AED8"/>
    <mergeCell ref="VW7:VY7"/>
    <mergeCell ref="WA7:WH7"/>
    <mergeCell ref="WI7:WN7"/>
    <mergeCell ref="AAJ7:AAT7"/>
    <mergeCell ref="AEP7:AHA7"/>
    <mergeCell ref="AAR8:AAU8"/>
    <mergeCell ref="AAV8:ABF8"/>
    <mergeCell ref="ABG8:ABL8"/>
    <mergeCell ref="ABM8:ABW8"/>
    <mergeCell ref="ABX8:ACA8"/>
    <mergeCell ref="ACB8:ACG8"/>
    <mergeCell ref="ACH8:ACK8"/>
    <mergeCell ref="ACL8:ADP8"/>
    <mergeCell ref="RW7:SI7"/>
    <mergeCell ref="SJ7:SL7"/>
    <mergeCell ref="SM7:SU7"/>
    <mergeCell ref="SV7:TA7"/>
    <mergeCell ref="TB7:TF7"/>
    <mergeCell ref="TG7:TV7"/>
    <mergeCell ref="L7:AZ7"/>
    <mergeCell ref="BB7:CU7"/>
    <mergeCell ref="RA7:RD7"/>
    <mergeCell ref="RE7:RH7"/>
    <mergeCell ref="RI7:RN7"/>
    <mergeCell ref="RO7:RV7"/>
    <mergeCell ref="PJ6:PW6"/>
    <mergeCell ref="PX6:QD6"/>
    <mergeCell ref="QE6:QI6"/>
    <mergeCell ref="QJ6:QT6"/>
    <mergeCell ref="QV6:RD6"/>
    <mergeCell ref="RE6:RH6"/>
    <mergeCell ref="UW4:YP4"/>
    <mergeCell ref="ABA4:AGT4"/>
    <mergeCell ref="CZ5:DK5"/>
    <mergeCell ref="DO5:DQ5"/>
    <mergeCell ref="HL5:IF5"/>
    <mergeCell ref="II5:IT5"/>
    <mergeCell ref="IW5:IY5"/>
    <mergeCell ref="TZ6:UC6"/>
    <mergeCell ref="UD6:UW6"/>
    <mergeCell ref="UX6:VL6"/>
    <mergeCell ref="VM6:VR6"/>
    <mergeCell ref="VS6:YG6"/>
    <mergeCell ref="YH6:YM6"/>
    <mergeCell ref="RI6:SA6"/>
    <mergeCell ref="SB6:SG6"/>
    <mergeCell ref="SH6:SK6"/>
    <mergeCell ref="SL6:ST6"/>
    <mergeCell ref="SU6:TU6"/>
    <mergeCell ref="ANM1:ANS1"/>
    <mergeCell ref="ANT1:ANZ1"/>
    <mergeCell ref="AOA1:AOG1"/>
    <mergeCell ref="AOH1:AON1"/>
    <mergeCell ref="AOO1:AOU1"/>
    <mergeCell ref="NM2:OU2"/>
    <mergeCell ref="PJ2:QZ2"/>
    <mergeCell ref="XR2:AAO2"/>
    <mergeCell ref="ABF2:AID2"/>
    <mergeCell ref="ALW1:AMC1"/>
    <mergeCell ref="AMD1:AMJ1"/>
    <mergeCell ref="AMK1:AMQ1"/>
    <mergeCell ref="AMR1:AMX1"/>
    <mergeCell ref="AMY1:ANE1"/>
    <mergeCell ref="ANF1:ANL1"/>
    <mergeCell ref="AKG1:AKM1"/>
    <mergeCell ref="AKN1:AKT1"/>
    <mergeCell ref="AKU1:ALA1"/>
    <mergeCell ref="ALB1:ALH1"/>
    <mergeCell ref="ALI1:ALO1"/>
    <mergeCell ref="ALP1:ALV1"/>
    <mergeCell ref="AIQ1:AIW1"/>
    <mergeCell ref="AIX1:AJD1"/>
    <mergeCell ref="AJE1:AJK1"/>
    <mergeCell ref="AJL1:AJR1"/>
    <mergeCell ref="AJS1:AJY1"/>
    <mergeCell ref="AJZ1:AKF1"/>
    <mergeCell ref="AHA1:AHG1"/>
    <mergeCell ref="AHH1:AHN1"/>
    <mergeCell ref="AHO1:AHU1"/>
    <mergeCell ref="AHV1:AIB1"/>
    <mergeCell ref="AIC1:AII1"/>
    <mergeCell ref="AIJ1:AIP1"/>
    <mergeCell ref="AFK1:AFQ1"/>
    <mergeCell ref="AFR1:AFX1"/>
    <mergeCell ref="AFY1:AGE1"/>
    <mergeCell ref="AGF1:AGL1"/>
    <mergeCell ref="AGM1:AGS1"/>
    <mergeCell ref="AGT1:AGZ1"/>
    <mergeCell ref="ADU1:AEA1"/>
    <mergeCell ref="AEB1:AEH1"/>
    <mergeCell ref="AEI1:AEO1"/>
    <mergeCell ref="AEP1:AEV1"/>
    <mergeCell ref="AEW1:AFC1"/>
    <mergeCell ref="AFD1:AFJ1"/>
    <mergeCell ref="ACE1:ACK1"/>
    <mergeCell ref="ACL1:ACR1"/>
    <mergeCell ref="ACS1:ACY1"/>
    <mergeCell ref="ACZ1:ADF1"/>
    <mergeCell ref="ADG1:ADM1"/>
    <mergeCell ref="ADN1:ADT1"/>
    <mergeCell ref="AAO1:AAU1"/>
    <mergeCell ref="AAV1:ABB1"/>
    <mergeCell ref="ABC1:ABI1"/>
    <mergeCell ref="ABJ1:ABP1"/>
    <mergeCell ref="ABQ1:ABW1"/>
    <mergeCell ref="ABX1:ACD1"/>
    <mergeCell ref="YY1:ZE1"/>
    <mergeCell ref="ZF1:ZL1"/>
    <mergeCell ref="ZM1:ZS1"/>
    <mergeCell ref="ZT1:ZZ1"/>
    <mergeCell ref="AAA1:AAG1"/>
    <mergeCell ref="AAH1:AAN1"/>
    <mergeCell ref="XI1:XO1"/>
    <mergeCell ref="XP1:XV1"/>
    <mergeCell ref="XW1:YC1"/>
    <mergeCell ref="YD1:YJ1"/>
    <mergeCell ref="YK1:YQ1"/>
    <mergeCell ref="YR1:YX1"/>
    <mergeCell ref="VS1:VY1"/>
    <mergeCell ref="VZ1:WF1"/>
    <mergeCell ref="WG1:WM1"/>
    <mergeCell ref="WN1:WT1"/>
    <mergeCell ref="WU1:XA1"/>
    <mergeCell ref="XB1:XH1"/>
    <mergeCell ref="UC1:UI1"/>
    <mergeCell ref="UJ1:UP1"/>
    <mergeCell ref="UQ1:UW1"/>
    <mergeCell ref="UX1:VD1"/>
    <mergeCell ref="VE1:VK1"/>
    <mergeCell ref="VL1:VR1"/>
    <mergeCell ref="SM1:SS1"/>
    <mergeCell ref="ST1:SZ1"/>
    <mergeCell ref="TA1:TG1"/>
    <mergeCell ref="TH1:TN1"/>
    <mergeCell ref="TO1:TU1"/>
    <mergeCell ref="TV1:UB1"/>
    <mergeCell ref="QW1:RC1"/>
    <mergeCell ref="RD1:RJ1"/>
    <mergeCell ref="RK1:RQ1"/>
    <mergeCell ref="RR1:RX1"/>
    <mergeCell ref="RY1:SE1"/>
    <mergeCell ref="SF1:SL1"/>
    <mergeCell ref="PG1:PM1"/>
    <mergeCell ref="PN1:PT1"/>
    <mergeCell ref="PU1:QA1"/>
    <mergeCell ref="QB1:QH1"/>
    <mergeCell ref="QI1:QO1"/>
    <mergeCell ref="QP1:QV1"/>
    <mergeCell ref="NQ1:NW1"/>
    <mergeCell ref="NX1:OD1"/>
    <mergeCell ref="OE1:OK1"/>
    <mergeCell ref="OL1:OR1"/>
    <mergeCell ref="OS1:OY1"/>
    <mergeCell ref="OZ1:PF1"/>
    <mergeCell ref="AS1:AY1"/>
    <mergeCell ref="AZ1:BF1"/>
    <mergeCell ref="BG1:BM1"/>
    <mergeCell ref="BN1:BT1"/>
    <mergeCell ref="BU1:CA1"/>
    <mergeCell ref="CB1:CH1"/>
    <mergeCell ref="FO1:FU1"/>
    <mergeCell ref="FV1:GB1"/>
    <mergeCell ref="GC1:GI1"/>
    <mergeCell ref="DY1:EE1"/>
    <mergeCell ref="EF1:EL1"/>
    <mergeCell ref="EM1:ES1"/>
    <mergeCell ref="ET1:EZ1"/>
    <mergeCell ref="IN1:IT1"/>
    <mergeCell ref="AOP2:AOT2"/>
    <mergeCell ref="ALS2:ALW2"/>
    <mergeCell ref="CI1:CO1"/>
    <mergeCell ref="CP1:CV1"/>
    <mergeCell ref="CW1:DC1"/>
    <mergeCell ref="DD1:DJ1"/>
    <mergeCell ref="DK1:DQ1"/>
    <mergeCell ref="DR1:DX1"/>
    <mergeCell ref="GJ1:GP1"/>
    <mergeCell ref="GQ1:GW1"/>
    <mergeCell ref="GX1:HD1"/>
    <mergeCell ref="MA1:MG1"/>
    <mergeCell ref="MH1:MN1"/>
    <mergeCell ref="MO1:MU1"/>
    <mergeCell ref="MV1:NB1"/>
    <mergeCell ref="NC1:NI1"/>
    <mergeCell ref="NJ1:NP1"/>
    <mergeCell ref="KK1:KQ1"/>
    <mergeCell ref="KR1:KX1"/>
    <mergeCell ref="KY1:LE1"/>
    <mergeCell ref="LF1:LL1"/>
    <mergeCell ref="LM1:LS1"/>
    <mergeCell ref="LT1:LZ1"/>
    <mergeCell ref="VQ7:VV7"/>
    <mergeCell ref="C1:I1"/>
    <mergeCell ref="J1:P1"/>
    <mergeCell ref="Q1:W1"/>
    <mergeCell ref="X1:AD1"/>
    <mergeCell ref="AE1:AK1"/>
    <mergeCell ref="AL1:AR1"/>
    <mergeCell ref="AOJ2:AOL2"/>
    <mergeCell ref="AJI2:AJK2"/>
    <mergeCell ref="GG2:GI2"/>
    <mergeCell ref="HN2:HP2"/>
    <mergeCell ref="FA1:FG1"/>
    <mergeCell ref="FH1:FN1"/>
    <mergeCell ref="IU1:JA1"/>
    <mergeCell ref="JB1:JH1"/>
    <mergeCell ref="JI1:JO1"/>
    <mergeCell ref="JP1:JV1"/>
    <mergeCell ref="JW1:KC1"/>
    <mergeCell ref="KD1:KJ1"/>
    <mergeCell ref="HE1:HK1"/>
    <mergeCell ref="HL1:HR1"/>
    <mergeCell ref="HS1:HY1"/>
    <mergeCell ref="HZ1:IF1"/>
    <mergeCell ref="IG1:IM1"/>
    <mergeCell ref="RT3:RX3"/>
    <mergeCell ref="UC3:UF3"/>
    <mergeCell ref="SY2:TA2"/>
    <mergeCell ref="WU3:WW3"/>
    <mergeCell ref="XR3:XU3"/>
    <mergeCell ref="AIE2:AIJ2"/>
    <mergeCell ref="AAO9:AAT9"/>
    <mergeCell ref="AAU9:AAZ9"/>
    <mergeCell ref="ABA9:ABN9"/>
    <mergeCell ref="ABO9:ACC9"/>
    <mergeCell ref="ACD9:ADA9"/>
    <mergeCell ref="ADB9:AEA9"/>
    <mergeCell ref="AEB9:AEH9"/>
    <mergeCell ref="AEI9:AEL9"/>
    <mergeCell ref="AEM9:AER9"/>
    <mergeCell ref="TW6:TY6"/>
    <mergeCell ref="WO7:WW7"/>
    <mergeCell ref="WX7:WZ7"/>
    <mergeCell ref="XA7:XI7"/>
    <mergeCell ref="XJ7:YN7"/>
    <mergeCell ref="YO7:YR7"/>
    <mergeCell ref="YS7:ZV7"/>
    <mergeCell ref="TW7:VK7"/>
    <mergeCell ref="VL7:VP7"/>
  </mergeCells>
  <pageMargins left="0.7" right="0.7" top="0.75" bottom="0.75" header="0.3" footer="0.3"/>
  <pageSetup paperSize="267" scale="80" orientation="landscape" r:id="rId1"/>
  <headerFooter>
    <oddFooter>&amp;L&amp;1#&amp;"Calibri"&amp;10&amp;K737373Caterpillar: Confidential Green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6118-9A49-4475-9DE5-2909F8838256}">
  <dimension ref="A2:N128"/>
  <sheetViews>
    <sheetView zoomScale="80" zoomScaleNormal="80" workbookViewId="0">
      <pane xSplit="1" ySplit="2" topLeftCell="B92" activePane="bottomRight" state="frozenSplit"/>
      <selection pane="topRight" activeCell="C1" sqref="C1"/>
      <selection pane="bottomLeft" activeCell="A16" sqref="A16"/>
      <selection pane="bottomRight" activeCell="J2" sqref="J2:N128"/>
    </sheetView>
  </sheetViews>
  <sheetFormatPr defaultRowHeight="14.4"/>
  <cols>
    <col min="1" max="1" width="32.33203125" bestFit="1" customWidth="1"/>
    <col min="2" max="2" width="59" customWidth="1"/>
    <col min="3" max="3" width="18" customWidth="1"/>
    <col min="4" max="4" width="19" customWidth="1"/>
    <col min="5" max="5" width="19.88671875" customWidth="1"/>
    <col min="10" max="10" width="31.5546875" bestFit="1" customWidth="1"/>
    <col min="11" max="11" width="60.77734375" bestFit="1" customWidth="1"/>
    <col min="12" max="12" width="16.77734375" customWidth="1"/>
    <col min="13" max="13" width="13.6640625" customWidth="1"/>
    <col min="14" max="14" width="15.44140625" bestFit="1" customWidth="1"/>
  </cols>
  <sheetData>
    <row r="2" spans="1:14" ht="28.8">
      <c r="A2" s="123"/>
      <c r="B2" s="124" t="s">
        <v>0</v>
      </c>
      <c r="C2" s="124" t="s">
        <v>3</v>
      </c>
      <c r="D2" s="124" t="s">
        <v>4</v>
      </c>
      <c r="E2" s="125" t="s">
        <v>692</v>
      </c>
      <c r="J2" s="123"/>
      <c r="K2" s="123" t="s">
        <v>0</v>
      </c>
      <c r="L2" s="123" t="s">
        <v>3</v>
      </c>
      <c r="M2" s="123" t="s">
        <v>4</v>
      </c>
      <c r="N2" s="125" t="s">
        <v>692</v>
      </c>
    </row>
    <row r="3" spans="1:14" ht="25.8">
      <c r="A3" s="85"/>
      <c r="B3" s="115" t="s">
        <v>691</v>
      </c>
      <c r="C3" s="86">
        <f>MIN(C4:C21)</f>
        <v>43524</v>
      </c>
      <c r="D3" s="86">
        <f>MAX(D4:D21)</f>
        <v>44571</v>
      </c>
      <c r="E3" s="58"/>
      <c r="J3" s="85"/>
      <c r="K3" s="115" t="s">
        <v>691</v>
      </c>
      <c r="L3" s="86">
        <f>MIN(L4:L21)</f>
        <v>43524</v>
      </c>
      <c r="M3" s="86">
        <f>MAX(M4:M21)</f>
        <v>44571</v>
      </c>
      <c r="N3" s="58"/>
    </row>
    <row r="4" spans="1:14" ht="18">
      <c r="A4" s="87" t="s">
        <v>626</v>
      </c>
      <c r="B4" s="88" t="s">
        <v>627</v>
      </c>
      <c r="C4" s="86">
        <v>43524</v>
      </c>
      <c r="D4" s="86">
        <v>43524</v>
      </c>
      <c r="E4" s="58"/>
      <c r="J4" s="87" t="s">
        <v>626</v>
      </c>
      <c r="K4" s="88" t="s">
        <v>627</v>
      </c>
      <c r="L4" s="86">
        <v>43524</v>
      </c>
      <c r="M4" s="86">
        <v>43524</v>
      </c>
      <c r="N4" s="58"/>
    </row>
    <row r="5" spans="1:14" ht="18">
      <c r="A5" s="87" t="s">
        <v>647</v>
      </c>
      <c r="B5" s="88" t="s">
        <v>632</v>
      </c>
      <c r="C5" s="86">
        <v>43661</v>
      </c>
      <c r="D5" s="86">
        <f t="shared" ref="D5:D22" si="0">C5</f>
        <v>43661</v>
      </c>
      <c r="E5" s="58"/>
      <c r="J5" s="87" t="s">
        <v>647</v>
      </c>
      <c r="K5" s="88" t="s">
        <v>632</v>
      </c>
      <c r="L5" s="86">
        <v>43661</v>
      </c>
      <c r="M5" s="86">
        <f t="shared" ref="M5:M11" si="1">L5</f>
        <v>43661</v>
      </c>
      <c r="N5" s="58"/>
    </row>
    <row r="6" spans="1:14" ht="18">
      <c r="A6" s="87" t="s">
        <v>626</v>
      </c>
      <c r="B6" s="88" t="s">
        <v>633</v>
      </c>
      <c r="C6" s="86">
        <v>43692</v>
      </c>
      <c r="D6" s="86">
        <f t="shared" si="0"/>
        <v>43692</v>
      </c>
      <c r="E6" s="58"/>
      <c r="J6" s="87" t="s">
        <v>626</v>
      </c>
      <c r="K6" s="88" t="s">
        <v>633</v>
      </c>
      <c r="L6" s="86">
        <v>43692</v>
      </c>
      <c r="M6" s="86">
        <f t="shared" si="1"/>
        <v>43692</v>
      </c>
      <c r="N6" s="58"/>
    </row>
    <row r="7" spans="1:14" ht="18">
      <c r="A7" s="87" t="s">
        <v>647</v>
      </c>
      <c r="B7" s="88" t="s">
        <v>634</v>
      </c>
      <c r="C7" s="86">
        <v>43684</v>
      </c>
      <c r="D7" s="86">
        <f t="shared" si="0"/>
        <v>43684</v>
      </c>
      <c r="E7" s="58"/>
      <c r="J7" s="87" t="s">
        <v>647</v>
      </c>
      <c r="K7" s="88" t="s">
        <v>634</v>
      </c>
      <c r="L7" s="86">
        <v>43684</v>
      </c>
      <c r="M7" s="86">
        <f t="shared" si="1"/>
        <v>43684</v>
      </c>
      <c r="N7" s="58"/>
    </row>
    <row r="8" spans="1:14" ht="18">
      <c r="A8" s="87" t="s">
        <v>653</v>
      </c>
      <c r="B8" s="88" t="s">
        <v>652</v>
      </c>
      <c r="C8" s="86">
        <v>43717</v>
      </c>
      <c r="D8" s="86">
        <f t="shared" si="0"/>
        <v>43717</v>
      </c>
      <c r="E8" s="58"/>
      <c r="J8" s="87" t="s">
        <v>653</v>
      </c>
      <c r="K8" s="88" t="s">
        <v>652</v>
      </c>
      <c r="L8" s="86">
        <v>43717</v>
      </c>
      <c r="M8" s="86">
        <f t="shared" si="1"/>
        <v>43717</v>
      </c>
      <c r="N8" s="58"/>
    </row>
    <row r="9" spans="1:14" ht="18">
      <c r="A9" s="87" t="s">
        <v>697</v>
      </c>
      <c r="B9" s="88" t="s">
        <v>698</v>
      </c>
      <c r="C9" s="86">
        <v>43800</v>
      </c>
      <c r="D9" s="86">
        <f t="shared" si="0"/>
        <v>43800</v>
      </c>
      <c r="E9" s="58"/>
      <c r="J9" s="87" t="s">
        <v>697</v>
      </c>
      <c r="K9" s="88" t="s">
        <v>698</v>
      </c>
      <c r="L9" s="86">
        <v>43800</v>
      </c>
      <c r="M9" s="86">
        <f t="shared" si="1"/>
        <v>43800</v>
      </c>
      <c r="N9" s="58"/>
    </row>
    <row r="10" spans="1:14" ht="18">
      <c r="A10" s="87" t="s">
        <v>626</v>
      </c>
      <c r="B10" s="88" t="s">
        <v>650</v>
      </c>
      <c r="C10" s="86">
        <v>43845</v>
      </c>
      <c r="D10" s="86">
        <f t="shared" si="0"/>
        <v>43845</v>
      </c>
      <c r="E10" s="58"/>
      <c r="J10" s="87" t="s">
        <v>626</v>
      </c>
      <c r="K10" s="88" t="s">
        <v>650</v>
      </c>
      <c r="L10" s="86">
        <v>43845</v>
      </c>
      <c r="M10" s="86">
        <f t="shared" si="1"/>
        <v>43845</v>
      </c>
      <c r="N10" s="58"/>
    </row>
    <row r="11" spans="1:14" ht="18">
      <c r="A11" s="87" t="s">
        <v>626</v>
      </c>
      <c r="B11" s="88" t="s">
        <v>71</v>
      </c>
      <c r="C11" s="86">
        <f>C10</f>
        <v>43845</v>
      </c>
      <c r="D11" s="86">
        <f t="shared" si="0"/>
        <v>43845</v>
      </c>
      <c r="E11" s="58"/>
      <c r="J11" s="87" t="s">
        <v>626</v>
      </c>
      <c r="K11" s="88" t="s">
        <v>71</v>
      </c>
      <c r="L11" s="86">
        <f>L10</f>
        <v>43845</v>
      </c>
      <c r="M11" s="86">
        <f t="shared" si="1"/>
        <v>43845</v>
      </c>
      <c r="N11" s="58"/>
    </row>
    <row r="12" spans="1:14" ht="18">
      <c r="A12" s="87" t="s">
        <v>653</v>
      </c>
      <c r="B12" s="88" t="s">
        <v>86</v>
      </c>
      <c r="C12" s="86">
        <v>43871</v>
      </c>
      <c r="D12" s="86">
        <v>43905</v>
      </c>
      <c r="E12" s="58"/>
      <c r="J12" s="87" t="s">
        <v>653</v>
      </c>
      <c r="K12" s="88" t="s">
        <v>86</v>
      </c>
      <c r="L12" s="86">
        <v>43871</v>
      </c>
      <c r="M12" s="86">
        <v>43905</v>
      </c>
      <c r="N12" s="58"/>
    </row>
    <row r="13" spans="1:14" ht="18">
      <c r="A13" s="87" t="s">
        <v>653</v>
      </c>
      <c r="B13" s="88" t="s">
        <v>696</v>
      </c>
      <c r="C13" s="86">
        <v>43920</v>
      </c>
      <c r="D13" s="86">
        <f>C13+42</f>
        <v>43962</v>
      </c>
      <c r="E13" s="58"/>
      <c r="J13" s="87" t="s">
        <v>653</v>
      </c>
      <c r="K13" s="88" t="s">
        <v>696</v>
      </c>
      <c r="L13" s="86">
        <v>43920</v>
      </c>
      <c r="M13" s="86">
        <f>L13+42</f>
        <v>43962</v>
      </c>
      <c r="N13" s="58"/>
    </row>
    <row r="14" spans="1:14" ht="18">
      <c r="A14" s="87" t="s">
        <v>653</v>
      </c>
      <c r="B14" s="88" t="s">
        <v>649</v>
      </c>
      <c r="C14" s="86">
        <v>44013</v>
      </c>
      <c r="D14" s="86">
        <f>C14</f>
        <v>44013</v>
      </c>
      <c r="E14" s="58"/>
      <c r="J14" s="87" t="s">
        <v>653</v>
      </c>
      <c r="K14" s="88" t="s">
        <v>649</v>
      </c>
      <c r="L14" s="86">
        <v>44013</v>
      </c>
      <c r="M14" s="86">
        <f>L14</f>
        <v>44013</v>
      </c>
      <c r="N14" s="58"/>
    </row>
    <row r="15" spans="1:14" ht="18">
      <c r="A15" s="87" t="s">
        <v>626</v>
      </c>
      <c r="B15" s="88" t="s">
        <v>74</v>
      </c>
      <c r="C15" s="86">
        <v>44150</v>
      </c>
      <c r="D15" s="86">
        <f t="shared" si="0"/>
        <v>44150</v>
      </c>
      <c r="E15" s="58"/>
      <c r="J15" s="87" t="s">
        <v>626</v>
      </c>
      <c r="K15" s="88" t="s">
        <v>74</v>
      </c>
      <c r="L15" s="86">
        <v>44150</v>
      </c>
      <c r="M15" s="86">
        <f t="shared" ref="M15" si="2">L15</f>
        <v>44150</v>
      </c>
      <c r="N15" s="58"/>
    </row>
    <row r="16" spans="1:14" ht="18">
      <c r="A16" s="87" t="s">
        <v>653</v>
      </c>
      <c r="B16" s="88" t="s">
        <v>89</v>
      </c>
      <c r="C16" s="86">
        <v>44136</v>
      </c>
      <c r="D16" s="86">
        <f>C16+75</f>
        <v>44211</v>
      </c>
      <c r="E16" s="58"/>
      <c r="J16" s="87" t="s">
        <v>653</v>
      </c>
      <c r="K16" s="88" t="s">
        <v>89</v>
      </c>
      <c r="L16" s="86">
        <v>44136</v>
      </c>
      <c r="M16" s="86">
        <f>L16+75</f>
        <v>44211</v>
      </c>
      <c r="N16" s="58"/>
    </row>
    <row r="17" spans="1:14" ht="18">
      <c r="A17" s="87" t="s">
        <v>653</v>
      </c>
      <c r="B17" s="88" t="s">
        <v>699</v>
      </c>
      <c r="C17" s="86">
        <v>44228</v>
      </c>
      <c r="D17" s="86">
        <f>C17+180</f>
        <v>44408</v>
      </c>
      <c r="E17" s="58"/>
      <c r="J17" s="87" t="s">
        <v>653</v>
      </c>
      <c r="K17" s="88" t="s">
        <v>699</v>
      </c>
      <c r="L17" s="86">
        <v>44228</v>
      </c>
      <c r="M17" s="86">
        <f>L17+180</f>
        <v>44408</v>
      </c>
      <c r="N17" s="58"/>
    </row>
    <row r="18" spans="1:14" ht="18">
      <c r="A18" s="87" t="s">
        <v>653</v>
      </c>
      <c r="B18" s="88" t="s">
        <v>654</v>
      </c>
      <c r="C18" s="86">
        <v>44409</v>
      </c>
      <c r="D18" s="86">
        <f>C18</f>
        <v>44409</v>
      </c>
      <c r="E18" s="58"/>
      <c r="J18" s="87" t="s">
        <v>653</v>
      </c>
      <c r="K18" s="88" t="s">
        <v>654</v>
      </c>
      <c r="L18" s="86">
        <v>44409</v>
      </c>
      <c r="M18" s="86">
        <f>L18</f>
        <v>44409</v>
      </c>
      <c r="N18" s="58"/>
    </row>
    <row r="19" spans="1:14" ht="18">
      <c r="A19" s="87" t="s">
        <v>626</v>
      </c>
      <c r="B19" s="88" t="s">
        <v>655</v>
      </c>
      <c r="C19" s="86">
        <v>44440</v>
      </c>
      <c r="D19" s="86">
        <f t="shared" si="0"/>
        <v>44440</v>
      </c>
      <c r="E19" s="58"/>
      <c r="J19" s="87" t="s">
        <v>626</v>
      </c>
      <c r="K19" s="88" t="s">
        <v>655</v>
      </c>
      <c r="L19" s="86">
        <v>44440</v>
      </c>
      <c r="M19" s="86">
        <f t="shared" ref="M19:M22" si="3">L19</f>
        <v>44440</v>
      </c>
      <c r="N19" s="58"/>
    </row>
    <row r="20" spans="1:14" ht="18">
      <c r="A20" s="87" t="s">
        <v>694</v>
      </c>
      <c r="B20" s="88" t="s">
        <v>693</v>
      </c>
      <c r="C20" s="86">
        <v>44501</v>
      </c>
      <c r="D20" s="86">
        <f t="shared" si="0"/>
        <v>44501</v>
      </c>
      <c r="E20" s="58"/>
      <c r="J20" s="87" t="s">
        <v>694</v>
      </c>
      <c r="K20" s="88" t="s">
        <v>693</v>
      </c>
      <c r="L20" s="86">
        <v>44501</v>
      </c>
      <c r="M20" s="86">
        <f t="shared" si="3"/>
        <v>44501</v>
      </c>
      <c r="N20" s="58"/>
    </row>
    <row r="21" spans="1:14" ht="18">
      <c r="A21" s="87" t="s">
        <v>626</v>
      </c>
      <c r="B21" s="88" t="s">
        <v>651</v>
      </c>
      <c r="C21" s="86">
        <v>44571</v>
      </c>
      <c r="D21" s="86">
        <f t="shared" si="0"/>
        <v>44571</v>
      </c>
      <c r="E21" s="58"/>
      <c r="J21" s="87" t="s">
        <v>626</v>
      </c>
      <c r="K21" s="88" t="s">
        <v>651</v>
      </c>
      <c r="L21" s="86">
        <v>44571</v>
      </c>
      <c r="M21" s="86">
        <f t="shared" si="3"/>
        <v>44571</v>
      </c>
      <c r="N21" s="58"/>
    </row>
    <row r="22" spans="1:14" ht="18">
      <c r="A22" s="87" t="s">
        <v>653</v>
      </c>
      <c r="B22" s="88" t="s">
        <v>695</v>
      </c>
      <c r="C22" s="86">
        <v>44576</v>
      </c>
      <c r="D22" s="86">
        <f t="shared" si="0"/>
        <v>44576</v>
      </c>
      <c r="E22" s="58"/>
      <c r="J22" s="87" t="s">
        <v>653</v>
      </c>
      <c r="K22" s="88" t="s">
        <v>695</v>
      </c>
      <c r="L22" s="86">
        <v>44576</v>
      </c>
      <c r="M22" s="86">
        <f t="shared" si="3"/>
        <v>44576</v>
      </c>
      <c r="N22" s="58"/>
    </row>
    <row r="23" spans="1:14" ht="25.8">
      <c r="A23" s="89"/>
      <c r="B23" s="116" t="s">
        <v>690</v>
      </c>
      <c r="C23" s="90">
        <f>MIN(C24:C28)</f>
        <v>43862</v>
      </c>
      <c r="D23" s="90">
        <f>MAX(D24:D39)</f>
        <v>44372</v>
      </c>
      <c r="E23" s="58"/>
      <c r="J23" s="89"/>
      <c r="K23" s="116" t="s">
        <v>690</v>
      </c>
      <c r="L23" s="90">
        <f>MIN(L24:L28)</f>
        <v>43862</v>
      </c>
      <c r="M23" s="90">
        <f>MAX(M24:M39)</f>
        <v>44372</v>
      </c>
      <c r="N23" s="58"/>
    </row>
    <row r="24" spans="1:14" ht="18">
      <c r="A24" s="89" t="s">
        <v>490</v>
      </c>
      <c r="B24" s="91" t="s">
        <v>673</v>
      </c>
      <c r="C24" s="90">
        <v>43862</v>
      </c>
      <c r="D24" s="90">
        <f>C24</f>
        <v>43862</v>
      </c>
      <c r="E24" s="58"/>
      <c r="J24" s="89" t="s">
        <v>490</v>
      </c>
      <c r="K24" s="91" t="s">
        <v>673</v>
      </c>
      <c r="L24" s="90">
        <v>43862</v>
      </c>
      <c r="M24" s="90">
        <f>L24</f>
        <v>43862</v>
      </c>
      <c r="N24" s="58"/>
    </row>
    <row r="25" spans="1:14" ht="18">
      <c r="A25" s="89" t="s">
        <v>490</v>
      </c>
      <c r="B25" s="91" t="s">
        <v>674</v>
      </c>
      <c r="C25" s="90">
        <v>43983</v>
      </c>
      <c r="D25" s="90">
        <f>C25</f>
        <v>43983</v>
      </c>
      <c r="E25" s="58"/>
      <c r="J25" s="89" t="s">
        <v>490</v>
      </c>
      <c r="K25" s="91" t="s">
        <v>674</v>
      </c>
      <c r="L25" s="90">
        <v>43983</v>
      </c>
      <c r="M25" s="90">
        <f>L25</f>
        <v>43983</v>
      </c>
      <c r="N25" s="58"/>
    </row>
    <row r="26" spans="1:14" ht="18">
      <c r="A26" s="89" t="s">
        <v>490</v>
      </c>
      <c r="B26" s="91" t="s">
        <v>675</v>
      </c>
      <c r="C26" s="90">
        <v>44044</v>
      </c>
      <c r="D26" s="90">
        <f>C26</f>
        <v>44044</v>
      </c>
      <c r="E26" s="58"/>
      <c r="J26" s="89" t="s">
        <v>490</v>
      </c>
      <c r="K26" s="91" t="s">
        <v>675</v>
      </c>
      <c r="L26" s="90">
        <v>44044</v>
      </c>
      <c r="M26" s="90">
        <f>L26</f>
        <v>44044</v>
      </c>
      <c r="N26" s="58"/>
    </row>
    <row r="27" spans="1:14" ht="18">
      <c r="A27" s="89" t="s">
        <v>490</v>
      </c>
      <c r="B27" s="91" t="s">
        <v>745</v>
      </c>
      <c r="C27" s="90">
        <v>44114</v>
      </c>
      <c r="D27" s="90">
        <f>C27</f>
        <v>44114</v>
      </c>
      <c r="E27" s="58"/>
      <c r="J27" s="89" t="s">
        <v>490</v>
      </c>
      <c r="K27" s="91" t="s">
        <v>745</v>
      </c>
      <c r="L27" s="90">
        <v>44114</v>
      </c>
      <c r="M27" s="90">
        <f>L27</f>
        <v>44114</v>
      </c>
      <c r="N27" s="58"/>
    </row>
    <row r="28" spans="1:14" ht="18">
      <c r="A28" s="89" t="s">
        <v>490</v>
      </c>
      <c r="B28" s="91" t="s">
        <v>676</v>
      </c>
      <c r="C28" s="90">
        <v>44136</v>
      </c>
      <c r="D28" s="90">
        <f>C28</f>
        <v>44136</v>
      </c>
      <c r="E28" s="58"/>
      <c r="J28" s="89" t="s">
        <v>490</v>
      </c>
      <c r="K28" s="91" t="s">
        <v>676</v>
      </c>
      <c r="L28" s="90">
        <v>44136</v>
      </c>
      <c r="M28" s="90">
        <f>L28</f>
        <v>44136</v>
      </c>
      <c r="N28" s="58"/>
    </row>
    <row r="29" spans="1:14" ht="25.8">
      <c r="A29" s="92"/>
      <c r="B29" s="117" t="s">
        <v>689</v>
      </c>
      <c r="C29" s="93">
        <f>MIN(C30:C38)</f>
        <v>44063</v>
      </c>
      <c r="D29" s="93">
        <f>MAX(D30:D38)</f>
        <v>44372</v>
      </c>
      <c r="E29" s="58"/>
      <c r="J29" s="92"/>
      <c r="K29" s="117" t="s">
        <v>689</v>
      </c>
      <c r="L29" s="93">
        <f>MIN(L30:L38)</f>
        <v>44068</v>
      </c>
      <c r="M29" s="93">
        <f>MAX(M30:M38)</f>
        <v>44372</v>
      </c>
      <c r="N29" s="58"/>
    </row>
    <row r="30" spans="1:14" ht="18">
      <c r="A30" s="92" t="s">
        <v>672</v>
      </c>
      <c r="B30" s="94" t="s">
        <v>667</v>
      </c>
      <c r="C30" s="93">
        <f>D62</f>
        <v>44078</v>
      </c>
      <c r="D30" s="93">
        <f>C30+60</f>
        <v>44138</v>
      </c>
      <c r="E30" s="58"/>
      <c r="J30" s="92" t="s">
        <v>672</v>
      </c>
      <c r="K30" s="94" t="s">
        <v>667</v>
      </c>
      <c r="L30" s="93">
        <f>M63</f>
        <v>44083</v>
      </c>
      <c r="M30" s="93">
        <f>L30+60</f>
        <v>44143</v>
      </c>
      <c r="N30" s="58"/>
    </row>
    <row r="31" spans="1:14" ht="18">
      <c r="A31" s="92" t="s">
        <v>672</v>
      </c>
      <c r="B31" s="94" t="s">
        <v>668</v>
      </c>
      <c r="C31" s="93">
        <f>D61</f>
        <v>44063</v>
      </c>
      <c r="D31" s="93">
        <f>C31+60</f>
        <v>44123</v>
      </c>
      <c r="E31" s="58"/>
      <c r="J31" s="92" t="s">
        <v>672</v>
      </c>
      <c r="K31" s="94" t="s">
        <v>668</v>
      </c>
      <c r="L31" s="93">
        <f>M62</f>
        <v>44068</v>
      </c>
      <c r="M31" s="93">
        <f>L31+60</f>
        <v>44128</v>
      </c>
      <c r="N31" s="58"/>
    </row>
    <row r="32" spans="1:14" ht="18">
      <c r="A32" s="92" t="s">
        <v>672</v>
      </c>
      <c r="B32" s="94" t="s">
        <v>503</v>
      </c>
      <c r="C32" s="93">
        <f>D85</f>
        <v>44100</v>
      </c>
      <c r="D32" s="93">
        <f>C32+60</f>
        <v>44160</v>
      </c>
      <c r="E32" s="58"/>
      <c r="J32" s="92" t="s">
        <v>672</v>
      </c>
      <c r="K32" s="94" t="s">
        <v>503</v>
      </c>
      <c r="L32" s="93">
        <f>M89</f>
        <v>44120</v>
      </c>
      <c r="M32" s="93">
        <f>L32+60</f>
        <v>44180</v>
      </c>
      <c r="N32" s="58"/>
    </row>
    <row r="33" spans="1:14" ht="18">
      <c r="A33" s="92" t="s">
        <v>672</v>
      </c>
      <c r="B33" s="94" t="s">
        <v>670</v>
      </c>
      <c r="C33" s="93">
        <f>D81</f>
        <v>44082</v>
      </c>
      <c r="D33" s="93">
        <f>C33+60</f>
        <v>44142</v>
      </c>
      <c r="E33" s="58"/>
      <c r="J33" s="92" t="s">
        <v>672</v>
      </c>
      <c r="K33" s="94" t="s">
        <v>670</v>
      </c>
      <c r="L33" s="93">
        <f>M84</f>
        <v>44097</v>
      </c>
      <c r="M33" s="93">
        <f>L33+60</f>
        <v>44157</v>
      </c>
      <c r="N33" s="58"/>
    </row>
    <row r="34" spans="1:14" ht="18">
      <c r="A34" s="92" t="s">
        <v>671</v>
      </c>
      <c r="B34" s="94" t="s">
        <v>667</v>
      </c>
      <c r="C34" s="93">
        <f>D111</f>
        <v>44251</v>
      </c>
      <c r="D34" s="93">
        <f t="shared" ref="D34:D38" si="4">C34+60</f>
        <v>44311</v>
      </c>
      <c r="E34" s="58"/>
      <c r="J34" s="92" t="s">
        <v>671</v>
      </c>
      <c r="K34" s="94" t="s">
        <v>667</v>
      </c>
      <c r="L34" s="93">
        <f>M117</f>
        <v>44251</v>
      </c>
      <c r="M34" s="93">
        <f t="shared" ref="M34:M38" si="5">L34+60</f>
        <v>44311</v>
      </c>
      <c r="N34" s="58"/>
    </row>
    <row r="35" spans="1:14" ht="18">
      <c r="A35" s="92" t="s">
        <v>671</v>
      </c>
      <c r="B35" s="94" t="s">
        <v>668</v>
      </c>
      <c r="C35" s="93">
        <f>C110</f>
        <v>44223</v>
      </c>
      <c r="D35" s="93">
        <f t="shared" si="4"/>
        <v>44283</v>
      </c>
      <c r="E35" s="58"/>
      <c r="J35" s="92" t="s">
        <v>671</v>
      </c>
      <c r="K35" s="94" t="s">
        <v>668</v>
      </c>
      <c r="L35" s="93">
        <f>L116</f>
        <v>44223</v>
      </c>
      <c r="M35" s="93">
        <f t="shared" si="5"/>
        <v>44283</v>
      </c>
      <c r="N35" s="58"/>
    </row>
    <row r="36" spans="1:14" ht="18">
      <c r="A36" s="92" t="s">
        <v>671</v>
      </c>
      <c r="B36" s="94" t="s">
        <v>503</v>
      </c>
      <c r="C36" s="93">
        <f>C112</f>
        <v>44252</v>
      </c>
      <c r="D36" s="93">
        <f t="shared" si="4"/>
        <v>44312</v>
      </c>
      <c r="E36" s="58"/>
      <c r="J36" s="92" t="s">
        <v>671</v>
      </c>
      <c r="K36" s="94" t="s">
        <v>503</v>
      </c>
      <c r="L36" s="93">
        <f>L118</f>
        <v>44252</v>
      </c>
      <c r="M36" s="93">
        <f t="shared" si="5"/>
        <v>44312</v>
      </c>
      <c r="N36" s="58"/>
    </row>
    <row r="37" spans="1:14" ht="18">
      <c r="A37" s="92" t="s">
        <v>671</v>
      </c>
      <c r="B37" s="94" t="s">
        <v>669</v>
      </c>
      <c r="C37" s="93">
        <f>D115</f>
        <v>44312</v>
      </c>
      <c r="D37" s="93">
        <f t="shared" si="4"/>
        <v>44372</v>
      </c>
      <c r="E37" s="58"/>
      <c r="J37" s="92" t="s">
        <v>671</v>
      </c>
      <c r="K37" s="94" t="s">
        <v>669</v>
      </c>
      <c r="L37" s="93">
        <f>M121</f>
        <v>44312</v>
      </c>
      <c r="M37" s="93">
        <f t="shared" si="5"/>
        <v>44372</v>
      </c>
      <c r="N37" s="58"/>
    </row>
    <row r="38" spans="1:14" ht="18">
      <c r="A38" s="92" t="s">
        <v>671</v>
      </c>
      <c r="B38" s="94" t="s">
        <v>670</v>
      </c>
      <c r="C38" s="93">
        <f>D114</f>
        <v>44308</v>
      </c>
      <c r="D38" s="93">
        <f t="shared" si="4"/>
        <v>44368</v>
      </c>
      <c r="E38" s="58"/>
      <c r="J38" s="92" t="s">
        <v>671</v>
      </c>
      <c r="K38" s="94" t="s">
        <v>670</v>
      </c>
      <c r="L38" s="93">
        <f>M120</f>
        <v>44308</v>
      </c>
      <c r="M38" s="93">
        <f t="shared" si="5"/>
        <v>44368</v>
      </c>
      <c r="N38" s="58"/>
    </row>
    <row r="39" spans="1:14" ht="25.8">
      <c r="A39" s="95"/>
      <c r="B39" s="118" t="s">
        <v>688</v>
      </c>
      <c r="C39" s="96">
        <f>MIN(C40:C44)</f>
        <v>43598</v>
      </c>
      <c r="D39" s="96">
        <f>MAX(D40:D44)</f>
        <v>43655</v>
      </c>
      <c r="E39" s="58"/>
      <c r="J39" s="95"/>
      <c r="K39" s="118" t="s">
        <v>688</v>
      </c>
      <c r="L39" s="96">
        <f>MIN(L40:L44)</f>
        <v>43598</v>
      </c>
      <c r="M39" s="96">
        <f>MAX(M40:M44)</f>
        <v>43655</v>
      </c>
      <c r="N39" s="58"/>
    </row>
    <row r="40" spans="1:14" ht="36">
      <c r="A40" s="97" t="s">
        <v>608</v>
      </c>
      <c r="B40" s="129" t="s">
        <v>142</v>
      </c>
      <c r="C40" s="99">
        <v>43598</v>
      </c>
      <c r="D40" s="99">
        <f>C40+11</f>
        <v>43609</v>
      </c>
      <c r="E40" s="58"/>
      <c r="J40" s="97" t="s">
        <v>608</v>
      </c>
      <c r="K40" s="129" t="s">
        <v>142</v>
      </c>
      <c r="L40" s="99">
        <v>43598</v>
      </c>
      <c r="M40" s="99">
        <f>L40+11</f>
        <v>43609</v>
      </c>
      <c r="N40" s="58"/>
    </row>
    <row r="41" spans="1:14" ht="18">
      <c r="A41" s="97" t="s">
        <v>489</v>
      </c>
      <c r="B41" s="98" t="s">
        <v>147</v>
      </c>
      <c r="C41" s="99">
        <f>D40+4</f>
        <v>43613</v>
      </c>
      <c r="D41" s="99">
        <f>C41+2</f>
        <v>43615</v>
      </c>
      <c r="E41" s="58"/>
      <c r="J41" s="97" t="s">
        <v>489</v>
      </c>
      <c r="K41" s="98" t="s">
        <v>147</v>
      </c>
      <c r="L41" s="99">
        <f>M40+4</f>
        <v>43613</v>
      </c>
      <c r="M41" s="99">
        <f>L41+2</f>
        <v>43615</v>
      </c>
      <c r="N41" s="58"/>
    </row>
    <row r="42" spans="1:14" ht="18">
      <c r="A42" s="135" t="s">
        <v>492</v>
      </c>
      <c r="B42" s="136" t="s">
        <v>487</v>
      </c>
      <c r="C42" s="137">
        <f>D41+1</f>
        <v>43616</v>
      </c>
      <c r="D42" s="137">
        <f>C42+20</f>
        <v>43636</v>
      </c>
      <c r="E42" s="58"/>
      <c r="J42" s="135" t="s">
        <v>492</v>
      </c>
      <c r="K42" s="136" t="s">
        <v>487</v>
      </c>
      <c r="L42" s="137">
        <f>M41+1</f>
        <v>43616</v>
      </c>
      <c r="M42" s="137">
        <f>L42+20</f>
        <v>43636</v>
      </c>
      <c r="N42" s="58"/>
    </row>
    <row r="43" spans="1:14" ht="18">
      <c r="A43" s="97" t="s">
        <v>492</v>
      </c>
      <c r="B43" s="98" t="s">
        <v>150</v>
      </c>
      <c r="C43" s="99">
        <f>D42+3</f>
        <v>43639</v>
      </c>
      <c r="D43" s="99">
        <f>C43+11</f>
        <v>43650</v>
      </c>
      <c r="E43" s="58"/>
      <c r="J43" s="97" t="s">
        <v>492</v>
      </c>
      <c r="K43" s="98" t="s">
        <v>150</v>
      </c>
      <c r="L43" s="99">
        <f>M42+3</f>
        <v>43639</v>
      </c>
      <c r="M43" s="99">
        <f>L43+11</f>
        <v>43650</v>
      </c>
      <c r="N43" s="58"/>
    </row>
    <row r="44" spans="1:14" ht="18">
      <c r="A44" s="97" t="s">
        <v>491</v>
      </c>
      <c r="B44" s="98" t="s">
        <v>154</v>
      </c>
      <c r="C44" s="99">
        <f>D43+3</f>
        <v>43653</v>
      </c>
      <c r="D44" s="99">
        <f>C44+2</f>
        <v>43655</v>
      </c>
      <c r="E44" s="58"/>
      <c r="J44" s="97" t="s">
        <v>491</v>
      </c>
      <c r="K44" s="98" t="s">
        <v>154</v>
      </c>
      <c r="L44" s="99">
        <f>M43+3</f>
        <v>43653</v>
      </c>
      <c r="M44" s="99">
        <f>L44+2</f>
        <v>43655</v>
      </c>
      <c r="N44" s="58"/>
    </row>
    <row r="45" spans="1:14" ht="25.8">
      <c r="A45" s="100"/>
      <c r="B45" s="119" t="s">
        <v>687</v>
      </c>
      <c r="C45" s="101">
        <f>MIN(C46:C64)</f>
        <v>43920</v>
      </c>
      <c r="D45" s="101">
        <f>MAX(D46:D64)</f>
        <v>44151</v>
      </c>
      <c r="E45" s="58"/>
      <c r="J45" s="153"/>
      <c r="K45" s="119" t="s">
        <v>687</v>
      </c>
      <c r="L45" s="101">
        <f>MIN(L46:L65)</f>
        <v>43920</v>
      </c>
      <c r="M45" s="101">
        <f>MAX(M46:M65)</f>
        <v>44156</v>
      </c>
      <c r="N45" s="58"/>
    </row>
    <row r="46" spans="1:14" ht="18">
      <c r="A46" s="130" t="s">
        <v>489</v>
      </c>
      <c r="B46" s="131" t="s">
        <v>707</v>
      </c>
      <c r="C46" s="101">
        <v>43920</v>
      </c>
      <c r="D46" s="101">
        <f>C46+13</f>
        <v>43933</v>
      </c>
      <c r="E46" s="58"/>
      <c r="J46" s="130" t="s">
        <v>489</v>
      </c>
      <c r="K46" s="131" t="s">
        <v>707</v>
      </c>
      <c r="L46" s="101">
        <v>43920</v>
      </c>
      <c r="M46" s="101">
        <f>L46+13</f>
        <v>43933</v>
      </c>
      <c r="N46" s="58"/>
    </row>
    <row r="47" spans="1:14" ht="36">
      <c r="A47" s="130" t="s">
        <v>490</v>
      </c>
      <c r="B47" s="131" t="s">
        <v>733</v>
      </c>
      <c r="C47" s="133">
        <f>D46+1</f>
        <v>43934</v>
      </c>
      <c r="D47" s="133">
        <f>C47+6</f>
        <v>43940</v>
      </c>
      <c r="E47" s="58"/>
      <c r="J47" s="130" t="s">
        <v>490</v>
      </c>
      <c r="K47" s="131" t="s">
        <v>733</v>
      </c>
      <c r="L47" s="133">
        <f>M46+1</f>
        <v>43934</v>
      </c>
      <c r="M47" s="133">
        <f>L47+6</f>
        <v>43940</v>
      </c>
      <c r="N47" s="58"/>
    </row>
    <row r="48" spans="1:14" ht="18">
      <c r="A48" s="130" t="s">
        <v>488</v>
      </c>
      <c r="B48" s="131" t="s">
        <v>708</v>
      </c>
      <c r="C48" s="101">
        <f>D47+1</f>
        <v>43941</v>
      </c>
      <c r="D48" s="101">
        <f>C48+4</f>
        <v>43945</v>
      </c>
      <c r="E48" s="58"/>
      <c r="J48" s="130" t="s">
        <v>488</v>
      </c>
      <c r="K48" s="131" t="s">
        <v>708</v>
      </c>
      <c r="L48" s="101">
        <f>M47+1</f>
        <v>43941</v>
      </c>
      <c r="M48" s="101">
        <f>L48+4</f>
        <v>43945</v>
      </c>
      <c r="N48" s="58"/>
    </row>
    <row r="49" spans="1:14" ht="18">
      <c r="A49" s="130" t="s">
        <v>624</v>
      </c>
      <c r="B49" s="131" t="s">
        <v>709</v>
      </c>
      <c r="C49" s="101">
        <f>D48+1</f>
        <v>43946</v>
      </c>
      <c r="D49" s="101">
        <f>C49+10</f>
        <v>43956</v>
      </c>
      <c r="E49" s="58"/>
      <c r="J49" s="130" t="s">
        <v>624</v>
      </c>
      <c r="K49" s="131" t="s">
        <v>709</v>
      </c>
      <c r="L49" s="101">
        <f>M48+1</f>
        <v>43946</v>
      </c>
      <c r="M49" s="101">
        <f>L49+10</f>
        <v>43956</v>
      </c>
      <c r="N49" s="58"/>
    </row>
    <row r="50" spans="1:14" ht="18">
      <c r="A50" s="130" t="s">
        <v>624</v>
      </c>
      <c r="B50" s="131" t="s">
        <v>753</v>
      </c>
      <c r="C50" s="101">
        <f>D49+2</f>
        <v>43958</v>
      </c>
      <c r="D50" s="101">
        <f>C50+8</f>
        <v>43966</v>
      </c>
      <c r="E50" s="58"/>
      <c r="J50" s="130" t="s">
        <v>624</v>
      </c>
      <c r="K50" s="131" t="s">
        <v>753</v>
      </c>
      <c r="L50" s="101">
        <f>M49+2</f>
        <v>43958</v>
      </c>
      <c r="M50" s="101">
        <f>L50+8</f>
        <v>43966</v>
      </c>
      <c r="N50" s="58"/>
    </row>
    <row r="51" spans="1:14" ht="18">
      <c r="A51" s="130" t="s">
        <v>491</v>
      </c>
      <c r="B51" s="131" t="s">
        <v>710</v>
      </c>
      <c r="C51" s="101">
        <f>D50+1</f>
        <v>43967</v>
      </c>
      <c r="D51" s="101">
        <f>C51+3</f>
        <v>43970</v>
      </c>
      <c r="E51" s="58"/>
      <c r="J51" s="130" t="s">
        <v>491</v>
      </c>
      <c r="K51" s="131" t="s">
        <v>710</v>
      </c>
      <c r="L51" s="101">
        <f>M50+1</f>
        <v>43967</v>
      </c>
      <c r="M51" s="101">
        <f>L51+3</f>
        <v>43970</v>
      </c>
      <c r="N51" s="58"/>
    </row>
    <row r="52" spans="1:14" ht="18">
      <c r="A52" s="130" t="s">
        <v>492</v>
      </c>
      <c r="B52" s="131" t="s">
        <v>730</v>
      </c>
      <c r="C52" s="101">
        <f t="shared" ref="C52:C62" si="6">D51+1</f>
        <v>43971</v>
      </c>
      <c r="D52" s="101">
        <f>C52+18</f>
        <v>43989</v>
      </c>
      <c r="E52" s="58"/>
      <c r="J52" s="130" t="s">
        <v>492</v>
      </c>
      <c r="K52" s="131" t="s">
        <v>730</v>
      </c>
      <c r="L52" s="101">
        <f t="shared" ref="L52:L56" si="7">M51+1</f>
        <v>43971</v>
      </c>
      <c r="M52" s="101">
        <f>L52+18</f>
        <v>43989</v>
      </c>
      <c r="N52" s="58"/>
    </row>
    <row r="53" spans="1:14" ht="18">
      <c r="A53" s="130" t="s">
        <v>490</v>
      </c>
      <c r="B53" s="131" t="s">
        <v>711</v>
      </c>
      <c r="C53" s="101">
        <f t="shared" si="6"/>
        <v>43990</v>
      </c>
      <c r="D53" s="101">
        <f>C53+5</f>
        <v>43995</v>
      </c>
      <c r="E53" s="58"/>
      <c r="J53" s="130" t="s">
        <v>490</v>
      </c>
      <c r="K53" s="131" t="s">
        <v>711</v>
      </c>
      <c r="L53" s="101">
        <f t="shared" si="7"/>
        <v>43990</v>
      </c>
      <c r="M53" s="101">
        <f>L53+5</f>
        <v>43995</v>
      </c>
      <c r="N53" s="58"/>
    </row>
    <row r="54" spans="1:14" ht="18">
      <c r="A54" s="130" t="s">
        <v>491</v>
      </c>
      <c r="B54" s="131" t="s">
        <v>712</v>
      </c>
      <c r="C54" s="101">
        <f t="shared" si="6"/>
        <v>43996</v>
      </c>
      <c r="D54" s="101">
        <f>C54+3</f>
        <v>43999</v>
      </c>
      <c r="E54" s="58"/>
      <c r="J54" s="130" t="s">
        <v>491</v>
      </c>
      <c r="K54" s="131" t="s">
        <v>712</v>
      </c>
      <c r="L54" s="101">
        <f t="shared" si="7"/>
        <v>43996</v>
      </c>
      <c r="M54" s="101">
        <f>L54+3</f>
        <v>43999</v>
      </c>
      <c r="N54" s="58"/>
    </row>
    <row r="55" spans="1:14" ht="18">
      <c r="A55" s="102" t="s">
        <v>620</v>
      </c>
      <c r="B55" s="131" t="s">
        <v>713</v>
      </c>
      <c r="C55" s="101">
        <f t="shared" si="6"/>
        <v>44000</v>
      </c>
      <c r="D55" s="101">
        <f>C55+8</f>
        <v>44008</v>
      </c>
      <c r="E55" s="141" t="s">
        <v>83</v>
      </c>
      <c r="J55" s="102" t="s">
        <v>620</v>
      </c>
      <c r="K55" s="131" t="s">
        <v>713</v>
      </c>
      <c r="L55" s="101">
        <f t="shared" si="7"/>
        <v>44000</v>
      </c>
      <c r="M55" s="101">
        <f>L55+8</f>
        <v>44008</v>
      </c>
      <c r="N55" s="141" t="s">
        <v>83</v>
      </c>
    </row>
    <row r="56" spans="1:14" ht="36">
      <c r="A56" s="130" t="s">
        <v>621</v>
      </c>
      <c r="B56" s="131" t="s">
        <v>720</v>
      </c>
      <c r="C56" s="133">
        <f t="shared" si="6"/>
        <v>44009</v>
      </c>
      <c r="D56" s="133">
        <f>C56+26</f>
        <v>44035</v>
      </c>
      <c r="E56" s="141"/>
      <c r="J56" s="130" t="s">
        <v>621</v>
      </c>
      <c r="K56" s="131" t="s">
        <v>720</v>
      </c>
      <c r="L56" s="133">
        <f t="shared" si="7"/>
        <v>44009</v>
      </c>
      <c r="M56" s="133">
        <f>L56+26</f>
        <v>44035</v>
      </c>
      <c r="N56" s="141"/>
    </row>
    <row r="57" spans="1:14" ht="18">
      <c r="A57" s="130" t="s">
        <v>497</v>
      </c>
      <c r="B57" s="131" t="s">
        <v>700</v>
      </c>
      <c r="C57" s="133">
        <f>D56+1</f>
        <v>44036</v>
      </c>
      <c r="D57" s="133">
        <f>C57</f>
        <v>44036</v>
      </c>
      <c r="E57" s="141"/>
      <c r="J57" s="130" t="s">
        <v>755</v>
      </c>
      <c r="K57" s="152" t="s">
        <v>756</v>
      </c>
      <c r="L57" s="133">
        <f>M56+1</f>
        <v>44036</v>
      </c>
      <c r="M57" s="133">
        <f>L57+4</f>
        <v>44040</v>
      </c>
      <c r="N57" s="141"/>
    </row>
    <row r="58" spans="1:14" ht="18">
      <c r="A58" s="130" t="s">
        <v>497</v>
      </c>
      <c r="B58" s="131" t="s">
        <v>701</v>
      </c>
      <c r="C58" s="133">
        <f>D57+1</f>
        <v>44037</v>
      </c>
      <c r="D58" s="133">
        <f>C58</f>
        <v>44037</v>
      </c>
      <c r="E58" s="141"/>
      <c r="J58" s="130" t="s">
        <v>497</v>
      </c>
      <c r="K58" s="131" t="s">
        <v>700</v>
      </c>
      <c r="L58" s="133">
        <f>M57+1</f>
        <v>44041</v>
      </c>
      <c r="M58" s="133">
        <f>L58</f>
        <v>44041</v>
      </c>
      <c r="N58" s="141"/>
    </row>
    <row r="59" spans="1:14" ht="18">
      <c r="A59" s="130" t="s">
        <v>494</v>
      </c>
      <c r="B59" s="131" t="s">
        <v>714</v>
      </c>
      <c r="C59" s="133">
        <f>D57+1</f>
        <v>44037</v>
      </c>
      <c r="D59" s="133">
        <f>C59+2</f>
        <v>44039</v>
      </c>
      <c r="E59" s="141"/>
      <c r="J59" s="130" t="s">
        <v>497</v>
      </c>
      <c r="K59" s="131" t="s">
        <v>701</v>
      </c>
      <c r="L59" s="133">
        <f>M58+1</f>
        <v>44042</v>
      </c>
      <c r="M59" s="133">
        <f>L59</f>
        <v>44042</v>
      </c>
      <c r="N59" s="141"/>
    </row>
    <row r="60" spans="1:14" ht="18">
      <c r="A60" s="130" t="s">
        <v>732</v>
      </c>
      <c r="B60" s="131" t="s">
        <v>731</v>
      </c>
      <c r="C60" s="133">
        <f>D59+1</f>
        <v>44040</v>
      </c>
      <c r="D60" s="133">
        <f>C60+3</f>
        <v>44043</v>
      </c>
      <c r="E60" s="141"/>
      <c r="J60" s="130" t="s">
        <v>494</v>
      </c>
      <c r="K60" s="131" t="s">
        <v>714</v>
      </c>
      <c r="L60" s="133">
        <f>M58+1</f>
        <v>44042</v>
      </c>
      <c r="M60" s="133">
        <f>L60+2</f>
        <v>44044</v>
      </c>
      <c r="N60" s="141"/>
    </row>
    <row r="61" spans="1:14" ht="18">
      <c r="A61" s="130" t="s">
        <v>497</v>
      </c>
      <c r="B61" s="131" t="s">
        <v>716</v>
      </c>
      <c r="C61" s="133">
        <f>D60+1</f>
        <v>44044</v>
      </c>
      <c r="D61" s="133">
        <f>C61+19</f>
        <v>44063</v>
      </c>
      <c r="E61" s="141"/>
      <c r="J61" s="130" t="s">
        <v>732</v>
      </c>
      <c r="K61" s="131" t="s">
        <v>731</v>
      </c>
      <c r="L61" s="133">
        <f>M60+1</f>
        <v>44045</v>
      </c>
      <c r="M61" s="133">
        <f>L61+3</f>
        <v>44048</v>
      </c>
      <c r="N61" s="141"/>
    </row>
    <row r="62" spans="1:14" ht="18">
      <c r="A62" s="130" t="s">
        <v>497</v>
      </c>
      <c r="B62" s="131" t="s">
        <v>717</v>
      </c>
      <c r="C62" s="133">
        <f t="shared" si="6"/>
        <v>44064</v>
      </c>
      <c r="D62" s="133">
        <f>C62+14</f>
        <v>44078</v>
      </c>
      <c r="E62" s="141"/>
      <c r="J62" s="130" t="s">
        <v>497</v>
      </c>
      <c r="K62" s="131" t="s">
        <v>716</v>
      </c>
      <c r="L62" s="133">
        <f>M61+1</f>
        <v>44049</v>
      </c>
      <c r="M62" s="133">
        <f>L62+19</f>
        <v>44068</v>
      </c>
      <c r="N62" s="141"/>
    </row>
    <row r="63" spans="1:14" ht="18">
      <c r="A63" s="130" t="s">
        <v>490</v>
      </c>
      <c r="B63" s="131" t="s">
        <v>715</v>
      </c>
      <c r="C63" s="133">
        <f>D62+1</f>
        <v>44079</v>
      </c>
      <c r="D63" s="133">
        <f>C63+5</f>
        <v>44084</v>
      </c>
      <c r="E63" s="141"/>
      <c r="J63" s="130" t="s">
        <v>497</v>
      </c>
      <c r="K63" s="131" t="s">
        <v>717</v>
      </c>
      <c r="L63" s="133">
        <f t="shared" ref="L63" si="8">M62+1</f>
        <v>44069</v>
      </c>
      <c r="M63" s="133">
        <f>L63+14</f>
        <v>44083</v>
      </c>
      <c r="N63" s="141"/>
    </row>
    <row r="64" spans="1:14" ht="18">
      <c r="A64" s="102" t="s">
        <v>498</v>
      </c>
      <c r="B64" s="131" t="s">
        <v>718</v>
      </c>
      <c r="C64" s="133">
        <f>D63+1</f>
        <v>44085</v>
      </c>
      <c r="D64" s="133">
        <f>C64+66</f>
        <v>44151</v>
      </c>
      <c r="E64" s="141"/>
      <c r="J64" s="130" t="s">
        <v>490</v>
      </c>
      <c r="K64" s="131" t="s">
        <v>715</v>
      </c>
      <c r="L64" s="133">
        <f>M63+1</f>
        <v>44084</v>
      </c>
      <c r="M64" s="133">
        <f>L64+5</f>
        <v>44089</v>
      </c>
      <c r="N64" s="141"/>
    </row>
    <row r="65" spans="1:14" ht="18">
      <c r="A65" s="102" t="s">
        <v>497</v>
      </c>
      <c r="B65" s="132" t="s">
        <v>705</v>
      </c>
      <c r="C65" s="133">
        <f>D64+1</f>
        <v>44152</v>
      </c>
      <c r="D65" s="133">
        <f>C65+5</f>
        <v>44157</v>
      </c>
      <c r="E65" s="141"/>
      <c r="J65" s="102" t="s">
        <v>498</v>
      </c>
      <c r="K65" s="131" t="s">
        <v>718</v>
      </c>
      <c r="L65" s="133">
        <f>M64+1</f>
        <v>44090</v>
      </c>
      <c r="M65" s="133">
        <f>L65+66</f>
        <v>44156</v>
      </c>
      <c r="N65" s="142"/>
    </row>
    <row r="66" spans="1:14" ht="25.8">
      <c r="A66" s="103"/>
      <c r="B66" s="120" t="s">
        <v>686</v>
      </c>
      <c r="C66" s="104">
        <f>MIN(C69:C95)</f>
        <v>43963</v>
      </c>
      <c r="D66" s="104">
        <f>MAX(D69:D95)</f>
        <v>44379</v>
      </c>
      <c r="E66" s="58"/>
      <c r="J66" s="102" t="s">
        <v>497</v>
      </c>
      <c r="K66" s="132" t="s">
        <v>705</v>
      </c>
      <c r="L66" s="133">
        <f>M65+1</f>
        <v>44157</v>
      </c>
      <c r="M66" s="133">
        <f>L66+5</f>
        <v>44162</v>
      </c>
      <c r="N66" s="58"/>
    </row>
    <row r="67" spans="1:14" ht="25.8">
      <c r="A67" s="105" t="s">
        <v>751</v>
      </c>
      <c r="B67" s="134" t="s">
        <v>608</v>
      </c>
      <c r="C67" s="104">
        <v>43506</v>
      </c>
      <c r="D67" s="104">
        <f>C67+40</f>
        <v>43546</v>
      </c>
      <c r="E67" s="58"/>
      <c r="J67" s="103"/>
      <c r="K67" s="120" t="s">
        <v>686</v>
      </c>
      <c r="L67" s="104">
        <f>MIN(L70:L101)</f>
        <v>43963</v>
      </c>
      <c r="M67" s="104">
        <f>MAX(M70:M101)</f>
        <v>44379</v>
      </c>
      <c r="N67" s="58"/>
    </row>
    <row r="68" spans="1:14" ht="18">
      <c r="A68" s="105" t="s">
        <v>751</v>
      </c>
      <c r="B68" s="134" t="s">
        <v>752</v>
      </c>
      <c r="C68" s="104">
        <f>D67+2</f>
        <v>43548</v>
      </c>
      <c r="D68" s="104">
        <f>C68+45</f>
        <v>43593</v>
      </c>
      <c r="E68" s="58"/>
      <c r="J68" s="105" t="s">
        <v>751</v>
      </c>
      <c r="K68" s="151" t="s">
        <v>608</v>
      </c>
      <c r="L68" s="104">
        <v>43506</v>
      </c>
      <c r="M68" s="104">
        <f>L68+40</f>
        <v>43546</v>
      </c>
      <c r="N68" s="58"/>
    </row>
    <row r="69" spans="1:14" ht="18">
      <c r="A69" s="89" t="s">
        <v>489</v>
      </c>
      <c r="B69" s="134" t="s">
        <v>707</v>
      </c>
      <c r="C69" s="104">
        <f>D13+1</f>
        <v>43963</v>
      </c>
      <c r="D69" s="104">
        <f>C69+3</f>
        <v>43966</v>
      </c>
      <c r="E69" s="58"/>
      <c r="J69" s="105" t="s">
        <v>751</v>
      </c>
      <c r="K69" s="151" t="s">
        <v>752</v>
      </c>
      <c r="L69" s="104">
        <f>M68+2</f>
        <v>43548</v>
      </c>
      <c r="M69" s="104">
        <f>L69+45</f>
        <v>43593</v>
      </c>
      <c r="N69" s="58"/>
    </row>
    <row r="70" spans="1:14" ht="18">
      <c r="A70" s="89" t="s">
        <v>491</v>
      </c>
      <c r="B70" s="134" t="s">
        <v>721</v>
      </c>
      <c r="C70" s="104">
        <f>D69+1</f>
        <v>43967</v>
      </c>
      <c r="D70" s="104">
        <f>C70+3</f>
        <v>43970</v>
      </c>
      <c r="E70" s="58"/>
      <c r="J70" s="105" t="s">
        <v>489</v>
      </c>
      <c r="K70" s="151" t="s">
        <v>707</v>
      </c>
      <c r="L70" s="104">
        <f>M13+1</f>
        <v>43963</v>
      </c>
      <c r="M70" s="104">
        <f>L70+3</f>
        <v>43966</v>
      </c>
      <c r="N70" s="58"/>
    </row>
    <row r="71" spans="1:14" ht="18">
      <c r="A71" s="89" t="s">
        <v>490</v>
      </c>
      <c r="B71" s="134" t="s">
        <v>722</v>
      </c>
      <c r="C71" s="104">
        <f t="shared" ref="C71:C92" si="9">D70+1</f>
        <v>43971</v>
      </c>
      <c r="D71" s="104">
        <f>C71+5</f>
        <v>43976</v>
      </c>
      <c r="E71" s="58"/>
      <c r="J71" s="105" t="s">
        <v>491</v>
      </c>
      <c r="K71" s="151" t="s">
        <v>721</v>
      </c>
      <c r="L71" s="104">
        <f>M70+1</f>
        <v>43967</v>
      </c>
      <c r="M71" s="104">
        <f>L71+3</f>
        <v>43970</v>
      </c>
      <c r="N71" s="58"/>
    </row>
    <row r="72" spans="1:14" ht="18">
      <c r="A72" s="89" t="s">
        <v>623</v>
      </c>
      <c r="B72" s="134" t="s">
        <v>723</v>
      </c>
      <c r="C72" s="104">
        <f t="shared" si="9"/>
        <v>43977</v>
      </c>
      <c r="D72" s="104">
        <f>C72+7</f>
        <v>43984</v>
      </c>
      <c r="E72" s="58"/>
      <c r="J72" s="105" t="s">
        <v>490</v>
      </c>
      <c r="K72" s="151" t="s">
        <v>722</v>
      </c>
      <c r="L72" s="104">
        <f t="shared" ref="L72:L75" si="10">M71+1</f>
        <v>43971</v>
      </c>
      <c r="M72" s="104">
        <f>L72+5</f>
        <v>43976</v>
      </c>
      <c r="N72" s="58"/>
    </row>
    <row r="73" spans="1:14" ht="18">
      <c r="A73" s="89" t="s">
        <v>624</v>
      </c>
      <c r="B73" s="134" t="s">
        <v>724</v>
      </c>
      <c r="C73" s="104">
        <f t="shared" si="9"/>
        <v>43985</v>
      </c>
      <c r="D73" s="104">
        <f>C73+12</f>
        <v>43997</v>
      </c>
      <c r="E73" s="58"/>
      <c r="J73" s="105" t="s">
        <v>623</v>
      </c>
      <c r="K73" s="151" t="s">
        <v>723</v>
      </c>
      <c r="L73" s="104">
        <f t="shared" si="10"/>
        <v>43977</v>
      </c>
      <c r="M73" s="104">
        <f>L73+7</f>
        <v>43984</v>
      </c>
      <c r="N73" s="58"/>
    </row>
    <row r="74" spans="1:14" ht="18">
      <c r="A74" s="89" t="s">
        <v>494</v>
      </c>
      <c r="B74" s="134" t="s">
        <v>606</v>
      </c>
      <c r="C74" s="104">
        <f t="shared" si="9"/>
        <v>43998</v>
      </c>
      <c r="D74" s="104">
        <f>C74+2</f>
        <v>44000</v>
      </c>
      <c r="E74" s="58"/>
      <c r="J74" s="105" t="s">
        <v>494</v>
      </c>
      <c r="K74" s="151" t="s">
        <v>606</v>
      </c>
      <c r="L74" s="104">
        <f>M73+1</f>
        <v>43985</v>
      </c>
      <c r="M74" s="104">
        <f>L74+2</f>
        <v>43987</v>
      </c>
      <c r="N74" s="58"/>
    </row>
    <row r="75" spans="1:14" ht="18">
      <c r="A75" s="89" t="s">
        <v>502</v>
      </c>
      <c r="B75" s="134" t="s">
        <v>725</v>
      </c>
      <c r="C75" s="104">
        <f t="shared" si="9"/>
        <v>44001</v>
      </c>
      <c r="D75" s="104">
        <f>C75+8</f>
        <v>44009</v>
      </c>
      <c r="E75" s="58"/>
      <c r="J75" s="105" t="s">
        <v>502</v>
      </c>
      <c r="K75" s="151" t="s">
        <v>725</v>
      </c>
      <c r="L75" s="104">
        <f t="shared" si="10"/>
        <v>43988</v>
      </c>
      <c r="M75" s="104">
        <f>L75+8</f>
        <v>43996</v>
      </c>
      <c r="N75" s="58"/>
    </row>
    <row r="76" spans="1:14" ht="18">
      <c r="A76" s="89" t="s">
        <v>490</v>
      </c>
      <c r="B76" s="134" t="s">
        <v>736</v>
      </c>
      <c r="C76" s="104">
        <f>D75+1</f>
        <v>44010</v>
      </c>
      <c r="D76" s="104">
        <f>C76+5</f>
        <v>44015</v>
      </c>
      <c r="E76" s="141" t="s">
        <v>83</v>
      </c>
      <c r="J76" s="105" t="s">
        <v>498</v>
      </c>
      <c r="K76" s="151" t="s">
        <v>757</v>
      </c>
      <c r="L76" s="104">
        <f t="shared" ref="L76:L82" si="11">M75+1</f>
        <v>43997</v>
      </c>
      <c r="M76" s="104">
        <f>L76+5</f>
        <v>44002</v>
      </c>
      <c r="N76" s="58"/>
    </row>
    <row r="77" spans="1:14" ht="18">
      <c r="A77" s="89" t="s">
        <v>623</v>
      </c>
      <c r="B77" s="134" t="s">
        <v>747</v>
      </c>
      <c r="C77" s="104">
        <f>D76+1</f>
        <v>44016</v>
      </c>
      <c r="D77" s="104">
        <f>C77+4</f>
        <v>44020</v>
      </c>
      <c r="E77" s="140"/>
      <c r="J77" s="105" t="s">
        <v>624</v>
      </c>
      <c r="K77" s="151" t="s">
        <v>724</v>
      </c>
      <c r="L77" s="104">
        <f t="shared" si="11"/>
        <v>44003</v>
      </c>
      <c r="M77" s="104">
        <f>L77+12</f>
        <v>44015</v>
      </c>
      <c r="N77" s="58"/>
    </row>
    <row r="78" spans="1:14" ht="18">
      <c r="A78" s="89" t="s">
        <v>748</v>
      </c>
      <c r="B78" s="134" t="s">
        <v>742</v>
      </c>
      <c r="C78" s="104">
        <f>D77+1</f>
        <v>44021</v>
      </c>
      <c r="D78" s="104">
        <f>C78+1</f>
        <v>44022</v>
      </c>
      <c r="E78" s="140"/>
      <c r="J78" s="105" t="s">
        <v>755</v>
      </c>
      <c r="K78" s="151" t="s">
        <v>756</v>
      </c>
      <c r="L78" s="104">
        <f t="shared" si="11"/>
        <v>44016</v>
      </c>
      <c r="M78" s="104">
        <f>L78+4</f>
        <v>44020</v>
      </c>
      <c r="N78" s="58"/>
    </row>
    <row r="79" spans="1:14" ht="18">
      <c r="A79" s="105" t="s">
        <v>492</v>
      </c>
      <c r="B79" s="134" t="s">
        <v>737</v>
      </c>
      <c r="C79" s="104">
        <f>D77+1</f>
        <v>44021</v>
      </c>
      <c r="D79" s="104">
        <f>C79+15</f>
        <v>44036</v>
      </c>
      <c r="E79" s="140"/>
      <c r="J79" s="105" t="s">
        <v>490</v>
      </c>
      <c r="K79" s="151" t="s">
        <v>736</v>
      </c>
      <c r="L79" s="104">
        <f t="shared" si="11"/>
        <v>44021</v>
      </c>
      <c r="M79" s="104">
        <f>L79+7</f>
        <v>44028</v>
      </c>
      <c r="N79" s="141" t="s">
        <v>83</v>
      </c>
    </row>
    <row r="80" spans="1:14" ht="36">
      <c r="A80" s="105" t="s">
        <v>495</v>
      </c>
      <c r="B80" s="134" t="s">
        <v>743</v>
      </c>
      <c r="C80" s="104">
        <f t="shared" ref="C80:C86" si="12">D79+1</f>
        <v>44037</v>
      </c>
      <c r="D80" s="104">
        <f>C80+40</f>
        <v>44077</v>
      </c>
      <c r="E80" s="141" t="s">
        <v>749</v>
      </c>
      <c r="J80" s="105" t="s">
        <v>623</v>
      </c>
      <c r="K80" s="151" t="s">
        <v>747</v>
      </c>
      <c r="L80" s="104">
        <f t="shared" si="11"/>
        <v>44029</v>
      </c>
      <c r="M80" s="104">
        <f>L80+4</f>
        <v>44033</v>
      </c>
      <c r="N80" s="140"/>
    </row>
    <row r="81" spans="1:14" ht="36">
      <c r="A81" s="105" t="s">
        <v>488</v>
      </c>
      <c r="B81" s="134" t="s">
        <v>738</v>
      </c>
      <c r="C81" s="104">
        <f t="shared" si="12"/>
        <v>44078</v>
      </c>
      <c r="D81" s="104">
        <f>C81+4</f>
        <v>44082</v>
      </c>
      <c r="E81" s="140"/>
      <c r="J81" s="105" t="s">
        <v>748</v>
      </c>
      <c r="K81" s="151" t="s">
        <v>742</v>
      </c>
      <c r="L81" s="104">
        <f t="shared" si="11"/>
        <v>44034</v>
      </c>
      <c r="M81" s="104">
        <f>L81+1</f>
        <v>44035</v>
      </c>
      <c r="N81" s="140"/>
    </row>
    <row r="82" spans="1:14" ht="18">
      <c r="A82" s="105" t="s">
        <v>490</v>
      </c>
      <c r="B82" s="134" t="s">
        <v>740</v>
      </c>
      <c r="C82" s="104">
        <f t="shared" si="12"/>
        <v>44083</v>
      </c>
      <c r="D82" s="104">
        <f>C82+5</f>
        <v>44088</v>
      </c>
      <c r="E82" s="140"/>
      <c r="J82" s="105" t="s">
        <v>492</v>
      </c>
      <c r="K82" s="151" t="s">
        <v>737</v>
      </c>
      <c r="L82" s="104">
        <f t="shared" si="11"/>
        <v>44036</v>
      </c>
      <c r="M82" s="104">
        <f>L82+15</f>
        <v>44051</v>
      </c>
      <c r="N82" s="140"/>
    </row>
    <row r="83" spans="1:14" ht="36">
      <c r="A83" s="89" t="s">
        <v>497</v>
      </c>
      <c r="B83" s="134" t="s">
        <v>719</v>
      </c>
      <c r="C83" s="104">
        <f t="shared" si="12"/>
        <v>44089</v>
      </c>
      <c r="D83" s="104">
        <f>C83+2</f>
        <v>44091</v>
      </c>
      <c r="E83" s="140"/>
      <c r="J83" s="105" t="s">
        <v>495</v>
      </c>
      <c r="K83" s="151" t="s">
        <v>743</v>
      </c>
      <c r="L83" s="104">
        <f t="shared" ref="L83:L93" si="13">M82+1</f>
        <v>44052</v>
      </c>
      <c r="M83" s="104">
        <f>L83+40</f>
        <v>44092</v>
      </c>
      <c r="N83" s="141" t="s">
        <v>749</v>
      </c>
    </row>
    <row r="84" spans="1:14" ht="36">
      <c r="A84" s="89" t="s">
        <v>732</v>
      </c>
      <c r="B84" s="134" t="s">
        <v>734</v>
      </c>
      <c r="C84" s="104">
        <f t="shared" si="12"/>
        <v>44092</v>
      </c>
      <c r="D84" s="104">
        <f>C84</f>
        <v>44092</v>
      </c>
      <c r="E84" s="140"/>
      <c r="J84" s="105" t="s">
        <v>488</v>
      </c>
      <c r="K84" s="151" t="s">
        <v>738</v>
      </c>
      <c r="L84" s="104">
        <f t="shared" si="13"/>
        <v>44093</v>
      </c>
      <c r="M84" s="104">
        <f>L84+4</f>
        <v>44097</v>
      </c>
      <c r="N84" s="140"/>
    </row>
    <row r="85" spans="1:14" ht="18">
      <c r="A85" s="89" t="s">
        <v>497</v>
      </c>
      <c r="B85" s="134" t="s">
        <v>726</v>
      </c>
      <c r="C85" s="104">
        <f t="shared" si="12"/>
        <v>44093</v>
      </c>
      <c r="D85" s="104">
        <f>C85+7</f>
        <v>44100</v>
      </c>
      <c r="E85" s="140"/>
      <c r="J85" s="105" t="s">
        <v>755</v>
      </c>
      <c r="K85" s="151" t="s">
        <v>756</v>
      </c>
      <c r="L85" s="104">
        <f>M84+1</f>
        <v>44098</v>
      </c>
      <c r="M85" s="104">
        <f>L85+4</f>
        <v>44102</v>
      </c>
      <c r="N85" s="140"/>
    </row>
    <row r="86" spans="1:14" ht="18">
      <c r="A86" s="89" t="s">
        <v>622</v>
      </c>
      <c r="B86" s="134" t="s">
        <v>727</v>
      </c>
      <c r="C86" s="104">
        <f t="shared" si="12"/>
        <v>44101</v>
      </c>
      <c r="D86" s="104">
        <f>C86+5</f>
        <v>44106</v>
      </c>
      <c r="E86" s="140"/>
      <c r="J86" s="105" t="s">
        <v>490</v>
      </c>
      <c r="K86" s="151" t="s">
        <v>740</v>
      </c>
      <c r="L86" s="104">
        <f>M85+1</f>
        <v>44103</v>
      </c>
      <c r="M86" s="104">
        <f>L86+5</f>
        <v>44108</v>
      </c>
      <c r="N86" s="140"/>
    </row>
    <row r="87" spans="1:14" ht="18">
      <c r="A87" s="89" t="s">
        <v>620</v>
      </c>
      <c r="B87" s="134" t="s">
        <v>744</v>
      </c>
      <c r="C87" s="104">
        <f t="shared" si="9"/>
        <v>44107</v>
      </c>
      <c r="D87" s="104">
        <f>C87+8</f>
        <v>44115</v>
      </c>
      <c r="E87" s="140"/>
      <c r="J87" s="105" t="s">
        <v>497</v>
      </c>
      <c r="K87" s="151" t="s">
        <v>719</v>
      </c>
      <c r="L87" s="104">
        <f t="shared" si="13"/>
        <v>44109</v>
      </c>
      <c r="M87" s="104">
        <f>L87+2</f>
        <v>44111</v>
      </c>
      <c r="N87" s="140"/>
    </row>
    <row r="88" spans="1:14" ht="18">
      <c r="A88" s="89" t="s">
        <v>622</v>
      </c>
      <c r="B88" s="134" t="s">
        <v>645</v>
      </c>
      <c r="C88" s="104">
        <f>D87+1</f>
        <v>44116</v>
      </c>
      <c r="D88" s="104">
        <f>C88+2</f>
        <v>44118</v>
      </c>
      <c r="E88" s="140"/>
      <c r="J88" s="105" t="s">
        <v>732</v>
      </c>
      <c r="K88" s="151" t="s">
        <v>734</v>
      </c>
      <c r="L88" s="104">
        <f t="shared" si="13"/>
        <v>44112</v>
      </c>
      <c r="M88" s="104">
        <f>L88</f>
        <v>44112</v>
      </c>
      <c r="N88" s="140"/>
    </row>
    <row r="89" spans="1:14" ht="18">
      <c r="A89" s="105" t="s">
        <v>624</v>
      </c>
      <c r="B89" s="134" t="s">
        <v>739</v>
      </c>
      <c r="C89" s="104">
        <f>D88+1</f>
        <v>44119</v>
      </c>
      <c r="D89" s="104">
        <f>C89+8</f>
        <v>44127</v>
      </c>
      <c r="E89" s="140"/>
      <c r="J89" s="105" t="s">
        <v>497</v>
      </c>
      <c r="K89" s="151" t="s">
        <v>726</v>
      </c>
      <c r="L89" s="104">
        <f t="shared" si="13"/>
        <v>44113</v>
      </c>
      <c r="M89" s="104">
        <f>L89+7</f>
        <v>44120</v>
      </c>
      <c r="N89" s="140"/>
    </row>
    <row r="90" spans="1:14" ht="36">
      <c r="A90" s="105" t="s">
        <v>621</v>
      </c>
      <c r="B90" s="134" t="s">
        <v>728</v>
      </c>
      <c r="C90" s="104">
        <f>D89+1</f>
        <v>44128</v>
      </c>
      <c r="D90" s="104">
        <f>C90+30</f>
        <v>44158</v>
      </c>
      <c r="E90" s="140"/>
      <c r="J90" s="143"/>
      <c r="K90" s="144" t="s">
        <v>754</v>
      </c>
      <c r="L90" s="145">
        <f>MIN(L91:L101)</f>
        <v>43966</v>
      </c>
      <c r="M90" s="145">
        <f>MAX(M91:M101)</f>
        <v>44379</v>
      </c>
      <c r="N90" s="149"/>
    </row>
    <row r="91" spans="1:14" ht="18">
      <c r="A91" s="89" t="s">
        <v>494</v>
      </c>
      <c r="B91" s="134" t="s">
        <v>729</v>
      </c>
      <c r="C91" s="104">
        <f t="shared" si="9"/>
        <v>44159</v>
      </c>
      <c r="D91" s="104">
        <f>C91+3</f>
        <v>44162</v>
      </c>
      <c r="E91" s="140"/>
      <c r="J91" s="148" t="s">
        <v>489</v>
      </c>
      <c r="K91" s="150" t="s">
        <v>707</v>
      </c>
      <c r="L91" s="145">
        <v>43966</v>
      </c>
      <c r="M91" s="145">
        <f>L91+3</f>
        <v>43969</v>
      </c>
      <c r="N91" s="149"/>
    </row>
    <row r="92" spans="1:14" ht="18">
      <c r="A92" s="89" t="s">
        <v>625</v>
      </c>
      <c r="B92" s="134" t="s">
        <v>640</v>
      </c>
      <c r="C92" s="104">
        <f t="shared" si="9"/>
        <v>44163</v>
      </c>
      <c r="D92" s="104">
        <f>C92+29</f>
        <v>44192</v>
      </c>
      <c r="E92" s="140"/>
      <c r="J92" s="148" t="s">
        <v>622</v>
      </c>
      <c r="K92" s="147" t="s">
        <v>727</v>
      </c>
      <c r="L92" s="145">
        <f>M91+1</f>
        <v>43970</v>
      </c>
      <c r="M92" s="145">
        <f>L92+5</f>
        <v>43975</v>
      </c>
      <c r="N92" s="149"/>
    </row>
    <row r="93" spans="1:14" ht="18">
      <c r="A93" s="105" t="s">
        <v>490</v>
      </c>
      <c r="B93" s="134" t="s">
        <v>741</v>
      </c>
      <c r="C93" s="104">
        <f>D92+14</f>
        <v>44206</v>
      </c>
      <c r="D93" s="104">
        <f>C93+10</f>
        <v>44216</v>
      </c>
      <c r="E93" s="140"/>
      <c r="J93" s="146" t="s">
        <v>620</v>
      </c>
      <c r="K93" s="147" t="s">
        <v>744</v>
      </c>
      <c r="L93" s="145">
        <f t="shared" si="13"/>
        <v>43976</v>
      </c>
      <c r="M93" s="145">
        <f>L93+8</f>
        <v>43984</v>
      </c>
      <c r="N93" s="149"/>
    </row>
    <row r="94" spans="1:14" ht="18">
      <c r="A94" s="105" t="s">
        <v>648</v>
      </c>
      <c r="B94" s="134" t="s">
        <v>750</v>
      </c>
      <c r="C94" s="104">
        <f>D93+100</f>
        <v>44316</v>
      </c>
      <c r="D94" s="104">
        <f>C94+45</f>
        <v>44361</v>
      </c>
      <c r="E94" s="140"/>
      <c r="J94" s="146" t="s">
        <v>622</v>
      </c>
      <c r="K94" s="147" t="s">
        <v>645</v>
      </c>
      <c r="L94" s="145">
        <f>M93+1</f>
        <v>43985</v>
      </c>
      <c r="M94" s="145">
        <f>L94+2</f>
        <v>43987</v>
      </c>
      <c r="N94" s="149"/>
    </row>
    <row r="95" spans="1:14" ht="18">
      <c r="A95" s="89" t="s">
        <v>648</v>
      </c>
      <c r="B95" s="134" t="s">
        <v>639</v>
      </c>
      <c r="C95" s="104">
        <v>44346</v>
      </c>
      <c r="D95" s="104">
        <f>C95+33</f>
        <v>44379</v>
      </c>
      <c r="E95" s="140"/>
      <c r="J95" s="148" t="s">
        <v>624</v>
      </c>
      <c r="K95" s="147" t="s">
        <v>739</v>
      </c>
      <c r="L95" s="145">
        <f>M94+1</f>
        <v>43988</v>
      </c>
      <c r="M95" s="145">
        <f>L95+8</f>
        <v>43996</v>
      </c>
      <c r="N95" s="149"/>
    </row>
    <row r="96" spans="1:14" ht="36">
      <c r="A96" s="126"/>
      <c r="B96" s="127" t="s">
        <v>685</v>
      </c>
      <c r="C96" s="128">
        <f>MIN(C97:C106)</f>
        <v>44214</v>
      </c>
      <c r="D96" s="128">
        <f>MAX(D97:D106)</f>
        <v>44287</v>
      </c>
      <c r="E96" s="58"/>
      <c r="J96" s="148" t="s">
        <v>621</v>
      </c>
      <c r="K96" s="147" t="s">
        <v>728</v>
      </c>
      <c r="L96" s="145">
        <f>M95+1</f>
        <v>43997</v>
      </c>
      <c r="M96" s="145">
        <f>L96+30</f>
        <v>44027</v>
      </c>
      <c r="N96" s="149"/>
    </row>
    <row r="97" spans="1:14" ht="18">
      <c r="A97" s="108" t="s">
        <v>489</v>
      </c>
      <c r="B97" s="106" t="s">
        <v>147</v>
      </c>
      <c r="C97" s="107">
        <v>44214</v>
      </c>
      <c r="D97" s="107">
        <f>C97+3</f>
        <v>44217</v>
      </c>
      <c r="E97" s="58"/>
      <c r="J97" s="146" t="s">
        <v>494</v>
      </c>
      <c r="K97" s="147" t="s">
        <v>729</v>
      </c>
      <c r="L97" s="145">
        <f t="shared" ref="L97:L98" si="14">M96+1</f>
        <v>44028</v>
      </c>
      <c r="M97" s="145">
        <f>L97+3</f>
        <v>44031</v>
      </c>
      <c r="N97" s="149"/>
    </row>
    <row r="98" spans="1:14" ht="18">
      <c r="A98" s="108" t="s">
        <v>490</v>
      </c>
      <c r="B98" s="106" t="s">
        <v>371</v>
      </c>
      <c r="C98" s="107">
        <f>D97+1</f>
        <v>44218</v>
      </c>
      <c r="D98" s="107">
        <f>C98+10</f>
        <v>44228</v>
      </c>
      <c r="E98" s="58"/>
      <c r="J98" s="146" t="s">
        <v>625</v>
      </c>
      <c r="K98" s="147" t="s">
        <v>640</v>
      </c>
      <c r="L98" s="145">
        <f t="shared" si="14"/>
        <v>44032</v>
      </c>
      <c r="M98" s="145">
        <f>L98+29</f>
        <v>44061</v>
      </c>
      <c r="N98" s="149"/>
    </row>
    <row r="99" spans="1:14" ht="36">
      <c r="A99" s="139" t="s">
        <v>488</v>
      </c>
      <c r="B99" s="138" t="s">
        <v>746</v>
      </c>
      <c r="C99" s="107">
        <f>D98+1</f>
        <v>44229</v>
      </c>
      <c r="D99" s="107">
        <f>C99+5</f>
        <v>44234</v>
      </c>
      <c r="E99" s="58"/>
      <c r="J99" s="148" t="s">
        <v>490</v>
      </c>
      <c r="K99" s="147" t="s">
        <v>741</v>
      </c>
      <c r="L99" s="145">
        <f>M98+14</f>
        <v>44075</v>
      </c>
      <c r="M99" s="145">
        <f>L99+10</f>
        <v>44085</v>
      </c>
      <c r="N99" s="149"/>
    </row>
    <row r="100" spans="1:14" ht="18">
      <c r="A100" s="108" t="s">
        <v>659</v>
      </c>
      <c r="B100" s="106" t="s">
        <v>735</v>
      </c>
      <c r="C100" s="107">
        <f>D99+1</f>
        <v>44235</v>
      </c>
      <c r="D100" s="107">
        <f>C100+5</f>
        <v>44240</v>
      </c>
      <c r="E100" s="58"/>
      <c r="J100" s="148" t="s">
        <v>648</v>
      </c>
      <c r="K100" s="147" t="s">
        <v>750</v>
      </c>
      <c r="L100" s="145">
        <f>M99+10</f>
        <v>44095</v>
      </c>
      <c r="M100" s="145">
        <f>L100+45</f>
        <v>44140</v>
      </c>
      <c r="N100" s="149"/>
    </row>
    <row r="101" spans="1:14" ht="18">
      <c r="A101" s="108" t="s">
        <v>491</v>
      </c>
      <c r="B101" s="106" t="s">
        <v>194</v>
      </c>
      <c r="C101" s="107">
        <f>D100+1</f>
        <v>44241</v>
      </c>
      <c r="D101" s="107">
        <f>C101+3</f>
        <v>44244</v>
      </c>
      <c r="E101" s="58"/>
      <c r="J101" s="148" t="s">
        <v>758</v>
      </c>
      <c r="K101" s="147" t="s">
        <v>639</v>
      </c>
      <c r="L101" s="145">
        <v>44346</v>
      </c>
      <c r="M101" s="145">
        <f>L101+33</f>
        <v>44379</v>
      </c>
      <c r="N101" s="58"/>
    </row>
    <row r="102" spans="1:14" ht="25.8">
      <c r="A102" s="108" t="s">
        <v>490</v>
      </c>
      <c r="B102" s="106" t="s">
        <v>376</v>
      </c>
      <c r="C102" s="107">
        <f t="shared" ref="C102:C106" si="15">D101+1</f>
        <v>44245</v>
      </c>
      <c r="D102" s="107">
        <f>C102+5</f>
        <v>44250</v>
      </c>
      <c r="E102" s="58"/>
      <c r="J102" s="126"/>
      <c r="K102" s="127" t="s">
        <v>685</v>
      </c>
      <c r="L102" s="128">
        <f>MIN(L103:L112)</f>
        <v>44226</v>
      </c>
      <c r="M102" s="128">
        <f>MAX(M103:M112)</f>
        <v>44299</v>
      </c>
      <c r="N102" s="58"/>
    </row>
    <row r="103" spans="1:14" ht="18">
      <c r="A103" s="108" t="s">
        <v>491</v>
      </c>
      <c r="B103" s="106" t="s">
        <v>209</v>
      </c>
      <c r="C103" s="107">
        <f t="shared" si="15"/>
        <v>44251</v>
      </c>
      <c r="D103" s="107">
        <f>C103+3</f>
        <v>44254</v>
      </c>
      <c r="E103" s="58"/>
      <c r="J103" s="108" t="s">
        <v>489</v>
      </c>
      <c r="K103" s="106" t="s">
        <v>147</v>
      </c>
      <c r="L103" s="107">
        <v>44226</v>
      </c>
      <c r="M103" s="107">
        <f>L103+3</f>
        <v>44229</v>
      </c>
      <c r="N103" s="58"/>
    </row>
    <row r="104" spans="1:14" ht="18">
      <c r="A104" s="108" t="s">
        <v>495</v>
      </c>
      <c r="B104" s="106" t="s">
        <v>379</v>
      </c>
      <c r="C104" s="107">
        <f t="shared" si="15"/>
        <v>44255</v>
      </c>
      <c r="D104" s="107">
        <f>C104+18</f>
        <v>44273</v>
      </c>
      <c r="E104" s="58"/>
      <c r="J104" s="108" t="s">
        <v>490</v>
      </c>
      <c r="K104" s="106" t="s">
        <v>371</v>
      </c>
      <c r="L104" s="107">
        <f>M103+1</f>
        <v>44230</v>
      </c>
      <c r="M104" s="107">
        <f>L104+10</f>
        <v>44240</v>
      </c>
      <c r="N104" s="58"/>
    </row>
    <row r="105" spans="1:14" ht="18">
      <c r="A105" s="108" t="s">
        <v>490</v>
      </c>
      <c r="B105" s="106" t="s">
        <v>236</v>
      </c>
      <c r="C105" s="107">
        <f t="shared" si="15"/>
        <v>44274</v>
      </c>
      <c r="D105" s="107">
        <f>C105+5</f>
        <v>44279</v>
      </c>
      <c r="E105" s="58"/>
      <c r="J105" s="139" t="s">
        <v>488</v>
      </c>
      <c r="K105" s="138" t="s">
        <v>746</v>
      </c>
      <c r="L105" s="107">
        <f>M104+1</f>
        <v>44241</v>
      </c>
      <c r="M105" s="107">
        <f>L105+5</f>
        <v>44246</v>
      </c>
      <c r="N105" s="58"/>
    </row>
    <row r="106" spans="1:14" ht="18">
      <c r="A106" s="108" t="s">
        <v>497</v>
      </c>
      <c r="B106" s="106" t="s">
        <v>704</v>
      </c>
      <c r="C106" s="107">
        <f t="shared" si="15"/>
        <v>44280</v>
      </c>
      <c r="D106" s="107">
        <f>C106+7</f>
        <v>44287</v>
      </c>
      <c r="E106" s="58"/>
      <c r="J106" s="108" t="s">
        <v>659</v>
      </c>
      <c r="K106" s="106" t="s">
        <v>735</v>
      </c>
      <c r="L106" s="107">
        <f>M105+1</f>
        <v>44247</v>
      </c>
      <c r="M106" s="107">
        <f>L106+5</f>
        <v>44252</v>
      </c>
      <c r="N106" s="58"/>
    </row>
    <row r="107" spans="1:14" ht="25.8">
      <c r="A107" s="109"/>
      <c r="B107" s="121" t="s">
        <v>661</v>
      </c>
      <c r="C107" s="110">
        <f>MIN(C108:C115)</f>
        <v>44211</v>
      </c>
      <c r="D107" s="110">
        <f>MAX(D108:D115)</f>
        <v>44312</v>
      </c>
      <c r="E107" s="58"/>
      <c r="J107" s="108" t="s">
        <v>491</v>
      </c>
      <c r="K107" s="106" t="s">
        <v>194</v>
      </c>
      <c r="L107" s="107">
        <f>M106+1</f>
        <v>44253</v>
      </c>
      <c r="M107" s="107">
        <f>L107+3</f>
        <v>44256</v>
      </c>
      <c r="N107" s="58"/>
    </row>
    <row r="108" spans="1:14" ht="18">
      <c r="A108" s="111" t="s">
        <v>489</v>
      </c>
      <c r="B108" s="109" t="s">
        <v>147</v>
      </c>
      <c r="C108" s="110">
        <v>44211</v>
      </c>
      <c r="D108" s="110">
        <v>44216</v>
      </c>
      <c r="E108" s="58"/>
      <c r="J108" s="108" t="s">
        <v>490</v>
      </c>
      <c r="K108" s="106" t="s">
        <v>376</v>
      </c>
      <c r="L108" s="107">
        <f t="shared" ref="L108:L112" si="16">M107+1</f>
        <v>44257</v>
      </c>
      <c r="M108" s="107">
        <f>L108+5</f>
        <v>44262</v>
      </c>
      <c r="N108" s="58"/>
    </row>
    <row r="109" spans="1:14" ht="18">
      <c r="A109" s="111" t="s">
        <v>490</v>
      </c>
      <c r="B109" s="109" t="s">
        <v>417</v>
      </c>
      <c r="C109" s="110">
        <v>44217</v>
      </c>
      <c r="D109" s="110">
        <v>44222</v>
      </c>
      <c r="E109" s="58"/>
      <c r="J109" s="108" t="s">
        <v>491</v>
      </c>
      <c r="K109" s="106" t="s">
        <v>209</v>
      </c>
      <c r="L109" s="107">
        <f t="shared" si="16"/>
        <v>44263</v>
      </c>
      <c r="M109" s="107">
        <f>L109+3</f>
        <v>44266</v>
      </c>
      <c r="N109" s="58"/>
    </row>
    <row r="110" spans="1:14" ht="18">
      <c r="A110" s="111" t="s">
        <v>497</v>
      </c>
      <c r="B110" s="109" t="s">
        <v>596</v>
      </c>
      <c r="C110" s="110">
        <v>44223</v>
      </c>
      <c r="D110" s="110">
        <v>44236</v>
      </c>
      <c r="E110" s="58"/>
      <c r="J110" s="108" t="s">
        <v>495</v>
      </c>
      <c r="K110" s="106" t="s">
        <v>379</v>
      </c>
      <c r="L110" s="107">
        <f t="shared" si="16"/>
        <v>44267</v>
      </c>
      <c r="M110" s="107">
        <f>L110+18</f>
        <v>44285</v>
      </c>
      <c r="N110" s="58"/>
    </row>
    <row r="111" spans="1:14" ht="18">
      <c r="A111" s="111" t="s">
        <v>497</v>
      </c>
      <c r="B111" s="109" t="s">
        <v>597</v>
      </c>
      <c r="C111" s="110">
        <v>44237</v>
      </c>
      <c r="D111" s="110">
        <v>44251</v>
      </c>
      <c r="E111" s="58"/>
      <c r="J111" s="108" t="s">
        <v>490</v>
      </c>
      <c r="K111" s="106" t="s">
        <v>236</v>
      </c>
      <c r="L111" s="107">
        <f t="shared" si="16"/>
        <v>44286</v>
      </c>
      <c r="M111" s="107">
        <f>L111+5</f>
        <v>44291</v>
      </c>
      <c r="N111" s="58"/>
    </row>
    <row r="112" spans="1:14" ht="18">
      <c r="A112" s="111" t="s">
        <v>497</v>
      </c>
      <c r="B112" s="112" t="s">
        <v>658</v>
      </c>
      <c r="C112" s="110">
        <v>44252</v>
      </c>
      <c r="D112" s="110">
        <v>44275</v>
      </c>
      <c r="E112" s="58"/>
      <c r="J112" s="108" t="s">
        <v>497</v>
      </c>
      <c r="K112" s="106" t="s">
        <v>704</v>
      </c>
      <c r="L112" s="107">
        <f t="shared" si="16"/>
        <v>44292</v>
      </c>
      <c r="M112" s="107">
        <f>L112+7</f>
        <v>44299</v>
      </c>
      <c r="N112" s="58"/>
    </row>
    <row r="113" spans="1:14" ht="25.8">
      <c r="A113" s="111" t="s">
        <v>492</v>
      </c>
      <c r="B113" s="109" t="s">
        <v>595</v>
      </c>
      <c r="C113" s="110">
        <v>44276</v>
      </c>
      <c r="D113" s="110">
        <v>44301</v>
      </c>
      <c r="E113" s="58"/>
      <c r="J113" s="109"/>
      <c r="K113" s="121" t="s">
        <v>661</v>
      </c>
      <c r="L113" s="110">
        <f>MIN(L114:L121)</f>
        <v>44211</v>
      </c>
      <c r="M113" s="110">
        <f>MAX(M114:M121)</f>
        <v>44312</v>
      </c>
      <c r="N113" s="58"/>
    </row>
    <row r="114" spans="1:14" ht="18">
      <c r="A114" s="111" t="s">
        <v>598</v>
      </c>
      <c r="B114" s="112" t="s">
        <v>702</v>
      </c>
      <c r="C114" s="110">
        <v>44302</v>
      </c>
      <c r="D114" s="110">
        <v>44308</v>
      </c>
      <c r="E114" s="58"/>
      <c r="J114" s="111" t="s">
        <v>489</v>
      </c>
      <c r="K114" s="109" t="s">
        <v>147</v>
      </c>
      <c r="L114" s="110">
        <v>44211</v>
      </c>
      <c r="M114" s="110">
        <v>44216</v>
      </c>
      <c r="N114" s="58"/>
    </row>
    <row r="115" spans="1:14" ht="18">
      <c r="A115" s="111" t="s">
        <v>497</v>
      </c>
      <c r="B115" s="112" t="s">
        <v>703</v>
      </c>
      <c r="C115" s="110">
        <f>D114+1</f>
        <v>44309</v>
      </c>
      <c r="D115" s="110">
        <f>C115+3</f>
        <v>44312</v>
      </c>
      <c r="E115" s="58"/>
      <c r="J115" s="111" t="s">
        <v>490</v>
      </c>
      <c r="K115" s="109" t="s">
        <v>417</v>
      </c>
      <c r="L115" s="110">
        <v>44217</v>
      </c>
      <c r="M115" s="110">
        <v>44222</v>
      </c>
      <c r="N115" s="58"/>
    </row>
    <row r="116" spans="1:14" ht="18">
      <c r="A116" s="111" t="s">
        <v>497</v>
      </c>
      <c r="B116" s="112" t="s">
        <v>706</v>
      </c>
      <c r="C116" s="110">
        <f>D115+1</f>
        <v>44313</v>
      </c>
      <c r="D116" s="110">
        <f>C116+5</f>
        <v>44318</v>
      </c>
      <c r="E116" s="58"/>
      <c r="J116" s="111" t="s">
        <v>497</v>
      </c>
      <c r="K116" s="109" t="s">
        <v>596</v>
      </c>
      <c r="L116" s="110">
        <v>44223</v>
      </c>
      <c r="M116" s="110">
        <v>44236</v>
      </c>
      <c r="N116" s="58"/>
    </row>
    <row r="117" spans="1:14" ht="25.8">
      <c r="A117" s="92"/>
      <c r="B117" s="122" t="s">
        <v>662</v>
      </c>
      <c r="C117" s="113">
        <f>MIN(C118:C122)</f>
        <v>44278</v>
      </c>
      <c r="D117" s="113">
        <f>MAX(D118:D122)</f>
        <v>44491</v>
      </c>
      <c r="E117" s="58"/>
      <c r="J117" s="111" t="s">
        <v>497</v>
      </c>
      <c r="K117" s="109" t="s">
        <v>597</v>
      </c>
      <c r="L117" s="110">
        <v>44237</v>
      </c>
      <c r="M117" s="110">
        <v>44251</v>
      </c>
      <c r="N117" s="58"/>
    </row>
    <row r="118" spans="1:14" ht="18">
      <c r="A118" s="92" t="s">
        <v>489</v>
      </c>
      <c r="B118" s="114" t="s">
        <v>147</v>
      </c>
      <c r="C118" s="93">
        <v>44278</v>
      </c>
      <c r="D118" s="93">
        <v>44283</v>
      </c>
      <c r="E118" s="58"/>
      <c r="J118" s="111" t="s">
        <v>497</v>
      </c>
      <c r="K118" s="112" t="s">
        <v>658</v>
      </c>
      <c r="L118" s="110">
        <v>44252</v>
      </c>
      <c r="M118" s="110">
        <v>44275</v>
      </c>
      <c r="N118" s="58"/>
    </row>
    <row r="119" spans="1:14" ht="18">
      <c r="A119" s="92" t="s">
        <v>488</v>
      </c>
      <c r="B119" s="114" t="s">
        <v>600</v>
      </c>
      <c r="C119" s="93">
        <v>44284</v>
      </c>
      <c r="D119" s="93">
        <v>44290</v>
      </c>
      <c r="E119" s="58"/>
      <c r="J119" s="111" t="s">
        <v>492</v>
      </c>
      <c r="K119" s="109" t="s">
        <v>595</v>
      </c>
      <c r="L119" s="110">
        <v>44276</v>
      </c>
      <c r="M119" s="110">
        <v>44301</v>
      </c>
      <c r="N119" s="58"/>
    </row>
    <row r="120" spans="1:14" ht="18">
      <c r="A120" s="92" t="s">
        <v>498</v>
      </c>
      <c r="B120" s="114" t="s">
        <v>603</v>
      </c>
      <c r="C120" s="93">
        <v>44291</v>
      </c>
      <c r="D120" s="93">
        <v>44357</v>
      </c>
      <c r="E120" s="58"/>
      <c r="J120" s="111" t="s">
        <v>598</v>
      </c>
      <c r="K120" s="112" t="s">
        <v>702</v>
      </c>
      <c r="L120" s="110">
        <v>44302</v>
      </c>
      <c r="M120" s="110">
        <v>44308</v>
      </c>
      <c r="N120" s="58"/>
    </row>
    <row r="121" spans="1:14" ht="18">
      <c r="A121" s="92" t="s">
        <v>498</v>
      </c>
      <c r="B121" s="114" t="s">
        <v>602</v>
      </c>
      <c r="C121" s="93">
        <v>44358</v>
      </c>
      <c r="D121" s="93">
        <v>44424</v>
      </c>
      <c r="E121" s="58"/>
      <c r="J121" s="111" t="s">
        <v>497</v>
      </c>
      <c r="K121" s="112" t="s">
        <v>703</v>
      </c>
      <c r="L121" s="110">
        <f>M120+1</f>
        <v>44309</v>
      </c>
      <c r="M121" s="110">
        <f>L121+3</f>
        <v>44312</v>
      </c>
      <c r="N121" s="58"/>
    </row>
    <row r="122" spans="1:14" ht="18">
      <c r="A122" s="92" t="s">
        <v>498</v>
      </c>
      <c r="B122" s="114" t="s">
        <v>601</v>
      </c>
      <c r="C122" s="93">
        <v>44425</v>
      </c>
      <c r="D122" s="93">
        <v>44491</v>
      </c>
      <c r="E122" s="58"/>
      <c r="J122" s="111" t="s">
        <v>497</v>
      </c>
      <c r="K122" s="112" t="s">
        <v>706</v>
      </c>
      <c r="L122" s="110">
        <f>M121+1</f>
        <v>44313</v>
      </c>
      <c r="M122" s="110">
        <f>L122+5</f>
        <v>44318</v>
      </c>
      <c r="N122" s="58"/>
    </row>
    <row r="123" spans="1:14" ht="25.8">
      <c r="J123" s="92"/>
      <c r="K123" s="122" t="s">
        <v>662</v>
      </c>
      <c r="L123" s="113">
        <f>MIN(L124:L128)</f>
        <v>44278</v>
      </c>
      <c r="M123" s="113">
        <f>MAX(M124:M128)</f>
        <v>44491</v>
      </c>
      <c r="N123" s="58"/>
    </row>
    <row r="124" spans="1:14" ht="18">
      <c r="J124" s="92" t="s">
        <v>489</v>
      </c>
      <c r="K124" s="114" t="s">
        <v>147</v>
      </c>
      <c r="L124" s="93">
        <v>44278</v>
      </c>
      <c r="M124" s="93">
        <v>44283</v>
      </c>
      <c r="N124" s="58"/>
    </row>
    <row r="125" spans="1:14" ht="18">
      <c r="J125" s="92" t="s">
        <v>488</v>
      </c>
      <c r="K125" s="114" t="s">
        <v>600</v>
      </c>
      <c r="L125" s="93">
        <v>44284</v>
      </c>
      <c r="M125" s="93">
        <v>44290</v>
      </c>
      <c r="N125" s="58"/>
    </row>
    <row r="126" spans="1:14" ht="18">
      <c r="J126" s="92" t="s">
        <v>498</v>
      </c>
      <c r="K126" s="114" t="s">
        <v>603</v>
      </c>
      <c r="L126" s="93">
        <v>44291</v>
      </c>
      <c r="M126" s="93">
        <v>44357</v>
      </c>
      <c r="N126" s="58"/>
    </row>
    <row r="127" spans="1:14" ht="18">
      <c r="J127" s="92" t="s">
        <v>498</v>
      </c>
      <c r="K127" s="114" t="s">
        <v>602</v>
      </c>
      <c r="L127" s="93">
        <v>44358</v>
      </c>
      <c r="M127" s="93">
        <v>44424</v>
      </c>
      <c r="N127" s="58"/>
    </row>
    <row r="128" spans="1:14" ht="18">
      <c r="J128" s="92" t="s">
        <v>498</v>
      </c>
      <c r="K128" s="114" t="s">
        <v>601</v>
      </c>
      <c r="L128" s="93">
        <v>44425</v>
      </c>
      <c r="M128" s="93">
        <v>44491</v>
      </c>
      <c r="N128" s="58"/>
    </row>
  </sheetData>
  <pageMargins left="0.7" right="0.7" top="0.75" bottom="0.75" header="0.3" footer="0.3"/>
  <pageSetup orientation="portrait" r:id="rId1"/>
  <headerFooter>
    <oddFooter>&amp;L&amp;1#&amp;"Calibri"&amp;10&amp;K737373Caterpillar: Confidential Green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47DB-E821-4CFC-9D34-A9C65DE72A2E}">
  <dimension ref="A1:ANS11"/>
  <sheetViews>
    <sheetView showWhiteSpace="0" view="pageLayout" topLeftCell="B7" zoomScale="50" zoomScaleNormal="70" zoomScalePageLayoutView="50" workbookViewId="0">
      <selection activeCell="RH7" sqref="RH7"/>
    </sheetView>
  </sheetViews>
  <sheetFormatPr defaultColWidth="20.44140625" defaultRowHeight="14.4"/>
  <cols>
    <col min="1" max="2" width="51.33203125" bestFit="1" customWidth="1"/>
    <col min="3" max="3" width="8.109375" bestFit="1" customWidth="1"/>
    <col min="7" max="7" width="15.88671875" customWidth="1"/>
    <col min="8" max="143" width="4.6640625" customWidth="1"/>
    <col min="144" max="144" width="10.88671875" customWidth="1"/>
    <col min="145" max="160" width="4.6640625" customWidth="1"/>
    <col min="161" max="161" width="9.33203125" customWidth="1"/>
    <col min="162" max="166" width="4.6640625" customWidth="1"/>
    <col min="167" max="167" width="8.33203125" customWidth="1"/>
    <col min="168" max="199" width="4.6640625" customWidth="1"/>
    <col min="200" max="200" width="11.44140625" customWidth="1"/>
    <col min="201" max="327" width="4.6640625" customWidth="1"/>
    <col min="328" max="328" width="8.109375" customWidth="1"/>
    <col min="329" max="373" width="4.6640625" customWidth="1"/>
    <col min="374" max="374" width="11.33203125" customWidth="1"/>
    <col min="375" max="387" width="4.6640625" customWidth="1"/>
    <col min="388" max="388" width="10" customWidth="1"/>
    <col min="389" max="465" width="4.6640625" customWidth="1"/>
    <col min="466" max="466" width="14.44140625" customWidth="1"/>
    <col min="467" max="475" width="4.6640625" customWidth="1"/>
    <col min="476" max="476" width="13.109375" customWidth="1"/>
    <col min="477" max="495" width="4.6640625" customWidth="1"/>
    <col min="496" max="496" width="20.33203125" customWidth="1"/>
    <col min="497" max="526" width="4.6640625" customWidth="1"/>
    <col min="527" max="527" width="13" customWidth="1"/>
    <col min="528" max="557" width="4.6640625" customWidth="1"/>
    <col min="558" max="558" width="13.109375" customWidth="1"/>
    <col min="559" max="601" width="4.6640625" customWidth="1"/>
    <col min="602" max="602" width="9.44140625" customWidth="1"/>
    <col min="603" max="618" width="4.6640625" customWidth="1"/>
    <col min="619" max="619" width="13.109375" customWidth="1"/>
    <col min="620" max="891" width="4.6640625" customWidth="1"/>
    <col min="892" max="892" width="8.5546875" customWidth="1"/>
    <col min="893" max="1058" width="4.6640625" customWidth="1"/>
    <col min="1059" max="1059" width="14.33203125" customWidth="1"/>
  </cols>
  <sheetData>
    <row r="1" spans="1:1059" s="75" customFormat="1" ht="33" customHeight="1" thickTop="1" thickBot="1">
      <c r="A1" s="59" t="s">
        <v>610</v>
      </c>
      <c r="B1" s="59" t="s">
        <v>611</v>
      </c>
      <c r="C1" s="663">
        <v>43520</v>
      </c>
      <c r="D1" s="662"/>
      <c r="E1" s="662"/>
      <c r="F1" s="662"/>
      <c r="G1" s="662"/>
      <c r="H1" s="662"/>
      <c r="I1" s="662"/>
      <c r="J1" s="662">
        <v>43527</v>
      </c>
      <c r="K1" s="662"/>
      <c r="L1" s="662"/>
      <c r="M1" s="662"/>
      <c r="N1" s="662"/>
      <c r="O1" s="662"/>
      <c r="P1" s="662"/>
      <c r="Q1" s="662">
        <v>43534</v>
      </c>
      <c r="R1" s="662"/>
      <c r="S1" s="662"/>
      <c r="T1" s="662"/>
      <c r="U1" s="662"/>
      <c r="V1" s="662"/>
      <c r="W1" s="662"/>
      <c r="X1" s="662">
        <v>43541</v>
      </c>
      <c r="Y1" s="662"/>
      <c r="Z1" s="662"/>
      <c r="AA1" s="662"/>
      <c r="AB1" s="662"/>
      <c r="AC1" s="662"/>
      <c r="AD1" s="662"/>
      <c r="AE1" s="662">
        <v>43548</v>
      </c>
      <c r="AF1" s="662"/>
      <c r="AG1" s="662"/>
      <c r="AH1" s="662"/>
      <c r="AI1" s="662"/>
      <c r="AJ1" s="662"/>
      <c r="AK1" s="662"/>
      <c r="AL1" s="662">
        <v>43555</v>
      </c>
      <c r="AM1" s="662"/>
      <c r="AN1" s="662"/>
      <c r="AO1" s="662"/>
      <c r="AP1" s="662"/>
      <c r="AQ1" s="662"/>
      <c r="AR1" s="662"/>
      <c r="AS1" s="662">
        <v>43562</v>
      </c>
      <c r="AT1" s="662"/>
      <c r="AU1" s="662"/>
      <c r="AV1" s="662"/>
      <c r="AW1" s="662"/>
      <c r="AX1" s="662"/>
      <c r="AY1" s="662"/>
      <c r="AZ1" s="662">
        <v>43569</v>
      </c>
      <c r="BA1" s="662"/>
      <c r="BB1" s="662"/>
      <c r="BC1" s="662"/>
      <c r="BD1" s="662"/>
      <c r="BE1" s="662"/>
      <c r="BF1" s="662"/>
      <c r="BG1" s="662">
        <v>43576</v>
      </c>
      <c r="BH1" s="662"/>
      <c r="BI1" s="662"/>
      <c r="BJ1" s="662"/>
      <c r="BK1" s="662"/>
      <c r="BL1" s="662"/>
      <c r="BM1" s="662"/>
      <c r="BN1" s="662">
        <v>43583</v>
      </c>
      <c r="BO1" s="662"/>
      <c r="BP1" s="662"/>
      <c r="BQ1" s="662"/>
      <c r="BR1" s="662"/>
      <c r="BS1" s="662"/>
      <c r="BT1" s="662"/>
      <c r="BU1" s="662">
        <v>43590</v>
      </c>
      <c r="BV1" s="662"/>
      <c r="BW1" s="662"/>
      <c r="BX1" s="662"/>
      <c r="BY1" s="662"/>
      <c r="BZ1" s="662"/>
      <c r="CA1" s="662"/>
      <c r="CB1" s="662">
        <v>43597</v>
      </c>
      <c r="CC1" s="662"/>
      <c r="CD1" s="662"/>
      <c r="CE1" s="662"/>
      <c r="CF1" s="662"/>
      <c r="CG1" s="662"/>
      <c r="CH1" s="662"/>
      <c r="CI1" s="662">
        <v>43604</v>
      </c>
      <c r="CJ1" s="662"/>
      <c r="CK1" s="662"/>
      <c r="CL1" s="662"/>
      <c r="CM1" s="662"/>
      <c r="CN1" s="662"/>
      <c r="CO1" s="662"/>
      <c r="CP1" s="662">
        <v>43611</v>
      </c>
      <c r="CQ1" s="662"/>
      <c r="CR1" s="662"/>
      <c r="CS1" s="662"/>
      <c r="CT1" s="662"/>
      <c r="CU1" s="662"/>
      <c r="CV1" s="662"/>
      <c r="CW1" s="662">
        <v>43618</v>
      </c>
      <c r="CX1" s="662"/>
      <c r="CY1" s="662"/>
      <c r="CZ1" s="662"/>
      <c r="DA1" s="662"/>
      <c r="DB1" s="662"/>
      <c r="DC1" s="662"/>
      <c r="DD1" s="662">
        <v>43625</v>
      </c>
      <c r="DE1" s="662"/>
      <c r="DF1" s="662"/>
      <c r="DG1" s="662"/>
      <c r="DH1" s="662"/>
      <c r="DI1" s="662"/>
      <c r="DJ1" s="662"/>
      <c r="DK1" s="662">
        <v>43632</v>
      </c>
      <c r="DL1" s="662"/>
      <c r="DM1" s="662"/>
      <c r="DN1" s="662"/>
      <c r="DO1" s="662"/>
      <c r="DP1" s="662"/>
      <c r="DQ1" s="662"/>
      <c r="DR1" s="662">
        <v>43639</v>
      </c>
      <c r="DS1" s="662"/>
      <c r="DT1" s="662"/>
      <c r="DU1" s="662"/>
      <c r="DV1" s="662"/>
      <c r="DW1" s="662"/>
      <c r="DX1" s="662"/>
      <c r="DY1" s="662">
        <v>43646</v>
      </c>
      <c r="DZ1" s="662"/>
      <c r="EA1" s="662"/>
      <c r="EB1" s="662"/>
      <c r="EC1" s="662"/>
      <c r="ED1" s="662"/>
      <c r="EE1" s="662"/>
      <c r="EF1" s="662">
        <v>43653</v>
      </c>
      <c r="EG1" s="662"/>
      <c r="EH1" s="662"/>
      <c r="EI1" s="662"/>
      <c r="EJ1" s="662"/>
      <c r="EK1" s="662"/>
      <c r="EL1" s="662"/>
      <c r="EM1" s="662">
        <v>43660</v>
      </c>
      <c r="EN1" s="662"/>
      <c r="EO1" s="662"/>
      <c r="EP1" s="662"/>
      <c r="EQ1" s="662"/>
      <c r="ER1" s="662"/>
      <c r="ES1" s="662"/>
      <c r="ET1" s="662">
        <v>43667</v>
      </c>
      <c r="EU1" s="662"/>
      <c r="EV1" s="662"/>
      <c r="EW1" s="662"/>
      <c r="EX1" s="662"/>
      <c r="EY1" s="662"/>
      <c r="EZ1" s="662"/>
      <c r="FA1" s="662">
        <v>43674</v>
      </c>
      <c r="FB1" s="662"/>
      <c r="FC1" s="662"/>
      <c r="FD1" s="662"/>
      <c r="FE1" s="662"/>
      <c r="FF1" s="662"/>
      <c r="FG1" s="662"/>
      <c r="FH1" s="662">
        <v>43681</v>
      </c>
      <c r="FI1" s="662"/>
      <c r="FJ1" s="662"/>
      <c r="FK1" s="662"/>
      <c r="FL1" s="662"/>
      <c r="FM1" s="662"/>
      <c r="FN1" s="662"/>
      <c r="FO1" s="662">
        <v>43688</v>
      </c>
      <c r="FP1" s="662"/>
      <c r="FQ1" s="662"/>
      <c r="FR1" s="662"/>
      <c r="FS1" s="662"/>
      <c r="FT1" s="662"/>
      <c r="FU1" s="662"/>
      <c r="FV1" s="662">
        <v>43695</v>
      </c>
      <c r="FW1" s="662"/>
      <c r="FX1" s="662"/>
      <c r="FY1" s="662"/>
      <c r="FZ1" s="662"/>
      <c r="GA1" s="662"/>
      <c r="GB1" s="662"/>
      <c r="GC1" s="662">
        <v>43702</v>
      </c>
      <c r="GD1" s="662"/>
      <c r="GE1" s="662"/>
      <c r="GF1" s="662"/>
      <c r="GG1" s="662"/>
      <c r="GH1" s="662"/>
      <c r="GI1" s="662"/>
      <c r="GJ1" s="662">
        <v>43709</v>
      </c>
      <c r="GK1" s="662"/>
      <c r="GL1" s="662"/>
      <c r="GM1" s="662"/>
      <c r="GN1" s="662"/>
      <c r="GO1" s="662"/>
      <c r="GP1" s="662"/>
      <c r="GQ1" s="662">
        <v>43716</v>
      </c>
      <c r="GR1" s="662"/>
      <c r="GS1" s="662"/>
      <c r="GT1" s="662"/>
      <c r="GU1" s="662"/>
      <c r="GV1" s="662"/>
      <c r="GW1" s="662"/>
      <c r="GX1" s="662">
        <v>43723</v>
      </c>
      <c r="GY1" s="662"/>
      <c r="GZ1" s="662"/>
      <c r="HA1" s="662"/>
      <c r="HB1" s="662"/>
      <c r="HC1" s="662"/>
      <c r="HD1" s="662"/>
      <c r="HE1" s="662">
        <v>43730</v>
      </c>
      <c r="HF1" s="662"/>
      <c r="HG1" s="662"/>
      <c r="HH1" s="662"/>
      <c r="HI1" s="662"/>
      <c r="HJ1" s="662"/>
      <c r="HK1" s="662"/>
      <c r="HL1" s="662">
        <v>43737</v>
      </c>
      <c r="HM1" s="662"/>
      <c r="HN1" s="662"/>
      <c r="HO1" s="662"/>
      <c r="HP1" s="662"/>
      <c r="HQ1" s="662"/>
      <c r="HR1" s="662"/>
      <c r="HS1" s="662">
        <v>43744</v>
      </c>
      <c r="HT1" s="662"/>
      <c r="HU1" s="662"/>
      <c r="HV1" s="662"/>
      <c r="HW1" s="662"/>
      <c r="HX1" s="662"/>
      <c r="HY1" s="662"/>
      <c r="HZ1" s="662">
        <v>43751</v>
      </c>
      <c r="IA1" s="662"/>
      <c r="IB1" s="662"/>
      <c r="IC1" s="662"/>
      <c r="ID1" s="662"/>
      <c r="IE1" s="662"/>
      <c r="IF1" s="662"/>
      <c r="IG1" s="662">
        <v>43758</v>
      </c>
      <c r="IH1" s="662"/>
      <c r="II1" s="662"/>
      <c r="IJ1" s="662"/>
      <c r="IK1" s="662"/>
      <c r="IL1" s="662"/>
      <c r="IM1" s="662"/>
      <c r="IN1" s="662">
        <v>43765</v>
      </c>
      <c r="IO1" s="662"/>
      <c r="IP1" s="662"/>
      <c r="IQ1" s="662"/>
      <c r="IR1" s="662"/>
      <c r="IS1" s="662"/>
      <c r="IT1" s="662"/>
      <c r="IU1" s="662">
        <v>43772</v>
      </c>
      <c r="IV1" s="662"/>
      <c r="IW1" s="662"/>
      <c r="IX1" s="662"/>
      <c r="IY1" s="662"/>
      <c r="IZ1" s="662"/>
      <c r="JA1" s="662"/>
      <c r="JB1" s="662">
        <v>43779</v>
      </c>
      <c r="JC1" s="662"/>
      <c r="JD1" s="662"/>
      <c r="JE1" s="662"/>
      <c r="JF1" s="662"/>
      <c r="JG1" s="662"/>
      <c r="JH1" s="662"/>
      <c r="JI1" s="662">
        <v>43786</v>
      </c>
      <c r="JJ1" s="662"/>
      <c r="JK1" s="662"/>
      <c r="JL1" s="662"/>
      <c r="JM1" s="662"/>
      <c r="JN1" s="662"/>
      <c r="JO1" s="662"/>
      <c r="JP1" s="662">
        <v>43793</v>
      </c>
      <c r="JQ1" s="662"/>
      <c r="JR1" s="662"/>
      <c r="JS1" s="662"/>
      <c r="JT1" s="662"/>
      <c r="JU1" s="662"/>
      <c r="JV1" s="662"/>
      <c r="JW1" s="662">
        <v>43800</v>
      </c>
      <c r="JX1" s="662"/>
      <c r="JY1" s="662"/>
      <c r="JZ1" s="662"/>
      <c r="KA1" s="662"/>
      <c r="KB1" s="662"/>
      <c r="KC1" s="662"/>
      <c r="KD1" s="662">
        <v>43807</v>
      </c>
      <c r="KE1" s="662"/>
      <c r="KF1" s="662"/>
      <c r="KG1" s="662"/>
      <c r="KH1" s="662"/>
      <c r="KI1" s="662"/>
      <c r="KJ1" s="662"/>
      <c r="KK1" s="662">
        <v>43814</v>
      </c>
      <c r="KL1" s="662"/>
      <c r="KM1" s="662"/>
      <c r="KN1" s="662"/>
      <c r="KO1" s="662"/>
      <c r="KP1" s="662"/>
      <c r="KQ1" s="662"/>
      <c r="KR1" s="662">
        <v>43821</v>
      </c>
      <c r="KS1" s="662"/>
      <c r="KT1" s="662"/>
      <c r="KU1" s="662"/>
      <c r="KV1" s="662"/>
      <c r="KW1" s="662"/>
      <c r="KX1" s="662"/>
      <c r="KY1" s="662">
        <v>43828</v>
      </c>
      <c r="KZ1" s="662"/>
      <c r="LA1" s="662"/>
      <c r="LB1" s="662"/>
      <c r="LC1" s="662"/>
      <c r="LD1" s="662"/>
      <c r="LE1" s="662"/>
      <c r="LF1" s="662">
        <v>43835</v>
      </c>
      <c r="LG1" s="662"/>
      <c r="LH1" s="662"/>
      <c r="LI1" s="662"/>
      <c r="LJ1" s="662"/>
      <c r="LK1" s="662"/>
      <c r="LL1" s="662"/>
      <c r="LM1" s="662">
        <v>43842</v>
      </c>
      <c r="LN1" s="662"/>
      <c r="LO1" s="662"/>
      <c r="LP1" s="662"/>
      <c r="LQ1" s="662"/>
      <c r="LR1" s="662"/>
      <c r="LS1" s="662"/>
      <c r="LT1" s="662">
        <v>43849</v>
      </c>
      <c r="LU1" s="662"/>
      <c r="LV1" s="662"/>
      <c r="LW1" s="662"/>
      <c r="LX1" s="662"/>
      <c r="LY1" s="662"/>
      <c r="LZ1" s="662"/>
      <c r="MA1" s="662">
        <v>43856</v>
      </c>
      <c r="MB1" s="662"/>
      <c r="MC1" s="662"/>
      <c r="MD1" s="662"/>
      <c r="ME1" s="662"/>
      <c r="MF1" s="662"/>
      <c r="MG1" s="662"/>
      <c r="MH1" s="662">
        <v>43863</v>
      </c>
      <c r="MI1" s="662"/>
      <c r="MJ1" s="662"/>
      <c r="MK1" s="662"/>
      <c r="ML1" s="662"/>
      <c r="MM1" s="662"/>
      <c r="MN1" s="662"/>
      <c r="MO1" s="662">
        <v>43870</v>
      </c>
      <c r="MP1" s="662"/>
      <c r="MQ1" s="662"/>
      <c r="MR1" s="662"/>
      <c r="MS1" s="662"/>
      <c r="MT1" s="662"/>
      <c r="MU1" s="662"/>
      <c r="MV1" s="662">
        <v>43877</v>
      </c>
      <c r="MW1" s="662"/>
      <c r="MX1" s="662"/>
      <c r="MY1" s="662"/>
      <c r="MZ1" s="662"/>
      <c r="NA1" s="662"/>
      <c r="NB1" s="662"/>
      <c r="NC1" s="662">
        <v>43884</v>
      </c>
      <c r="ND1" s="662"/>
      <c r="NE1" s="662"/>
      <c r="NF1" s="662"/>
      <c r="NG1" s="662"/>
      <c r="NH1" s="662"/>
      <c r="NI1" s="662"/>
      <c r="NJ1" s="662">
        <v>43891</v>
      </c>
      <c r="NK1" s="662"/>
      <c r="NL1" s="662"/>
      <c r="NM1" s="662"/>
      <c r="NN1" s="662"/>
      <c r="NO1" s="662"/>
      <c r="NP1" s="662"/>
      <c r="NQ1" s="662">
        <v>43898</v>
      </c>
      <c r="NR1" s="662"/>
      <c r="NS1" s="662"/>
      <c r="NT1" s="662"/>
      <c r="NU1" s="662"/>
      <c r="NV1" s="662"/>
      <c r="NW1" s="662"/>
      <c r="NX1" s="662">
        <v>43905</v>
      </c>
      <c r="NY1" s="662"/>
      <c r="NZ1" s="662"/>
      <c r="OA1" s="662"/>
      <c r="OB1" s="662"/>
      <c r="OC1" s="662"/>
      <c r="OD1" s="662"/>
      <c r="OE1" s="662">
        <v>43912</v>
      </c>
      <c r="OF1" s="662"/>
      <c r="OG1" s="662"/>
      <c r="OH1" s="662"/>
      <c r="OI1" s="662"/>
      <c r="OJ1" s="662"/>
      <c r="OK1" s="662"/>
      <c r="OL1" s="662">
        <v>43919</v>
      </c>
      <c r="OM1" s="662"/>
      <c r="ON1" s="662"/>
      <c r="OO1" s="662"/>
      <c r="OP1" s="662"/>
      <c r="OQ1" s="662"/>
      <c r="OR1" s="662"/>
      <c r="OS1" s="662">
        <v>43926</v>
      </c>
      <c r="OT1" s="662"/>
      <c r="OU1" s="662"/>
      <c r="OV1" s="662"/>
      <c r="OW1" s="662"/>
      <c r="OX1" s="662"/>
      <c r="OY1" s="662"/>
      <c r="OZ1" s="662">
        <v>43933</v>
      </c>
      <c r="PA1" s="662"/>
      <c r="PB1" s="662"/>
      <c r="PC1" s="662"/>
      <c r="PD1" s="662"/>
      <c r="PE1" s="662"/>
      <c r="PF1" s="662"/>
      <c r="PG1" s="662">
        <v>43940</v>
      </c>
      <c r="PH1" s="662"/>
      <c r="PI1" s="662"/>
      <c r="PJ1" s="662"/>
      <c r="PK1" s="662"/>
      <c r="PL1" s="662"/>
      <c r="PM1" s="662"/>
      <c r="PN1" s="662">
        <v>43947</v>
      </c>
      <c r="PO1" s="662"/>
      <c r="PP1" s="662"/>
      <c r="PQ1" s="662"/>
      <c r="PR1" s="662"/>
      <c r="PS1" s="662"/>
      <c r="PT1" s="662"/>
      <c r="PU1" s="662">
        <v>43954</v>
      </c>
      <c r="PV1" s="662"/>
      <c r="PW1" s="662"/>
      <c r="PX1" s="662"/>
      <c r="PY1" s="662"/>
      <c r="PZ1" s="662"/>
      <c r="QA1" s="662"/>
      <c r="QB1" s="662">
        <v>43961</v>
      </c>
      <c r="QC1" s="662"/>
      <c r="QD1" s="662"/>
      <c r="QE1" s="662"/>
      <c r="QF1" s="662"/>
      <c r="QG1" s="662"/>
      <c r="QH1" s="662"/>
      <c r="QI1" s="662">
        <v>43968</v>
      </c>
      <c r="QJ1" s="662"/>
      <c r="QK1" s="662"/>
      <c r="QL1" s="662"/>
      <c r="QM1" s="662"/>
      <c r="QN1" s="662"/>
      <c r="QO1" s="662"/>
      <c r="QP1" s="662">
        <v>43975</v>
      </c>
      <c r="QQ1" s="662"/>
      <c r="QR1" s="662"/>
      <c r="QS1" s="662"/>
      <c r="QT1" s="662"/>
      <c r="QU1" s="662"/>
      <c r="QV1" s="662"/>
      <c r="QW1" s="662">
        <v>43982</v>
      </c>
      <c r="QX1" s="662"/>
      <c r="QY1" s="662"/>
      <c r="QZ1" s="662"/>
      <c r="RA1" s="662"/>
      <c r="RB1" s="662"/>
      <c r="RC1" s="662"/>
      <c r="RD1" s="662">
        <v>43989</v>
      </c>
      <c r="RE1" s="662"/>
      <c r="RF1" s="662"/>
      <c r="RG1" s="662"/>
      <c r="RH1" s="662"/>
      <c r="RI1" s="662"/>
      <c r="RJ1" s="662"/>
      <c r="RK1" s="662">
        <v>43996</v>
      </c>
      <c r="RL1" s="662"/>
      <c r="RM1" s="662"/>
      <c r="RN1" s="662"/>
      <c r="RO1" s="662"/>
      <c r="RP1" s="662"/>
      <c r="RQ1" s="662"/>
      <c r="RR1" s="662">
        <v>44003</v>
      </c>
      <c r="RS1" s="662"/>
      <c r="RT1" s="662"/>
      <c r="RU1" s="662"/>
      <c r="RV1" s="662"/>
      <c r="RW1" s="662"/>
      <c r="RX1" s="662"/>
      <c r="RY1" s="662">
        <v>44010</v>
      </c>
      <c r="RZ1" s="662"/>
      <c r="SA1" s="662"/>
      <c r="SB1" s="662"/>
      <c r="SC1" s="662"/>
      <c r="SD1" s="662"/>
      <c r="SE1" s="662"/>
      <c r="SF1" s="662">
        <v>44017</v>
      </c>
      <c r="SG1" s="662"/>
      <c r="SH1" s="662"/>
      <c r="SI1" s="662"/>
      <c r="SJ1" s="662"/>
      <c r="SK1" s="662"/>
      <c r="SL1" s="662"/>
      <c r="SM1" s="662">
        <v>44024</v>
      </c>
      <c r="SN1" s="662"/>
      <c r="SO1" s="662"/>
      <c r="SP1" s="662"/>
      <c r="SQ1" s="662"/>
      <c r="SR1" s="662"/>
      <c r="SS1" s="662"/>
      <c r="ST1" s="662">
        <v>44031</v>
      </c>
      <c r="SU1" s="662"/>
      <c r="SV1" s="662"/>
      <c r="SW1" s="662"/>
      <c r="SX1" s="662"/>
      <c r="SY1" s="662"/>
      <c r="SZ1" s="662"/>
      <c r="TA1" s="662">
        <v>44038</v>
      </c>
      <c r="TB1" s="662"/>
      <c r="TC1" s="662"/>
      <c r="TD1" s="662"/>
      <c r="TE1" s="662"/>
      <c r="TF1" s="662"/>
      <c r="TG1" s="662"/>
      <c r="TH1" s="662">
        <v>44045</v>
      </c>
      <c r="TI1" s="662"/>
      <c r="TJ1" s="662"/>
      <c r="TK1" s="662"/>
      <c r="TL1" s="662"/>
      <c r="TM1" s="662"/>
      <c r="TN1" s="662"/>
      <c r="TO1" s="662">
        <v>44052</v>
      </c>
      <c r="TP1" s="662"/>
      <c r="TQ1" s="662"/>
      <c r="TR1" s="662"/>
      <c r="TS1" s="662"/>
      <c r="TT1" s="662"/>
      <c r="TU1" s="662"/>
      <c r="TV1" s="662">
        <v>44059</v>
      </c>
      <c r="TW1" s="662"/>
      <c r="TX1" s="662"/>
      <c r="TY1" s="662"/>
      <c r="TZ1" s="662"/>
      <c r="UA1" s="662"/>
      <c r="UB1" s="662"/>
      <c r="UC1" s="662">
        <v>44066</v>
      </c>
      <c r="UD1" s="662"/>
      <c r="UE1" s="662"/>
      <c r="UF1" s="662"/>
      <c r="UG1" s="662"/>
      <c r="UH1" s="662"/>
      <c r="UI1" s="662"/>
      <c r="UJ1" s="662">
        <v>44073</v>
      </c>
      <c r="UK1" s="662"/>
      <c r="UL1" s="662"/>
      <c r="UM1" s="662"/>
      <c r="UN1" s="662"/>
      <c r="UO1" s="662"/>
      <c r="UP1" s="662"/>
      <c r="UQ1" s="662">
        <v>44080</v>
      </c>
      <c r="UR1" s="662"/>
      <c r="US1" s="662"/>
      <c r="UT1" s="662"/>
      <c r="UU1" s="662"/>
      <c r="UV1" s="662"/>
      <c r="UW1" s="662"/>
      <c r="UX1" s="662">
        <v>44087</v>
      </c>
      <c r="UY1" s="662"/>
      <c r="UZ1" s="662"/>
      <c r="VA1" s="662"/>
      <c r="VB1" s="662"/>
      <c r="VC1" s="662"/>
      <c r="VD1" s="662"/>
      <c r="VE1" s="662">
        <v>44094</v>
      </c>
      <c r="VF1" s="662"/>
      <c r="VG1" s="662"/>
      <c r="VH1" s="662"/>
      <c r="VI1" s="662"/>
      <c r="VJ1" s="662"/>
      <c r="VK1" s="662"/>
      <c r="VL1" s="662">
        <v>44101</v>
      </c>
      <c r="VM1" s="662"/>
      <c r="VN1" s="662"/>
      <c r="VO1" s="662"/>
      <c r="VP1" s="662"/>
      <c r="VQ1" s="662"/>
      <c r="VR1" s="662"/>
      <c r="VS1" s="662">
        <v>44108</v>
      </c>
      <c r="VT1" s="662"/>
      <c r="VU1" s="662"/>
      <c r="VV1" s="662"/>
      <c r="VW1" s="662"/>
      <c r="VX1" s="662"/>
      <c r="VY1" s="662"/>
      <c r="VZ1" s="662">
        <v>44115</v>
      </c>
      <c r="WA1" s="662"/>
      <c r="WB1" s="662"/>
      <c r="WC1" s="662"/>
      <c r="WD1" s="662"/>
      <c r="WE1" s="662"/>
      <c r="WF1" s="662"/>
      <c r="WG1" s="662">
        <v>44122</v>
      </c>
      <c r="WH1" s="662"/>
      <c r="WI1" s="662"/>
      <c r="WJ1" s="662"/>
      <c r="WK1" s="662"/>
      <c r="WL1" s="662"/>
      <c r="WM1" s="662"/>
      <c r="WN1" s="662">
        <v>44129</v>
      </c>
      <c r="WO1" s="662"/>
      <c r="WP1" s="662"/>
      <c r="WQ1" s="662"/>
      <c r="WR1" s="662"/>
      <c r="WS1" s="662"/>
      <c r="WT1" s="662"/>
      <c r="WU1" s="662">
        <v>44136</v>
      </c>
      <c r="WV1" s="662"/>
      <c r="WW1" s="662"/>
      <c r="WX1" s="662"/>
      <c r="WY1" s="662"/>
      <c r="WZ1" s="662"/>
      <c r="XA1" s="662"/>
      <c r="XB1" s="662">
        <v>44143</v>
      </c>
      <c r="XC1" s="662"/>
      <c r="XD1" s="662"/>
      <c r="XE1" s="662"/>
      <c r="XF1" s="662"/>
      <c r="XG1" s="662"/>
      <c r="XH1" s="662"/>
      <c r="XI1" s="662">
        <v>44150</v>
      </c>
      <c r="XJ1" s="662"/>
      <c r="XK1" s="662"/>
      <c r="XL1" s="662"/>
      <c r="XM1" s="662"/>
      <c r="XN1" s="662"/>
      <c r="XO1" s="662"/>
      <c r="XP1" s="662">
        <v>44157</v>
      </c>
      <c r="XQ1" s="662"/>
      <c r="XR1" s="662"/>
      <c r="XS1" s="662"/>
      <c r="XT1" s="662"/>
      <c r="XU1" s="662"/>
      <c r="XV1" s="662"/>
      <c r="XW1" s="662">
        <v>44164</v>
      </c>
      <c r="XX1" s="662"/>
      <c r="XY1" s="662"/>
      <c r="XZ1" s="662"/>
      <c r="YA1" s="662"/>
      <c r="YB1" s="662"/>
      <c r="YC1" s="662"/>
      <c r="YD1" s="662">
        <v>44171</v>
      </c>
      <c r="YE1" s="662"/>
      <c r="YF1" s="662"/>
      <c r="YG1" s="662"/>
      <c r="YH1" s="662"/>
      <c r="YI1" s="662"/>
      <c r="YJ1" s="662"/>
      <c r="YK1" s="662">
        <v>44178</v>
      </c>
      <c r="YL1" s="662"/>
      <c r="YM1" s="662"/>
      <c r="YN1" s="662"/>
      <c r="YO1" s="662"/>
      <c r="YP1" s="662"/>
      <c r="YQ1" s="662"/>
      <c r="YR1" s="662">
        <v>44185</v>
      </c>
      <c r="YS1" s="662"/>
      <c r="YT1" s="662"/>
      <c r="YU1" s="662"/>
      <c r="YV1" s="662"/>
      <c r="YW1" s="662"/>
      <c r="YX1" s="662"/>
      <c r="YY1" s="662">
        <v>44192</v>
      </c>
      <c r="YZ1" s="662"/>
      <c r="ZA1" s="662"/>
      <c r="ZB1" s="662"/>
      <c r="ZC1" s="662"/>
      <c r="ZD1" s="662"/>
      <c r="ZE1" s="662"/>
      <c r="ZF1" s="662">
        <v>44199</v>
      </c>
      <c r="ZG1" s="662"/>
      <c r="ZH1" s="662"/>
      <c r="ZI1" s="662"/>
      <c r="ZJ1" s="662"/>
      <c r="ZK1" s="662"/>
      <c r="ZL1" s="662"/>
      <c r="ZM1" s="662">
        <v>44206</v>
      </c>
      <c r="ZN1" s="662"/>
      <c r="ZO1" s="662"/>
      <c r="ZP1" s="662"/>
      <c r="ZQ1" s="662"/>
      <c r="ZR1" s="662"/>
      <c r="ZS1" s="662"/>
      <c r="ZT1" s="662">
        <v>44213</v>
      </c>
      <c r="ZU1" s="662"/>
      <c r="ZV1" s="662"/>
      <c r="ZW1" s="662"/>
      <c r="ZX1" s="662"/>
      <c r="ZY1" s="662"/>
      <c r="ZZ1" s="662"/>
      <c r="AAA1" s="662">
        <v>44220</v>
      </c>
      <c r="AAB1" s="662"/>
      <c r="AAC1" s="662"/>
      <c r="AAD1" s="662"/>
      <c r="AAE1" s="662"/>
      <c r="AAF1" s="662"/>
      <c r="AAG1" s="662"/>
      <c r="AAH1" s="662">
        <v>44227</v>
      </c>
      <c r="AAI1" s="662"/>
      <c r="AAJ1" s="662"/>
      <c r="AAK1" s="662"/>
      <c r="AAL1" s="662"/>
      <c r="AAM1" s="662"/>
      <c r="AAN1" s="662"/>
      <c r="AAO1" s="662">
        <v>44234</v>
      </c>
      <c r="AAP1" s="662"/>
      <c r="AAQ1" s="662"/>
      <c r="AAR1" s="662"/>
      <c r="AAS1" s="662"/>
      <c r="AAT1" s="662"/>
      <c r="AAU1" s="662"/>
      <c r="AAV1" s="662">
        <v>44241</v>
      </c>
      <c r="AAW1" s="662"/>
      <c r="AAX1" s="662"/>
      <c r="AAY1" s="662"/>
      <c r="AAZ1" s="662"/>
      <c r="ABA1" s="662"/>
      <c r="ABB1" s="662"/>
      <c r="ABC1" s="662">
        <v>44248</v>
      </c>
      <c r="ABD1" s="662"/>
      <c r="ABE1" s="662"/>
      <c r="ABF1" s="662"/>
      <c r="ABG1" s="662"/>
      <c r="ABH1" s="662"/>
      <c r="ABI1" s="662"/>
      <c r="ABJ1" s="662">
        <v>44255</v>
      </c>
      <c r="ABK1" s="662"/>
      <c r="ABL1" s="662"/>
      <c r="ABM1" s="662"/>
      <c r="ABN1" s="662"/>
      <c r="ABO1" s="662"/>
      <c r="ABP1" s="662"/>
      <c r="ABQ1" s="662">
        <v>44262</v>
      </c>
      <c r="ABR1" s="662"/>
      <c r="ABS1" s="662"/>
      <c r="ABT1" s="662"/>
      <c r="ABU1" s="662"/>
      <c r="ABV1" s="662"/>
      <c r="ABW1" s="662"/>
      <c r="ABX1" s="662">
        <v>44269</v>
      </c>
      <c r="ABY1" s="662"/>
      <c r="ABZ1" s="662"/>
      <c r="ACA1" s="662"/>
      <c r="ACB1" s="662"/>
      <c r="ACC1" s="662"/>
      <c r="ACD1" s="662"/>
      <c r="ACE1" s="662">
        <v>44276</v>
      </c>
      <c r="ACF1" s="662"/>
      <c r="ACG1" s="662"/>
      <c r="ACH1" s="662"/>
      <c r="ACI1" s="662"/>
      <c r="ACJ1" s="662"/>
      <c r="ACK1" s="662"/>
      <c r="ACL1" s="662">
        <v>44283</v>
      </c>
      <c r="ACM1" s="662"/>
      <c r="ACN1" s="662"/>
      <c r="ACO1" s="662"/>
      <c r="ACP1" s="662"/>
      <c r="ACQ1" s="662"/>
      <c r="ACR1" s="662"/>
      <c r="ACS1" s="662">
        <v>44290</v>
      </c>
      <c r="ACT1" s="662"/>
      <c r="ACU1" s="662"/>
      <c r="ACV1" s="662"/>
      <c r="ACW1" s="662"/>
      <c r="ACX1" s="662"/>
      <c r="ACY1" s="662"/>
      <c r="ACZ1" s="662">
        <v>44297</v>
      </c>
      <c r="ADA1" s="662"/>
      <c r="ADB1" s="662"/>
      <c r="ADC1" s="662"/>
      <c r="ADD1" s="662"/>
      <c r="ADE1" s="662"/>
      <c r="ADF1" s="662"/>
      <c r="ADG1" s="662">
        <v>44304</v>
      </c>
      <c r="ADH1" s="662"/>
      <c r="ADI1" s="662"/>
      <c r="ADJ1" s="662"/>
      <c r="ADK1" s="662"/>
      <c r="ADL1" s="662"/>
      <c r="ADM1" s="662"/>
      <c r="ADN1" s="662">
        <v>44311</v>
      </c>
      <c r="ADO1" s="662"/>
      <c r="ADP1" s="662"/>
      <c r="ADQ1" s="662"/>
      <c r="ADR1" s="662"/>
      <c r="ADS1" s="662"/>
      <c r="ADT1" s="662"/>
      <c r="ADU1" s="662">
        <v>44318</v>
      </c>
      <c r="ADV1" s="662"/>
      <c r="ADW1" s="662"/>
      <c r="ADX1" s="662"/>
      <c r="ADY1" s="662"/>
      <c r="ADZ1" s="662"/>
      <c r="AEA1" s="662"/>
      <c r="AEB1" s="662">
        <v>44325</v>
      </c>
      <c r="AEC1" s="662"/>
      <c r="AED1" s="662"/>
      <c r="AEE1" s="662"/>
      <c r="AEF1" s="662"/>
      <c r="AEG1" s="662"/>
      <c r="AEH1" s="662"/>
      <c r="AEI1" s="662">
        <v>44332</v>
      </c>
      <c r="AEJ1" s="662"/>
      <c r="AEK1" s="662"/>
      <c r="AEL1" s="662"/>
      <c r="AEM1" s="662"/>
      <c r="AEN1" s="662"/>
      <c r="AEO1" s="662"/>
      <c r="AEP1" s="662">
        <v>44339</v>
      </c>
      <c r="AEQ1" s="662"/>
      <c r="AER1" s="662"/>
      <c r="AES1" s="662"/>
      <c r="AET1" s="662"/>
      <c r="AEU1" s="662"/>
      <c r="AEV1" s="662"/>
      <c r="AEW1" s="662">
        <v>44346</v>
      </c>
      <c r="AEX1" s="662"/>
      <c r="AEY1" s="662"/>
      <c r="AEZ1" s="662"/>
      <c r="AFA1" s="662"/>
      <c r="AFB1" s="662"/>
      <c r="AFC1" s="662"/>
      <c r="AFD1" s="662">
        <v>44353</v>
      </c>
      <c r="AFE1" s="662"/>
      <c r="AFF1" s="662"/>
      <c r="AFG1" s="662"/>
      <c r="AFH1" s="662"/>
      <c r="AFI1" s="662"/>
      <c r="AFJ1" s="662"/>
      <c r="AFK1" s="662">
        <v>44360</v>
      </c>
      <c r="AFL1" s="662"/>
      <c r="AFM1" s="662"/>
      <c r="AFN1" s="662"/>
      <c r="AFO1" s="662"/>
      <c r="AFP1" s="662"/>
      <c r="AFQ1" s="662"/>
      <c r="AFR1" s="662">
        <v>44367</v>
      </c>
      <c r="AFS1" s="662"/>
      <c r="AFT1" s="662"/>
      <c r="AFU1" s="662"/>
      <c r="AFV1" s="662"/>
      <c r="AFW1" s="662"/>
      <c r="AFX1" s="662"/>
      <c r="AFY1" s="662">
        <v>44374</v>
      </c>
      <c r="AFZ1" s="662"/>
      <c r="AGA1" s="662"/>
      <c r="AGB1" s="662"/>
      <c r="AGC1" s="662"/>
      <c r="AGD1" s="662"/>
      <c r="AGE1" s="662"/>
      <c r="AGF1" s="662">
        <v>44381</v>
      </c>
      <c r="AGG1" s="662"/>
      <c r="AGH1" s="662"/>
      <c r="AGI1" s="662"/>
      <c r="AGJ1" s="662"/>
      <c r="AGK1" s="662"/>
      <c r="AGL1" s="662"/>
      <c r="AGM1" s="662">
        <v>44388</v>
      </c>
      <c r="AGN1" s="662"/>
      <c r="AGO1" s="662"/>
      <c r="AGP1" s="662"/>
      <c r="AGQ1" s="662"/>
      <c r="AGR1" s="662"/>
      <c r="AGS1" s="662"/>
      <c r="AGT1" s="662">
        <v>44395</v>
      </c>
      <c r="AGU1" s="662"/>
      <c r="AGV1" s="662"/>
      <c r="AGW1" s="662"/>
      <c r="AGX1" s="662"/>
      <c r="AGY1" s="662"/>
      <c r="AGZ1" s="662"/>
      <c r="AHA1" s="662">
        <v>44402</v>
      </c>
      <c r="AHB1" s="662"/>
      <c r="AHC1" s="662"/>
      <c r="AHD1" s="662"/>
      <c r="AHE1" s="662"/>
      <c r="AHF1" s="662"/>
      <c r="AHG1" s="662"/>
      <c r="AHH1" s="662">
        <v>44409</v>
      </c>
      <c r="AHI1" s="662"/>
      <c r="AHJ1" s="662"/>
      <c r="AHK1" s="662"/>
      <c r="AHL1" s="662"/>
      <c r="AHM1" s="662"/>
      <c r="AHN1" s="662"/>
      <c r="AHO1" s="662">
        <v>44416</v>
      </c>
      <c r="AHP1" s="662"/>
      <c r="AHQ1" s="662"/>
      <c r="AHR1" s="662"/>
      <c r="AHS1" s="662"/>
      <c r="AHT1" s="662"/>
      <c r="AHU1" s="662"/>
      <c r="AHV1" s="662">
        <v>44423</v>
      </c>
      <c r="AHW1" s="662"/>
      <c r="AHX1" s="662"/>
      <c r="AHY1" s="662"/>
      <c r="AHZ1" s="662"/>
      <c r="AIA1" s="662"/>
      <c r="AIB1" s="662"/>
      <c r="AIC1" s="662">
        <v>44430</v>
      </c>
      <c r="AID1" s="662"/>
      <c r="AIE1" s="662"/>
      <c r="AIF1" s="662"/>
      <c r="AIG1" s="662"/>
      <c r="AIH1" s="662"/>
      <c r="AII1" s="662"/>
      <c r="AIJ1" s="662">
        <v>44437</v>
      </c>
      <c r="AIK1" s="662"/>
      <c r="AIL1" s="662"/>
      <c r="AIM1" s="662"/>
      <c r="AIN1" s="662"/>
      <c r="AIO1" s="662"/>
      <c r="AIP1" s="662"/>
      <c r="AIQ1" s="662">
        <v>44444</v>
      </c>
      <c r="AIR1" s="662"/>
      <c r="AIS1" s="662"/>
      <c r="AIT1" s="662"/>
      <c r="AIU1" s="662"/>
      <c r="AIV1" s="662"/>
      <c r="AIW1" s="662"/>
      <c r="AIX1" s="662">
        <v>44451</v>
      </c>
      <c r="AIY1" s="662"/>
      <c r="AIZ1" s="662"/>
      <c r="AJA1" s="662"/>
      <c r="AJB1" s="662"/>
      <c r="AJC1" s="662"/>
      <c r="AJD1" s="662"/>
      <c r="AJE1" s="662">
        <v>44458</v>
      </c>
      <c r="AJF1" s="662"/>
      <c r="AJG1" s="662"/>
      <c r="AJH1" s="662"/>
      <c r="AJI1" s="662"/>
      <c r="AJJ1" s="662"/>
      <c r="AJK1" s="662"/>
      <c r="AJL1" s="662">
        <v>44465</v>
      </c>
      <c r="AJM1" s="662"/>
      <c r="AJN1" s="662"/>
      <c r="AJO1" s="662"/>
      <c r="AJP1" s="662"/>
      <c r="AJQ1" s="662"/>
      <c r="AJR1" s="662"/>
      <c r="AJS1" s="662">
        <v>44472</v>
      </c>
      <c r="AJT1" s="662"/>
      <c r="AJU1" s="662"/>
      <c r="AJV1" s="662"/>
      <c r="AJW1" s="662"/>
      <c r="AJX1" s="662"/>
      <c r="AJY1" s="662"/>
      <c r="AJZ1" s="662">
        <v>44479</v>
      </c>
      <c r="AKA1" s="662"/>
      <c r="AKB1" s="662"/>
      <c r="AKC1" s="662"/>
      <c r="AKD1" s="662"/>
      <c r="AKE1" s="662"/>
      <c r="AKF1" s="662"/>
      <c r="AKG1" s="662">
        <v>44486</v>
      </c>
      <c r="AKH1" s="662"/>
      <c r="AKI1" s="662"/>
      <c r="AKJ1" s="662"/>
      <c r="AKK1" s="662"/>
      <c r="AKL1" s="662"/>
      <c r="AKM1" s="662"/>
      <c r="AKN1" s="662">
        <v>44493</v>
      </c>
      <c r="AKO1" s="662"/>
      <c r="AKP1" s="662"/>
      <c r="AKQ1" s="662"/>
      <c r="AKR1" s="662"/>
      <c r="AKS1" s="662"/>
      <c r="AKT1" s="662"/>
      <c r="AKU1" s="662">
        <v>44500</v>
      </c>
      <c r="AKV1" s="662"/>
      <c r="AKW1" s="662"/>
      <c r="AKX1" s="662"/>
      <c r="AKY1" s="662"/>
      <c r="AKZ1" s="662"/>
      <c r="ALA1" s="662"/>
      <c r="ALB1" s="662">
        <v>44507</v>
      </c>
      <c r="ALC1" s="662"/>
      <c r="ALD1" s="662"/>
      <c r="ALE1" s="662"/>
      <c r="ALF1" s="662"/>
      <c r="ALG1" s="662"/>
      <c r="ALH1" s="662"/>
      <c r="ALI1" s="662">
        <v>44514</v>
      </c>
      <c r="ALJ1" s="662"/>
      <c r="ALK1" s="662"/>
      <c r="ALL1" s="662"/>
      <c r="ALM1" s="662"/>
      <c r="ALN1" s="662"/>
      <c r="ALO1" s="662"/>
      <c r="ALP1" s="662">
        <v>44521</v>
      </c>
      <c r="ALQ1" s="662"/>
      <c r="ALR1" s="662"/>
      <c r="ALS1" s="662"/>
      <c r="ALT1" s="662"/>
      <c r="ALU1" s="662"/>
      <c r="ALV1" s="662"/>
      <c r="ALW1" s="662">
        <v>44528</v>
      </c>
      <c r="ALX1" s="662"/>
      <c r="ALY1" s="662"/>
      <c r="ALZ1" s="662"/>
      <c r="AMA1" s="662"/>
      <c r="AMB1" s="662"/>
      <c r="AMC1" s="662"/>
      <c r="AMD1" s="662">
        <v>44535</v>
      </c>
      <c r="AME1" s="662"/>
      <c r="AMF1" s="662"/>
      <c r="AMG1" s="662"/>
      <c r="AMH1" s="662"/>
      <c r="AMI1" s="662"/>
      <c r="AMJ1" s="662"/>
      <c r="AMK1" s="662">
        <v>44542</v>
      </c>
      <c r="AML1" s="662"/>
      <c r="AMM1" s="662"/>
      <c r="AMN1" s="662"/>
      <c r="AMO1" s="662"/>
      <c r="AMP1" s="662"/>
      <c r="AMQ1" s="662"/>
      <c r="AMR1" s="662">
        <v>44549</v>
      </c>
      <c r="AMS1" s="662"/>
      <c r="AMT1" s="662"/>
      <c r="AMU1" s="662"/>
      <c r="AMV1" s="662"/>
      <c r="AMW1" s="662"/>
      <c r="AMX1" s="662"/>
      <c r="AMY1" s="662">
        <v>44556</v>
      </c>
      <c r="AMZ1" s="662"/>
      <c r="ANA1" s="662"/>
      <c r="ANB1" s="662"/>
      <c r="ANC1" s="662"/>
      <c r="AND1" s="662"/>
      <c r="ANE1" s="662"/>
      <c r="ANF1" s="662">
        <v>44563</v>
      </c>
      <c r="ANG1" s="662"/>
      <c r="ANH1" s="662"/>
      <c r="ANI1" s="662"/>
      <c r="ANJ1" s="662"/>
      <c r="ANK1" s="662"/>
      <c r="ANL1" s="662"/>
      <c r="ANM1" s="662">
        <v>44570</v>
      </c>
      <c r="ANN1" s="662"/>
      <c r="ANO1" s="662"/>
      <c r="ANP1" s="662"/>
      <c r="ANQ1" s="662"/>
      <c r="ANR1" s="662"/>
      <c r="ANS1" s="662"/>
    </row>
    <row r="2" spans="1:1059" s="74" customFormat="1" ht="121.5" customHeight="1" thickTop="1" thickBot="1">
      <c r="A2" s="59" t="s">
        <v>679</v>
      </c>
      <c r="B2" s="59" t="s">
        <v>629</v>
      </c>
      <c r="C2" s="77"/>
      <c r="D2" s="77"/>
      <c r="E2" s="77"/>
      <c r="F2" s="77"/>
      <c r="G2" s="76" t="s">
        <v>627</v>
      </c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  <c r="DY2" s="77"/>
      <c r="DZ2" s="77"/>
      <c r="EA2" s="77"/>
      <c r="EB2" s="77"/>
      <c r="EC2" s="77"/>
      <c r="ED2" s="77"/>
      <c r="EE2" s="77"/>
      <c r="EF2" s="77"/>
      <c r="EG2" s="77"/>
      <c r="EH2" s="77"/>
      <c r="EI2" s="77"/>
      <c r="EJ2" s="77"/>
      <c r="EK2" s="77"/>
      <c r="EL2" s="77"/>
      <c r="EM2" s="77"/>
      <c r="EN2" s="80" t="s">
        <v>632</v>
      </c>
      <c r="EO2" s="77"/>
      <c r="EP2" s="77"/>
      <c r="EQ2" s="77"/>
      <c r="ER2" s="77"/>
      <c r="ES2" s="77"/>
      <c r="ET2" s="77"/>
      <c r="EU2" s="77"/>
      <c r="EV2" s="77"/>
      <c r="EW2" s="77"/>
      <c r="EX2" s="77"/>
      <c r="EY2" s="77"/>
      <c r="EZ2" s="77"/>
      <c r="FA2" s="77"/>
      <c r="FB2" s="77"/>
      <c r="FC2" s="77"/>
      <c r="FD2" s="77"/>
      <c r="FE2" s="76" t="s">
        <v>633</v>
      </c>
      <c r="FF2" s="77"/>
      <c r="FG2" s="77"/>
      <c r="FH2" s="77"/>
      <c r="FI2" s="77"/>
      <c r="FJ2" s="77"/>
      <c r="FK2" s="80" t="s">
        <v>634</v>
      </c>
      <c r="FL2" s="77"/>
      <c r="FM2" s="77"/>
      <c r="FN2" s="77"/>
      <c r="FO2" s="77"/>
      <c r="FP2" s="77"/>
      <c r="FQ2" s="77"/>
      <c r="FR2" s="77"/>
      <c r="FS2" s="77"/>
      <c r="FT2" s="77"/>
      <c r="FU2" s="77"/>
      <c r="FV2" s="77"/>
      <c r="FW2" s="77"/>
      <c r="FX2" s="77"/>
      <c r="FY2" s="77"/>
      <c r="FZ2" s="77"/>
      <c r="GA2" s="77"/>
      <c r="GB2" s="77"/>
      <c r="GC2" s="77"/>
      <c r="GD2" s="77"/>
      <c r="GE2" s="77"/>
      <c r="GF2" s="77"/>
      <c r="GG2" s="77"/>
      <c r="GH2" s="77"/>
      <c r="GI2" s="77"/>
      <c r="GJ2" s="77"/>
      <c r="GK2" s="77"/>
      <c r="GL2" s="77"/>
      <c r="GM2" s="77"/>
      <c r="GN2" s="77"/>
      <c r="GO2" s="77"/>
      <c r="GP2" s="77"/>
      <c r="GQ2" s="77"/>
      <c r="GR2" s="78" t="s">
        <v>652</v>
      </c>
      <c r="GS2" s="77"/>
      <c r="GT2" s="77"/>
      <c r="GU2" s="77"/>
      <c r="GV2" s="77"/>
      <c r="GW2" s="77"/>
      <c r="GX2" s="77"/>
      <c r="GY2" s="77"/>
      <c r="GZ2" s="77"/>
      <c r="HA2" s="77"/>
      <c r="HB2" s="77"/>
      <c r="HC2" s="77"/>
      <c r="HD2" s="77"/>
      <c r="HE2" s="77"/>
      <c r="HF2" s="77"/>
      <c r="HG2" s="77"/>
      <c r="HH2" s="77"/>
      <c r="HI2" s="77"/>
      <c r="HJ2" s="77"/>
      <c r="HK2" s="77"/>
      <c r="HL2" s="77"/>
      <c r="HM2" s="77"/>
      <c r="HN2" s="77"/>
      <c r="HO2" s="77"/>
      <c r="HP2" s="77"/>
      <c r="HQ2" s="77"/>
      <c r="HR2" s="77"/>
      <c r="HS2" s="77"/>
      <c r="HT2" s="77"/>
      <c r="HU2" s="77"/>
      <c r="HV2" s="77"/>
      <c r="HW2" s="77"/>
      <c r="HX2" s="77"/>
      <c r="HY2" s="77"/>
      <c r="HZ2" s="77"/>
      <c r="IA2" s="77"/>
      <c r="IB2" s="77"/>
      <c r="IC2" s="77"/>
      <c r="ID2" s="77"/>
      <c r="IE2" s="77"/>
      <c r="IF2" s="77"/>
      <c r="IG2" s="77"/>
      <c r="IH2" s="77"/>
      <c r="II2" s="77"/>
      <c r="IJ2" s="77"/>
      <c r="IK2" s="77"/>
      <c r="IL2" s="77"/>
      <c r="IM2" s="77"/>
      <c r="IN2" s="77"/>
      <c r="IO2" s="77"/>
      <c r="IP2" s="77"/>
      <c r="IQ2" s="77"/>
      <c r="IR2" s="77"/>
      <c r="IS2" s="77"/>
      <c r="IT2" s="77"/>
      <c r="IU2" s="77"/>
      <c r="IV2" s="77"/>
      <c r="IW2" s="77"/>
      <c r="IX2" s="77"/>
      <c r="IY2" s="77"/>
      <c r="IZ2" s="77"/>
      <c r="JA2" s="77"/>
      <c r="JB2" s="77"/>
      <c r="JC2" s="77"/>
      <c r="JD2" s="77"/>
      <c r="JE2" s="77"/>
      <c r="JF2" s="77"/>
      <c r="JG2" s="77"/>
      <c r="JH2" s="77"/>
      <c r="JI2" s="77"/>
      <c r="JJ2" s="77"/>
      <c r="JK2" s="77"/>
      <c r="JL2" s="77"/>
      <c r="JM2" s="77"/>
      <c r="JN2" s="77"/>
      <c r="JO2" s="77"/>
      <c r="JP2" s="77"/>
      <c r="JQ2" s="77"/>
      <c r="JR2" s="77"/>
      <c r="JS2" s="77"/>
      <c r="JT2" s="77"/>
      <c r="JU2" s="77"/>
      <c r="JV2" s="77"/>
      <c r="JW2" s="77"/>
      <c r="JX2" s="77"/>
      <c r="JY2" s="77"/>
      <c r="JZ2" s="77"/>
      <c r="KA2" s="77"/>
      <c r="KB2" s="77"/>
      <c r="KC2" s="77"/>
      <c r="KD2" s="77"/>
      <c r="KE2" s="77"/>
      <c r="KF2" s="77"/>
      <c r="KG2" s="77"/>
      <c r="KH2" s="77"/>
      <c r="KI2" s="77"/>
      <c r="KJ2" s="77"/>
      <c r="KK2" s="77"/>
      <c r="KL2" s="77"/>
      <c r="KM2" s="77"/>
      <c r="KN2" s="77"/>
      <c r="KO2" s="77"/>
      <c r="KP2" s="77"/>
      <c r="KQ2" s="77"/>
      <c r="KR2" s="77"/>
      <c r="KS2" s="77"/>
      <c r="KT2" s="77"/>
      <c r="KU2" s="77"/>
      <c r="KV2" s="77"/>
      <c r="KW2" s="77"/>
      <c r="KX2" s="77"/>
      <c r="KY2" s="77"/>
      <c r="KZ2" s="77"/>
      <c r="LA2" s="77"/>
      <c r="LB2" s="77"/>
      <c r="LC2" s="77"/>
      <c r="LD2" s="77"/>
      <c r="LE2" s="77"/>
      <c r="LF2" s="77"/>
      <c r="LG2" s="77"/>
      <c r="LH2" s="77"/>
      <c r="LI2" s="77"/>
      <c r="LJ2" s="77"/>
      <c r="LK2" s="77"/>
      <c r="LL2" s="77"/>
      <c r="LM2" s="77"/>
      <c r="LN2" s="77"/>
      <c r="LO2" s="77"/>
      <c r="LP2" s="81" t="s">
        <v>650</v>
      </c>
      <c r="LQ2" s="77"/>
      <c r="LR2" s="77"/>
      <c r="LS2" s="77"/>
      <c r="LT2" s="77"/>
      <c r="LU2" s="77"/>
      <c r="LV2" s="77"/>
      <c r="LW2" s="77"/>
      <c r="LX2" s="77"/>
      <c r="LY2" s="77"/>
      <c r="LZ2" s="77"/>
      <c r="MA2" s="77"/>
      <c r="MB2" s="77"/>
      <c r="MC2" s="77"/>
      <c r="MD2" s="77"/>
      <c r="ME2" s="77"/>
      <c r="MF2" s="77"/>
      <c r="MG2" s="77"/>
      <c r="MH2" s="77"/>
      <c r="MI2" s="77"/>
      <c r="MJ2" s="77"/>
      <c r="MK2" s="77"/>
      <c r="ML2" s="77"/>
      <c r="MM2" s="77"/>
      <c r="MN2" s="77"/>
      <c r="MO2" s="77"/>
      <c r="MP2" s="77"/>
      <c r="MQ2" s="77"/>
      <c r="MR2" s="77"/>
      <c r="MS2" s="77"/>
      <c r="MT2" s="77"/>
      <c r="MU2" s="77"/>
      <c r="MV2" s="77"/>
      <c r="MW2" s="77"/>
      <c r="MX2" s="77"/>
      <c r="MY2" s="77"/>
      <c r="MZ2" s="77"/>
      <c r="NA2" s="77"/>
      <c r="NB2" s="77"/>
      <c r="NC2" s="77"/>
      <c r="ND2" s="77"/>
      <c r="NE2" s="77"/>
      <c r="NF2" s="77"/>
      <c r="NG2" s="77"/>
      <c r="NH2" s="77"/>
      <c r="NI2" s="77"/>
      <c r="NJ2" s="77"/>
      <c r="NK2" s="77"/>
      <c r="NL2" s="77"/>
      <c r="NM2" s="77"/>
      <c r="NN2" s="77"/>
      <c r="NO2" s="77"/>
      <c r="NP2" s="77"/>
      <c r="NQ2" s="77"/>
      <c r="NR2" s="77"/>
      <c r="NS2" s="77"/>
      <c r="NT2" s="77"/>
      <c r="NU2" s="77"/>
      <c r="NV2" s="77"/>
      <c r="NW2" s="77"/>
      <c r="NX2" s="81" t="s">
        <v>71</v>
      </c>
      <c r="NY2" s="77"/>
      <c r="NZ2" s="77"/>
      <c r="OA2" s="77"/>
      <c r="OB2" s="77"/>
      <c r="OC2" s="77"/>
      <c r="OD2" s="77"/>
      <c r="OE2" s="77"/>
      <c r="OF2" s="77"/>
      <c r="OG2" s="77"/>
      <c r="OH2" s="77"/>
      <c r="OI2" s="77"/>
      <c r="OJ2" s="77"/>
      <c r="OK2" s="77"/>
      <c r="OL2" s="77"/>
      <c r="OM2" s="77"/>
      <c r="ON2" s="77"/>
      <c r="OO2" s="77"/>
      <c r="OP2" s="77"/>
      <c r="OQ2" s="77"/>
      <c r="OR2" s="77"/>
      <c r="OS2" s="77"/>
      <c r="OT2" s="77"/>
      <c r="OU2" s="77"/>
      <c r="OV2" s="77"/>
      <c r="OW2" s="77"/>
      <c r="OX2" s="77"/>
      <c r="OY2" s="77"/>
      <c r="OZ2" s="77"/>
      <c r="PA2" s="77"/>
      <c r="PB2" s="77"/>
      <c r="PC2" s="77"/>
      <c r="PD2" s="77"/>
      <c r="PE2" s="77"/>
      <c r="PF2" s="77"/>
      <c r="PG2" s="77"/>
      <c r="PH2" s="77"/>
      <c r="PI2" s="77"/>
      <c r="PJ2" s="77"/>
      <c r="PK2" s="77"/>
      <c r="PL2" s="77"/>
      <c r="PM2" s="77"/>
      <c r="PN2" s="77"/>
      <c r="PO2" s="77"/>
      <c r="PP2" s="77"/>
      <c r="PQ2" s="77"/>
      <c r="PR2" s="77"/>
      <c r="PS2" s="77"/>
      <c r="PT2" s="77"/>
      <c r="PU2" s="77"/>
      <c r="PV2" s="77"/>
      <c r="PW2" s="77"/>
      <c r="PX2" s="77"/>
      <c r="PY2" s="77"/>
      <c r="PZ2" s="77"/>
      <c r="QA2" s="77"/>
      <c r="QB2" s="77"/>
      <c r="QC2" s="77"/>
      <c r="QD2" s="77"/>
      <c r="QE2" s="77"/>
      <c r="QF2" s="77"/>
      <c r="QG2" s="77"/>
      <c r="QH2" s="77"/>
      <c r="QI2" s="77"/>
      <c r="QJ2" s="77"/>
      <c r="QK2" s="77"/>
      <c r="QL2" s="77"/>
      <c r="QM2" s="77"/>
      <c r="QN2" s="77"/>
      <c r="QO2" s="77"/>
      <c r="QP2" s="77"/>
      <c r="QQ2" s="77"/>
      <c r="QR2" s="77"/>
      <c r="QS2" s="77"/>
      <c r="QT2" s="77"/>
      <c r="QU2" s="77"/>
      <c r="QV2" s="77"/>
      <c r="QW2" s="77"/>
      <c r="QX2" s="77"/>
      <c r="QY2" s="77"/>
      <c r="QZ2" s="77"/>
      <c r="RA2" s="77"/>
      <c r="RB2" s="77"/>
      <c r="RC2" s="77"/>
      <c r="RD2" s="77"/>
      <c r="RE2" s="77"/>
      <c r="RF2" s="77"/>
      <c r="RG2" s="77"/>
      <c r="RH2" s="77"/>
      <c r="RI2" s="77"/>
      <c r="RJ2" s="77"/>
      <c r="RK2" s="77"/>
      <c r="RL2" s="77"/>
      <c r="RM2" s="77"/>
      <c r="RN2" s="77"/>
      <c r="RO2" s="77"/>
      <c r="RP2" s="77"/>
      <c r="RQ2" s="77"/>
      <c r="RR2" s="77"/>
      <c r="RS2" s="77"/>
      <c r="RT2" s="77"/>
      <c r="RU2" s="77"/>
      <c r="RV2" s="77"/>
      <c r="RW2" s="77"/>
      <c r="RX2" s="77"/>
      <c r="RY2" s="77"/>
      <c r="RZ2" s="77"/>
      <c r="SA2" s="77"/>
      <c r="SB2" s="78" t="s">
        <v>654</v>
      </c>
      <c r="SC2" s="77"/>
      <c r="SD2" s="77"/>
      <c r="SE2" s="77"/>
      <c r="SF2" s="77"/>
      <c r="SG2" s="77"/>
      <c r="SH2" s="77"/>
      <c r="SI2" s="77"/>
      <c r="SJ2" s="77"/>
      <c r="SK2" s="77"/>
      <c r="SL2" s="77"/>
      <c r="SM2" s="77"/>
      <c r="SN2" s="77"/>
      <c r="SO2" s="77"/>
      <c r="SP2" s="77"/>
      <c r="SQ2" s="77"/>
      <c r="SR2" s="77"/>
      <c r="SS2" s="77"/>
      <c r="ST2" s="77"/>
      <c r="SU2" s="77"/>
      <c r="SV2" s="77"/>
      <c r="SW2" s="77"/>
      <c r="SX2" s="77"/>
      <c r="SY2" s="77"/>
      <c r="SZ2" s="77"/>
      <c r="TA2" s="77"/>
      <c r="TB2" s="77"/>
      <c r="TC2" s="77"/>
      <c r="TD2" s="77"/>
      <c r="TE2" s="77"/>
      <c r="TF2" s="77"/>
      <c r="TG2" s="77"/>
      <c r="TH2" s="77"/>
      <c r="TI2" s="77"/>
      <c r="TJ2" s="77"/>
      <c r="TK2" s="77"/>
      <c r="TL2" s="77"/>
      <c r="TM2" s="77"/>
      <c r="TN2" s="77"/>
      <c r="TO2" s="77"/>
      <c r="TP2" s="77"/>
      <c r="TQ2" s="77"/>
      <c r="TR2" s="77"/>
      <c r="TS2" s="77"/>
      <c r="TT2" s="77"/>
      <c r="TU2" s="77"/>
      <c r="TV2" s="77"/>
      <c r="TW2" s="77"/>
      <c r="TX2" s="77"/>
      <c r="TY2" s="77"/>
      <c r="TZ2" s="77"/>
      <c r="UA2" s="77"/>
      <c r="UB2" s="77"/>
      <c r="UC2" s="77"/>
      <c r="UD2" s="77"/>
      <c r="UE2" s="77"/>
      <c r="UF2" s="77"/>
      <c r="UG2" s="77"/>
      <c r="UH2" s="77"/>
      <c r="UI2" s="77"/>
      <c r="UJ2" s="77"/>
      <c r="UK2" s="77"/>
      <c r="UL2" s="78" t="s">
        <v>649</v>
      </c>
      <c r="UM2" s="77"/>
      <c r="UN2" s="77"/>
      <c r="UO2" s="77"/>
      <c r="UP2" s="77"/>
      <c r="UQ2" s="77"/>
      <c r="UR2" s="77"/>
      <c r="US2" s="77"/>
      <c r="UT2" s="77"/>
      <c r="UU2" s="77"/>
      <c r="UV2" s="77"/>
      <c r="UW2" s="77"/>
      <c r="UX2" s="77"/>
      <c r="UY2" s="77"/>
      <c r="UZ2" s="77"/>
      <c r="VA2" s="77"/>
      <c r="VB2" s="77"/>
      <c r="VC2" s="77"/>
      <c r="VD2" s="77"/>
      <c r="VE2" s="77"/>
      <c r="VF2" s="77"/>
      <c r="VG2" s="77"/>
      <c r="VH2" s="77"/>
      <c r="VI2" s="77"/>
      <c r="VJ2" s="77"/>
      <c r="VK2" s="77"/>
      <c r="VL2" s="77"/>
      <c r="VM2" s="77"/>
      <c r="VN2" s="77"/>
      <c r="VO2" s="77"/>
      <c r="VP2" s="77"/>
      <c r="VQ2" s="77"/>
      <c r="VR2" s="77"/>
      <c r="VS2" s="77"/>
      <c r="VT2" s="77"/>
      <c r="VU2" s="77"/>
      <c r="VV2" s="77"/>
      <c r="VW2" s="77"/>
      <c r="VX2" s="77"/>
      <c r="VY2" s="77"/>
      <c r="VZ2" s="77"/>
      <c r="WA2" s="77"/>
      <c r="WB2" s="77"/>
      <c r="WC2" s="77"/>
      <c r="WD2" s="76" t="s">
        <v>74</v>
      </c>
      <c r="WE2" s="77"/>
      <c r="WF2" s="77"/>
      <c r="WG2" s="77"/>
      <c r="WH2" s="77"/>
      <c r="WI2" s="77"/>
      <c r="WJ2" s="77"/>
      <c r="WK2" s="77"/>
      <c r="WL2" s="77"/>
      <c r="WM2" s="77"/>
      <c r="WN2" s="77"/>
      <c r="WO2" s="77"/>
      <c r="WP2" s="77"/>
      <c r="WQ2" s="77"/>
      <c r="WR2" s="77"/>
      <c r="WS2" s="77"/>
      <c r="WT2" s="77"/>
      <c r="WU2" s="77"/>
      <c r="WV2" s="77"/>
      <c r="WW2" s="77"/>
      <c r="WX2" s="77"/>
      <c r="WY2" s="77"/>
      <c r="WZ2" s="77"/>
      <c r="XA2" s="77"/>
      <c r="XB2" s="77"/>
      <c r="XC2" s="77"/>
      <c r="XD2" s="77"/>
      <c r="XE2" s="77"/>
      <c r="XF2" s="77"/>
      <c r="XG2" s="77"/>
      <c r="XH2" s="77"/>
      <c r="XI2" s="77"/>
      <c r="XJ2" s="77"/>
      <c r="XK2" s="77"/>
      <c r="XL2" s="77"/>
      <c r="XM2" s="77"/>
      <c r="XN2" s="77"/>
      <c r="XO2" s="77"/>
      <c r="XP2" s="77"/>
      <c r="XQ2" s="77"/>
      <c r="XR2" s="77"/>
      <c r="XS2" s="77"/>
      <c r="XT2" s="77"/>
      <c r="XU2" s="77"/>
      <c r="XV2" s="77"/>
      <c r="XW2" s="77"/>
      <c r="XX2" s="77"/>
      <c r="XY2" s="77"/>
      <c r="XZ2" s="77"/>
      <c r="YA2" s="77"/>
      <c r="YB2" s="77"/>
      <c r="YC2" s="77"/>
      <c r="YD2" s="77"/>
      <c r="YE2" s="77"/>
      <c r="YF2" s="77"/>
      <c r="YG2" s="77"/>
      <c r="YH2" s="77"/>
      <c r="YI2" s="77"/>
      <c r="YJ2" s="77"/>
      <c r="YK2" s="77"/>
      <c r="YL2" s="77"/>
      <c r="YM2" s="77"/>
      <c r="YN2" s="77"/>
      <c r="YO2" s="77"/>
      <c r="YP2" s="77"/>
      <c r="YQ2" s="77"/>
      <c r="YR2" s="77"/>
      <c r="YS2" s="77"/>
      <c r="YT2" s="77"/>
      <c r="YU2" s="77"/>
      <c r="YV2" s="77"/>
      <c r="YW2" s="77"/>
      <c r="YX2" s="77"/>
      <c r="YY2" s="77"/>
      <c r="YZ2" s="77"/>
      <c r="ZA2" s="77"/>
      <c r="ZB2" s="77"/>
      <c r="ZC2" s="77"/>
      <c r="ZD2" s="77"/>
      <c r="ZE2" s="77"/>
      <c r="ZF2" s="77"/>
      <c r="ZG2" s="77"/>
      <c r="ZH2" s="77"/>
      <c r="ZI2" s="77"/>
      <c r="ZJ2" s="77"/>
      <c r="ZK2" s="77"/>
      <c r="ZL2" s="77"/>
      <c r="ZM2" s="77"/>
      <c r="ZN2" s="77"/>
      <c r="ZO2" s="77"/>
      <c r="ZP2" s="77"/>
      <c r="ZQ2" s="77"/>
      <c r="ZR2" s="77"/>
      <c r="ZS2" s="77"/>
      <c r="ZT2" s="77"/>
      <c r="ZU2" s="77"/>
      <c r="ZV2" s="77"/>
      <c r="ZW2" s="77"/>
      <c r="ZX2" s="77"/>
      <c r="ZY2" s="77"/>
      <c r="ZZ2" s="77"/>
      <c r="AAA2" s="77"/>
      <c r="AAB2" s="77"/>
      <c r="AAC2" s="77"/>
      <c r="AAD2" s="77"/>
      <c r="AAE2" s="77"/>
      <c r="AAF2" s="77"/>
      <c r="AAG2" s="77"/>
      <c r="AAH2" s="77"/>
      <c r="AAI2" s="77"/>
      <c r="AAJ2" s="77"/>
      <c r="AAK2" s="77"/>
      <c r="AAL2" s="77"/>
      <c r="AAM2" s="77"/>
      <c r="AAN2" s="77"/>
      <c r="AAO2" s="77"/>
      <c r="AAP2" s="77"/>
      <c r="AAQ2" s="77"/>
      <c r="AAR2" s="77"/>
      <c r="AAS2" s="77"/>
      <c r="AAT2" s="77"/>
      <c r="AAU2" s="77"/>
      <c r="AAV2" s="77"/>
      <c r="AAW2" s="77"/>
      <c r="AAX2" s="77"/>
      <c r="AAY2" s="77"/>
      <c r="AAZ2" s="77"/>
      <c r="ABA2" s="77"/>
      <c r="ABB2" s="77"/>
      <c r="ABC2" s="77"/>
      <c r="ABD2" s="77"/>
      <c r="ABE2" s="77"/>
      <c r="ABF2" s="77"/>
      <c r="ABG2" s="77"/>
      <c r="ABH2" s="77"/>
      <c r="ABI2" s="77"/>
      <c r="ABJ2" s="77"/>
      <c r="ABK2" s="77"/>
      <c r="ABL2" s="77"/>
      <c r="ABM2" s="77"/>
      <c r="ABN2" s="77"/>
      <c r="ABO2" s="77"/>
      <c r="ABP2" s="77"/>
      <c r="ABQ2" s="77"/>
      <c r="ABR2" s="77"/>
      <c r="ABS2" s="77"/>
      <c r="ABT2" s="77"/>
      <c r="ABU2" s="77"/>
      <c r="ABV2" s="77"/>
      <c r="ABW2" s="77"/>
      <c r="ABX2" s="77"/>
      <c r="ABY2" s="77"/>
      <c r="ABZ2" s="77"/>
      <c r="ACA2" s="77"/>
      <c r="ACB2" s="77"/>
      <c r="ACC2" s="77"/>
      <c r="ACD2" s="77"/>
      <c r="ACE2" s="77"/>
      <c r="ACF2" s="77"/>
      <c r="ACG2" s="77"/>
      <c r="ACH2" s="77"/>
      <c r="ACI2" s="77"/>
      <c r="ACJ2" s="77"/>
      <c r="ACK2" s="77"/>
      <c r="ACL2" s="77"/>
      <c r="ACM2" s="77"/>
      <c r="ACN2" s="77"/>
      <c r="ACO2" s="77"/>
      <c r="ACP2" s="77"/>
      <c r="ACQ2" s="77"/>
      <c r="ACR2" s="77"/>
      <c r="ACS2" s="77"/>
      <c r="ACT2" s="77"/>
      <c r="ACU2" s="77"/>
      <c r="ACV2" s="77"/>
      <c r="ACW2" s="77"/>
      <c r="ACX2" s="77"/>
      <c r="ACY2" s="77"/>
      <c r="ACZ2" s="77"/>
      <c r="ADA2" s="77"/>
      <c r="ADB2" s="77"/>
      <c r="ADC2" s="77"/>
      <c r="ADD2" s="77"/>
      <c r="ADE2" s="77"/>
      <c r="ADF2" s="77"/>
      <c r="ADG2" s="77"/>
      <c r="ADH2" s="77"/>
      <c r="ADI2" s="77"/>
      <c r="ADJ2" s="77"/>
      <c r="ADK2" s="77"/>
      <c r="ADL2" s="77"/>
      <c r="ADM2" s="77"/>
      <c r="ADN2" s="77"/>
      <c r="ADO2" s="77"/>
      <c r="ADP2" s="77"/>
      <c r="ADQ2" s="77"/>
      <c r="ADR2" s="77"/>
      <c r="ADS2" s="77"/>
      <c r="ADT2" s="77"/>
      <c r="ADU2" s="77"/>
      <c r="ADV2" s="77"/>
      <c r="ADW2" s="77"/>
      <c r="ADX2" s="77"/>
      <c r="ADY2" s="77"/>
      <c r="ADZ2" s="77"/>
      <c r="AEA2" s="77"/>
      <c r="AEB2" s="77"/>
      <c r="AEC2" s="77"/>
      <c r="AED2" s="77"/>
      <c r="AEE2" s="77"/>
      <c r="AEF2" s="77"/>
      <c r="AEG2" s="77"/>
      <c r="AEH2" s="77"/>
      <c r="AEI2" s="77"/>
      <c r="AEJ2" s="77"/>
      <c r="AEK2" s="77"/>
      <c r="AEL2" s="77"/>
      <c r="AEM2" s="77"/>
      <c r="AEN2" s="77"/>
      <c r="AEO2" s="77"/>
      <c r="AEP2" s="77"/>
      <c r="AEQ2" s="77"/>
      <c r="AER2" s="77"/>
      <c r="AES2" s="77"/>
      <c r="AET2" s="77"/>
      <c r="AEU2" s="77"/>
      <c r="AEV2" s="77"/>
      <c r="AEW2" s="77"/>
      <c r="AEX2" s="77"/>
      <c r="AEY2" s="77"/>
      <c r="AEZ2" s="77"/>
      <c r="AFA2" s="77"/>
      <c r="AFB2" s="77"/>
      <c r="AFC2" s="77"/>
      <c r="AFD2" s="77"/>
      <c r="AFE2" s="77"/>
      <c r="AFF2" s="77"/>
      <c r="AFG2" s="77"/>
      <c r="AFH2" s="77"/>
      <c r="AFI2" s="77"/>
      <c r="AFJ2" s="77"/>
      <c r="AFK2" s="77"/>
      <c r="AFL2" s="77"/>
      <c r="AFM2" s="77"/>
      <c r="AFN2" s="77"/>
      <c r="AFO2" s="77"/>
      <c r="AFP2" s="77"/>
      <c r="AFQ2" s="77"/>
      <c r="AFR2" s="77"/>
      <c r="AFS2" s="77"/>
      <c r="AFT2" s="77"/>
      <c r="AFU2" s="77"/>
      <c r="AFV2" s="77"/>
      <c r="AFW2" s="77"/>
      <c r="AFX2" s="77"/>
      <c r="AFY2" s="77"/>
      <c r="AFZ2" s="77"/>
      <c r="AGA2" s="77"/>
      <c r="AGB2" s="77"/>
      <c r="AGC2" s="77"/>
      <c r="AGD2" s="77"/>
      <c r="AGE2" s="77"/>
      <c r="AGF2" s="77"/>
      <c r="AGG2" s="77"/>
      <c r="AGH2" s="77"/>
      <c r="AGI2" s="77"/>
      <c r="AGJ2" s="77"/>
      <c r="AGK2" s="77"/>
      <c r="AGL2" s="77"/>
      <c r="AGM2" s="77"/>
      <c r="AGN2" s="77"/>
      <c r="AGO2" s="77"/>
      <c r="AGP2" s="77"/>
      <c r="AGQ2" s="77"/>
      <c r="AGR2" s="77"/>
      <c r="AGS2" s="77"/>
      <c r="AGT2" s="77"/>
      <c r="AGU2" s="77"/>
      <c r="AGV2" s="77"/>
      <c r="AGW2" s="77"/>
      <c r="AGX2" s="77"/>
      <c r="AGY2" s="77"/>
      <c r="AGZ2" s="77"/>
      <c r="AHA2" s="77"/>
      <c r="AHB2" s="77"/>
      <c r="AHC2" s="77"/>
      <c r="AHD2" s="77"/>
      <c r="AHE2" s="77"/>
      <c r="AHF2" s="77"/>
      <c r="AHG2" s="77"/>
      <c r="AHH2" s="81" t="s">
        <v>655</v>
      </c>
      <c r="AHI2" s="77"/>
      <c r="AHJ2" s="77"/>
      <c r="AHK2" s="77"/>
      <c r="AHL2" s="77"/>
      <c r="AHM2" s="77"/>
      <c r="AHN2" s="77"/>
      <c r="AHO2" s="77"/>
      <c r="AHP2" s="77"/>
      <c r="AHQ2" s="77"/>
      <c r="AHR2" s="77"/>
      <c r="AHS2" s="77"/>
      <c r="AHT2" s="77"/>
      <c r="AHU2" s="77"/>
      <c r="AHV2" s="77"/>
      <c r="AHW2" s="77"/>
      <c r="AHX2" s="77"/>
      <c r="AHY2" s="77"/>
      <c r="AHZ2" s="77"/>
      <c r="AIA2" s="77"/>
      <c r="AIB2" s="77"/>
      <c r="AIC2" s="77"/>
      <c r="AID2" s="77"/>
      <c r="AIE2" s="77"/>
      <c r="AIF2" s="77"/>
      <c r="AIG2" s="77"/>
      <c r="AIH2" s="77"/>
      <c r="AII2" s="77"/>
      <c r="AIJ2" s="77"/>
      <c r="AIK2" s="77"/>
      <c r="AIL2" s="77"/>
      <c r="AIM2" s="77"/>
      <c r="AIN2" s="77"/>
      <c r="AIO2" s="77"/>
      <c r="AIP2" s="77"/>
      <c r="AIQ2" s="77"/>
      <c r="AIR2" s="77"/>
      <c r="AIS2" s="77"/>
      <c r="AIT2" s="77"/>
      <c r="AIU2" s="77"/>
      <c r="AIV2" s="77"/>
      <c r="AIW2" s="77"/>
      <c r="AIX2" s="77"/>
      <c r="AIY2" s="77"/>
      <c r="AIZ2" s="77"/>
      <c r="AJA2" s="77"/>
      <c r="AJB2" s="77"/>
      <c r="AJC2" s="77"/>
      <c r="AJD2" s="77"/>
      <c r="AJE2" s="77"/>
      <c r="AJF2" s="77"/>
      <c r="AJG2" s="77"/>
      <c r="AJH2" s="77"/>
      <c r="AJI2" s="77"/>
      <c r="AJJ2" s="77"/>
      <c r="AJK2" s="77"/>
      <c r="AJL2" s="77"/>
      <c r="AJM2" s="77"/>
      <c r="AJN2" s="77"/>
      <c r="AJO2" s="77"/>
      <c r="AJP2" s="77"/>
      <c r="AJQ2" s="77"/>
      <c r="AJR2" s="77"/>
      <c r="AJS2" s="77"/>
      <c r="AJT2" s="77"/>
      <c r="AJU2" s="77"/>
      <c r="AJV2" s="77"/>
      <c r="AJW2" s="77"/>
      <c r="AJX2" s="77"/>
      <c r="AJY2" s="77"/>
      <c r="AJZ2" s="77"/>
      <c r="AKA2" s="77"/>
      <c r="AKB2" s="77"/>
      <c r="AKC2" s="77"/>
      <c r="AKD2" s="77"/>
      <c r="AKE2" s="77"/>
      <c r="AKF2" s="77"/>
      <c r="AKG2" s="77"/>
      <c r="AKH2" s="77"/>
      <c r="AKI2" s="77"/>
      <c r="AKJ2" s="77"/>
      <c r="AKK2" s="77"/>
      <c r="AKL2" s="77"/>
      <c r="AKM2" s="77"/>
      <c r="AKN2" s="77"/>
      <c r="AKO2" s="77"/>
      <c r="AKP2" s="77"/>
      <c r="AKQ2" s="77"/>
      <c r="AKR2" s="77"/>
      <c r="AKS2" s="77"/>
      <c r="AKT2" s="77"/>
      <c r="AKU2" s="77"/>
      <c r="AKV2" s="77"/>
      <c r="AKW2" s="77"/>
      <c r="AKX2" s="77"/>
      <c r="AKY2" s="77"/>
      <c r="AKZ2" s="77"/>
      <c r="ALA2" s="77"/>
      <c r="ALB2" s="77"/>
      <c r="ALC2" s="77"/>
      <c r="ALD2" s="77"/>
      <c r="ALE2" s="77"/>
      <c r="ALF2" s="77"/>
      <c r="ALG2" s="77"/>
      <c r="ALH2" s="77"/>
      <c r="ALI2" s="77"/>
      <c r="ALJ2" s="77"/>
      <c r="ALK2" s="77"/>
      <c r="ALL2" s="77"/>
      <c r="ALM2" s="77"/>
      <c r="ALN2" s="77"/>
      <c r="ALO2" s="77"/>
      <c r="ALP2" s="77"/>
      <c r="ALQ2" s="77"/>
      <c r="ALR2" s="77"/>
      <c r="ALS2" s="77"/>
      <c r="ALT2" s="77"/>
      <c r="ALU2" s="77"/>
      <c r="ALV2" s="77"/>
      <c r="ALW2" s="77"/>
      <c r="ALX2" s="77"/>
      <c r="ALY2" s="77"/>
      <c r="ALZ2" s="77"/>
      <c r="AMA2" s="77"/>
      <c r="AMB2" s="77"/>
      <c r="AMC2" s="77"/>
      <c r="AMD2" s="77"/>
      <c r="AME2" s="77"/>
      <c r="AMF2" s="77"/>
      <c r="AMG2" s="77"/>
      <c r="AMH2" s="77"/>
      <c r="AMI2" s="77"/>
      <c r="AMJ2" s="77"/>
      <c r="AMK2" s="77"/>
      <c r="AML2" s="77"/>
      <c r="AMM2" s="77"/>
      <c r="AMN2" s="77"/>
      <c r="AMO2" s="77"/>
      <c r="AMP2" s="77"/>
      <c r="AMQ2" s="77"/>
      <c r="AMR2" s="77"/>
      <c r="AMS2" s="77"/>
      <c r="AMT2" s="77"/>
      <c r="AMU2" s="77"/>
      <c r="AMV2" s="77"/>
      <c r="AMW2" s="77"/>
      <c r="AMX2" s="77"/>
      <c r="AMY2" s="77"/>
      <c r="AMZ2" s="77"/>
      <c r="ANA2" s="77"/>
      <c r="ANB2" s="77"/>
      <c r="ANC2" s="77"/>
      <c r="AND2" s="77"/>
      <c r="ANE2" s="77"/>
      <c r="ANF2" s="77"/>
      <c r="ANG2" s="77"/>
      <c r="ANH2" s="77"/>
      <c r="ANI2" s="77"/>
      <c r="ANJ2" s="77"/>
      <c r="ANK2" s="77"/>
      <c r="ANL2" s="77"/>
      <c r="ANM2" s="77"/>
      <c r="ANN2" s="77"/>
      <c r="ANO2" s="77"/>
      <c r="ANP2" s="77"/>
      <c r="ANQ2" s="77"/>
      <c r="ANR2" s="77"/>
      <c r="ANS2" s="76" t="s">
        <v>651</v>
      </c>
    </row>
    <row r="3" spans="1:1059" s="74" customFormat="1" ht="147.75" customHeight="1" thickTop="1" thickBot="1">
      <c r="A3" s="59" t="s">
        <v>680</v>
      </c>
      <c r="B3" s="59" t="s">
        <v>677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7"/>
      <c r="CR3" s="77"/>
      <c r="CS3" s="77"/>
      <c r="CT3" s="77"/>
      <c r="CU3" s="77"/>
      <c r="CV3" s="77"/>
      <c r="CW3" s="77"/>
      <c r="CX3" s="77"/>
      <c r="CY3" s="77"/>
      <c r="CZ3" s="77"/>
      <c r="DA3" s="77"/>
      <c r="DB3" s="77"/>
      <c r="DC3" s="77"/>
      <c r="DD3" s="77"/>
      <c r="DE3" s="77"/>
      <c r="DF3" s="77"/>
      <c r="DG3" s="77"/>
      <c r="DH3" s="77"/>
      <c r="DI3" s="77"/>
      <c r="DJ3" s="77"/>
      <c r="DK3" s="77"/>
      <c r="DL3" s="77"/>
      <c r="DM3" s="77"/>
      <c r="DN3" s="77"/>
      <c r="DO3" s="77"/>
      <c r="DP3" s="77"/>
      <c r="DQ3" s="77"/>
      <c r="DR3" s="77"/>
      <c r="DS3" s="77"/>
      <c r="DT3" s="77"/>
      <c r="DU3" s="77"/>
      <c r="DV3" s="77"/>
      <c r="DW3" s="77"/>
      <c r="DX3" s="77"/>
      <c r="DY3" s="77"/>
      <c r="DZ3" s="77"/>
      <c r="EA3" s="77"/>
      <c r="EB3" s="77"/>
      <c r="EC3" s="77"/>
      <c r="ED3" s="77"/>
      <c r="EE3" s="77"/>
      <c r="EF3" s="77"/>
      <c r="EG3" s="77"/>
      <c r="EH3" s="77"/>
      <c r="EI3" s="77"/>
      <c r="EJ3" s="77"/>
      <c r="EK3" s="77"/>
      <c r="EL3" s="77"/>
      <c r="EM3" s="77"/>
      <c r="EN3" s="77"/>
      <c r="EO3" s="77"/>
      <c r="EP3" s="77"/>
      <c r="EQ3" s="77"/>
      <c r="ER3" s="77"/>
      <c r="ES3" s="77"/>
      <c r="ET3" s="77"/>
      <c r="EU3" s="77"/>
      <c r="EV3" s="77"/>
      <c r="EW3" s="77"/>
      <c r="EX3" s="77"/>
      <c r="EY3" s="77"/>
      <c r="EZ3" s="77"/>
      <c r="FA3" s="77"/>
      <c r="FB3" s="77"/>
      <c r="FC3" s="77"/>
      <c r="FD3" s="77"/>
      <c r="FE3" s="77"/>
      <c r="FF3" s="77"/>
      <c r="FG3" s="77"/>
      <c r="FH3" s="77"/>
      <c r="FI3" s="77"/>
      <c r="FJ3" s="77"/>
      <c r="FK3" s="77"/>
      <c r="FL3" s="77"/>
      <c r="FM3" s="77"/>
      <c r="FN3" s="77"/>
      <c r="FO3" s="77"/>
      <c r="FP3" s="77"/>
      <c r="FQ3" s="77"/>
      <c r="FR3" s="77"/>
      <c r="FS3" s="77"/>
      <c r="FT3" s="77"/>
      <c r="FU3" s="77"/>
      <c r="FV3" s="77"/>
      <c r="FW3" s="77"/>
      <c r="FX3" s="77"/>
      <c r="FY3" s="77"/>
      <c r="FZ3" s="77"/>
      <c r="GA3" s="77"/>
      <c r="GB3" s="77"/>
      <c r="GC3" s="77"/>
      <c r="GD3" s="77"/>
      <c r="GE3" s="77"/>
      <c r="GF3" s="77"/>
      <c r="GG3" s="77"/>
      <c r="GH3" s="77"/>
      <c r="GI3" s="77"/>
      <c r="GJ3" s="77"/>
      <c r="GK3" s="77"/>
      <c r="GL3" s="77"/>
      <c r="GM3" s="77"/>
      <c r="GN3" s="77"/>
      <c r="GO3" s="77"/>
      <c r="GP3" s="77"/>
      <c r="GQ3" s="77"/>
      <c r="GR3" s="77"/>
      <c r="GS3" s="77"/>
      <c r="GT3" s="77"/>
      <c r="GU3" s="77"/>
      <c r="GV3" s="77"/>
      <c r="GW3" s="77"/>
      <c r="GX3" s="77"/>
      <c r="GY3" s="77"/>
      <c r="GZ3" s="77"/>
      <c r="HA3" s="77"/>
      <c r="HB3" s="77"/>
      <c r="HC3" s="77"/>
      <c r="HD3" s="77"/>
      <c r="HE3" s="77"/>
      <c r="HF3" s="77"/>
      <c r="HG3" s="77"/>
      <c r="HH3" s="77"/>
      <c r="HI3" s="77"/>
      <c r="HJ3" s="77"/>
      <c r="HK3" s="77"/>
      <c r="HL3" s="77"/>
      <c r="HM3" s="77"/>
      <c r="HN3" s="77"/>
      <c r="HO3" s="77"/>
      <c r="HP3" s="77"/>
      <c r="HQ3" s="77"/>
      <c r="HR3" s="77"/>
      <c r="HS3" s="77"/>
      <c r="HT3" s="77"/>
      <c r="HU3" s="77"/>
      <c r="HV3" s="77"/>
      <c r="HW3" s="77"/>
      <c r="HX3" s="77"/>
      <c r="HY3" s="77"/>
      <c r="HZ3" s="77"/>
      <c r="IA3" s="77"/>
      <c r="IB3" s="77"/>
      <c r="IC3" s="77"/>
      <c r="ID3" s="77"/>
      <c r="IE3" s="77"/>
      <c r="IF3" s="77"/>
      <c r="IG3" s="77"/>
      <c r="IH3" s="77"/>
      <c r="II3" s="77"/>
      <c r="IJ3" s="77"/>
      <c r="IK3" s="77"/>
      <c r="IL3" s="77"/>
      <c r="IM3" s="77"/>
      <c r="IN3" s="77"/>
      <c r="IO3" s="77"/>
      <c r="IP3" s="77"/>
      <c r="IQ3" s="77"/>
      <c r="IR3" s="77"/>
      <c r="IS3" s="77"/>
      <c r="IT3" s="77"/>
      <c r="IU3" s="77"/>
      <c r="IV3" s="77"/>
      <c r="IW3" s="77"/>
      <c r="IX3" s="77"/>
      <c r="IY3" s="77"/>
      <c r="IZ3" s="77"/>
      <c r="JA3" s="77"/>
      <c r="JB3" s="77"/>
      <c r="JC3" s="77"/>
      <c r="JD3" s="77"/>
      <c r="JE3" s="77"/>
      <c r="JF3" s="77"/>
      <c r="JG3" s="77"/>
      <c r="JH3" s="77"/>
      <c r="JI3" s="77"/>
      <c r="JJ3" s="77"/>
      <c r="JK3" s="77"/>
      <c r="JL3" s="77"/>
      <c r="JM3" s="77"/>
      <c r="JN3" s="77"/>
      <c r="JO3" s="77"/>
      <c r="JP3" s="77"/>
      <c r="JQ3" s="77"/>
      <c r="JR3" s="77"/>
      <c r="JS3" s="77"/>
      <c r="JT3" s="77"/>
      <c r="JU3" s="77"/>
      <c r="JV3" s="77"/>
      <c r="JW3" s="77"/>
      <c r="JX3" s="77"/>
      <c r="JY3" s="77"/>
      <c r="JZ3" s="77"/>
      <c r="KA3" s="77"/>
      <c r="KB3" s="77"/>
      <c r="KC3" s="77"/>
      <c r="KD3" s="77"/>
      <c r="KE3" s="77"/>
      <c r="KF3" s="77"/>
      <c r="KG3" s="77"/>
      <c r="KH3" s="77"/>
      <c r="KI3" s="77"/>
      <c r="KJ3" s="77"/>
      <c r="KK3" s="77"/>
      <c r="KL3" s="77"/>
      <c r="KM3" s="77"/>
      <c r="KN3" s="77"/>
      <c r="KO3" s="77"/>
      <c r="KP3" s="77"/>
      <c r="KQ3" s="77"/>
      <c r="KR3" s="77"/>
      <c r="KS3" s="77"/>
      <c r="KT3" s="77"/>
      <c r="KU3" s="77"/>
      <c r="KV3" s="77"/>
      <c r="KW3" s="77"/>
      <c r="KX3" s="77"/>
      <c r="KY3" s="77"/>
      <c r="KZ3" s="77"/>
      <c r="LA3" s="77"/>
      <c r="LB3" s="77"/>
      <c r="LC3" s="77"/>
      <c r="LD3" s="77"/>
      <c r="LE3" s="77"/>
      <c r="LF3" s="77"/>
      <c r="LG3" s="77"/>
      <c r="LH3" s="77"/>
      <c r="LI3" s="77"/>
      <c r="LJ3" s="77"/>
      <c r="LK3" s="77"/>
      <c r="LL3" s="77"/>
      <c r="LM3" s="77"/>
      <c r="LN3" s="77"/>
      <c r="LO3" s="77"/>
      <c r="LP3" s="77"/>
      <c r="LQ3" s="77"/>
      <c r="LR3" s="77"/>
      <c r="LS3" s="77"/>
      <c r="LT3" s="77"/>
      <c r="LU3" s="77"/>
      <c r="LV3" s="77"/>
      <c r="LW3" s="77"/>
      <c r="LX3" s="77"/>
      <c r="LY3" s="77"/>
      <c r="LZ3" s="77"/>
      <c r="MA3" s="77"/>
      <c r="MB3" s="77"/>
      <c r="MC3" s="77"/>
      <c r="MD3" s="77"/>
      <c r="ME3" s="77"/>
      <c r="MF3" s="77"/>
      <c r="MG3" s="77"/>
      <c r="MH3" s="77"/>
      <c r="MI3" s="77"/>
      <c r="MJ3" s="77"/>
      <c r="MK3" s="77"/>
      <c r="ML3" s="77"/>
      <c r="MM3" s="77"/>
      <c r="MN3" s="77"/>
      <c r="MO3" s="77"/>
      <c r="MP3" s="77"/>
      <c r="MQ3" s="77"/>
      <c r="MR3" s="77"/>
      <c r="MS3" s="77"/>
      <c r="MT3" s="77"/>
      <c r="MU3" s="77"/>
      <c r="MV3" s="77"/>
      <c r="MW3" s="77"/>
      <c r="MX3" s="77"/>
      <c r="MY3" s="77"/>
      <c r="MZ3" s="77"/>
      <c r="NA3" s="77"/>
      <c r="NB3" s="77"/>
      <c r="NC3" s="77"/>
      <c r="ND3" s="77"/>
      <c r="NE3" s="77"/>
      <c r="NF3" s="77"/>
      <c r="NG3" s="77"/>
      <c r="NH3" s="77"/>
      <c r="NI3" s="77"/>
      <c r="NJ3" s="82" t="s">
        <v>673</v>
      </c>
      <c r="NK3" s="77"/>
      <c r="NL3" s="77"/>
      <c r="NM3" s="77"/>
      <c r="NN3" s="77"/>
      <c r="NO3" s="77"/>
      <c r="NP3" s="77"/>
      <c r="NQ3" s="77"/>
      <c r="NR3" s="77"/>
      <c r="NS3" s="77"/>
      <c r="NT3" s="77"/>
      <c r="NU3" s="77"/>
      <c r="NV3" s="77"/>
      <c r="NW3" s="77"/>
      <c r="NX3" s="77"/>
      <c r="NY3" s="77"/>
      <c r="NZ3" s="77"/>
      <c r="OA3" s="77"/>
      <c r="OB3" s="77"/>
      <c r="OC3" s="77"/>
      <c r="OD3" s="77"/>
      <c r="OE3" s="77"/>
      <c r="OF3" s="77"/>
      <c r="OG3" s="77"/>
      <c r="OH3" s="77"/>
      <c r="OI3" s="77"/>
      <c r="OJ3" s="77"/>
      <c r="OK3" s="77"/>
      <c r="OL3" s="77"/>
      <c r="OM3" s="77"/>
      <c r="ON3" s="77"/>
      <c r="OO3" s="77"/>
      <c r="OP3" s="77"/>
      <c r="OQ3" s="77"/>
      <c r="OR3" s="77"/>
      <c r="OS3" s="77"/>
      <c r="OT3" s="77"/>
      <c r="OU3" s="77"/>
      <c r="OV3" s="77"/>
      <c r="OW3" s="77"/>
      <c r="OX3" s="77"/>
      <c r="OY3" s="77"/>
      <c r="OZ3" s="77"/>
      <c r="PA3" s="77"/>
      <c r="PB3" s="77"/>
      <c r="PC3" s="77"/>
      <c r="PD3" s="77"/>
      <c r="PE3" s="77"/>
      <c r="PF3" s="77"/>
      <c r="PG3" s="77"/>
      <c r="PH3" s="77"/>
      <c r="PI3" s="77"/>
      <c r="PJ3" s="77"/>
      <c r="PK3" s="77"/>
      <c r="PL3" s="77"/>
      <c r="PM3" s="77"/>
      <c r="PN3" s="77"/>
      <c r="PO3" s="77"/>
      <c r="PP3" s="77"/>
      <c r="PQ3" s="77"/>
      <c r="PR3" s="77"/>
      <c r="PS3" s="77"/>
      <c r="PT3" s="77"/>
      <c r="PU3" s="77"/>
      <c r="PV3" s="77"/>
      <c r="PW3" s="77"/>
      <c r="PX3" s="77"/>
      <c r="PY3" s="77"/>
      <c r="PZ3" s="77"/>
      <c r="QA3" s="77"/>
      <c r="QB3" s="77"/>
      <c r="QC3" s="77"/>
      <c r="QD3" s="77"/>
      <c r="QE3" s="77"/>
      <c r="QF3" s="77"/>
      <c r="QG3" s="77"/>
      <c r="QH3" s="77"/>
      <c r="QI3" s="77"/>
      <c r="QJ3" s="77"/>
      <c r="QK3" s="77"/>
      <c r="QL3" s="77"/>
      <c r="QM3" s="77"/>
      <c r="QN3" s="77"/>
      <c r="QO3" s="77"/>
      <c r="QP3" s="77"/>
      <c r="QQ3" s="77"/>
      <c r="QR3" s="77"/>
      <c r="QS3" s="77"/>
      <c r="QT3" s="77"/>
      <c r="QU3" s="77"/>
      <c r="QV3" s="77"/>
      <c r="QW3" s="77"/>
      <c r="QX3" s="79" t="s">
        <v>674</v>
      </c>
      <c r="QY3" s="77"/>
      <c r="QZ3" s="77"/>
      <c r="RA3" s="77"/>
      <c r="RB3" s="77"/>
      <c r="RC3" s="77"/>
      <c r="RD3" s="77"/>
      <c r="RE3" s="77"/>
      <c r="RF3" s="77"/>
      <c r="RG3" s="77"/>
      <c r="RH3" s="77"/>
      <c r="RI3" s="77"/>
      <c r="RJ3" s="77"/>
      <c r="RK3" s="77"/>
      <c r="RL3" s="77"/>
      <c r="RM3" s="77"/>
      <c r="RN3" s="77"/>
      <c r="RO3" s="77"/>
      <c r="RP3" s="77"/>
      <c r="RQ3" s="77"/>
      <c r="RR3" s="77"/>
      <c r="RS3" s="77"/>
      <c r="RT3" s="77"/>
      <c r="RU3" s="77"/>
      <c r="RV3" s="77"/>
      <c r="RW3" s="77"/>
      <c r="RX3" s="77"/>
      <c r="RY3" s="77"/>
      <c r="RZ3" s="77"/>
      <c r="SA3" s="77"/>
      <c r="SB3" s="77"/>
      <c r="SC3" s="77"/>
      <c r="SD3" s="77"/>
      <c r="SE3" s="77"/>
      <c r="SF3" s="77"/>
      <c r="SG3" s="77"/>
      <c r="SH3" s="77"/>
      <c r="SI3" s="77"/>
      <c r="SJ3" s="77"/>
      <c r="SK3" s="77"/>
      <c r="SL3" s="77"/>
      <c r="SM3" s="77"/>
      <c r="SN3" s="77"/>
      <c r="SO3" s="77"/>
      <c r="SP3" s="77"/>
      <c r="SQ3" s="77"/>
      <c r="SR3" s="77"/>
      <c r="SS3" s="77"/>
      <c r="ST3" s="77"/>
      <c r="SU3" s="77"/>
      <c r="SV3" s="77"/>
      <c r="SW3" s="77"/>
      <c r="SX3" s="77"/>
      <c r="SY3" s="77"/>
      <c r="SZ3" s="77"/>
      <c r="TA3" s="77"/>
      <c r="TB3" s="77"/>
      <c r="TC3" s="77"/>
      <c r="TD3" s="77"/>
      <c r="TE3" s="77"/>
      <c r="TF3" s="77"/>
      <c r="TG3" s="83" t="s">
        <v>675</v>
      </c>
      <c r="TH3" s="77"/>
      <c r="TI3" s="77"/>
      <c r="TJ3" s="77"/>
      <c r="TK3" s="77"/>
      <c r="TL3" s="77"/>
      <c r="TM3" s="77"/>
      <c r="TN3" s="77"/>
      <c r="TO3" s="77"/>
      <c r="TP3" s="77"/>
      <c r="TQ3" s="77"/>
      <c r="TR3" s="77"/>
      <c r="TS3" s="77"/>
      <c r="TT3" s="77"/>
      <c r="TU3" s="77"/>
      <c r="TV3" s="77"/>
      <c r="TW3" s="77"/>
      <c r="TX3" s="77"/>
      <c r="TY3" s="77"/>
      <c r="TZ3" s="77"/>
      <c r="UA3" s="77"/>
      <c r="UB3" s="77"/>
      <c r="UC3" s="77"/>
      <c r="UD3" s="77"/>
      <c r="UE3" s="77"/>
      <c r="UF3" s="77"/>
      <c r="UG3" s="77"/>
      <c r="UH3" s="77"/>
      <c r="UI3" s="77"/>
      <c r="UJ3" s="77"/>
      <c r="UK3" s="77"/>
      <c r="UL3" s="77"/>
      <c r="UM3" s="77"/>
      <c r="UN3" s="77"/>
      <c r="UO3" s="77"/>
      <c r="UP3" s="77"/>
      <c r="UQ3" s="77"/>
      <c r="UR3" s="77"/>
      <c r="US3" s="77"/>
      <c r="UT3" s="77"/>
      <c r="UU3" s="77"/>
      <c r="UV3" s="77"/>
      <c r="UW3" s="77"/>
      <c r="UX3" s="77"/>
      <c r="UY3" s="77"/>
      <c r="UZ3" s="77"/>
      <c r="VA3" s="77"/>
      <c r="VB3" s="77"/>
      <c r="VC3" s="77"/>
      <c r="VD3" s="77"/>
      <c r="VE3" s="77"/>
      <c r="VF3" s="77"/>
      <c r="VG3" s="77"/>
      <c r="VH3" s="77"/>
      <c r="VI3" s="77"/>
      <c r="VJ3" s="77"/>
      <c r="VK3" s="77"/>
      <c r="VL3" s="77"/>
      <c r="VM3" s="77"/>
      <c r="VN3" s="77"/>
      <c r="VO3" s="77"/>
      <c r="VP3" s="77"/>
      <c r="VQ3" s="77"/>
      <c r="VR3" s="77"/>
      <c r="VS3" s="77"/>
      <c r="VT3" s="77"/>
      <c r="VU3" s="77"/>
      <c r="VV3" s="77"/>
      <c r="VW3" s="77"/>
      <c r="VX3" s="77"/>
      <c r="VY3" s="77"/>
      <c r="VZ3" s="77"/>
      <c r="WA3" s="77"/>
      <c r="WB3" s="77"/>
      <c r="WC3" s="77"/>
      <c r="WD3" s="77"/>
      <c r="WE3" s="77"/>
      <c r="WF3" s="77"/>
      <c r="WG3" s="77"/>
      <c r="WH3" s="77"/>
      <c r="WI3" s="77"/>
      <c r="WJ3" s="77"/>
      <c r="WK3" s="77"/>
      <c r="WL3" s="77"/>
      <c r="WM3" s="77"/>
      <c r="WN3" s="77"/>
      <c r="WO3" s="77"/>
      <c r="WP3" s="77"/>
      <c r="WQ3" s="77"/>
      <c r="WR3" s="77"/>
      <c r="WS3" s="77"/>
      <c r="WT3" s="77"/>
      <c r="WU3" s="79" t="s">
        <v>676</v>
      </c>
      <c r="WV3" s="77"/>
      <c r="WW3" s="77"/>
      <c r="WX3" s="77"/>
      <c r="WY3" s="77"/>
      <c r="WZ3" s="77"/>
      <c r="XA3" s="77"/>
      <c r="XB3" s="77"/>
      <c r="XC3" s="77"/>
      <c r="XD3" s="77"/>
      <c r="XE3" s="77"/>
      <c r="XF3" s="77"/>
      <c r="XG3" s="77"/>
      <c r="XH3" s="77"/>
      <c r="XI3" s="77"/>
      <c r="XJ3" s="77"/>
      <c r="XK3" s="77"/>
      <c r="XL3" s="77"/>
      <c r="XM3" s="77"/>
      <c r="XN3" s="77"/>
      <c r="XO3" s="77"/>
      <c r="XP3" s="77"/>
      <c r="XQ3" s="77"/>
      <c r="XR3" s="77"/>
      <c r="XS3" s="77"/>
      <c r="XT3" s="77"/>
      <c r="XU3" s="77"/>
      <c r="XV3" s="77"/>
      <c r="XW3" s="77"/>
      <c r="XX3" s="77"/>
      <c r="XY3" s="77"/>
      <c r="XZ3" s="77"/>
      <c r="YA3" s="77"/>
      <c r="YB3" s="77"/>
      <c r="YC3" s="77"/>
      <c r="YD3" s="77"/>
      <c r="YE3" s="77"/>
      <c r="YF3" s="77"/>
      <c r="YG3" s="77"/>
      <c r="YH3" s="77"/>
      <c r="YI3" s="77"/>
      <c r="YJ3" s="77"/>
      <c r="YK3" s="77"/>
      <c r="YL3" s="77"/>
      <c r="YM3" s="77"/>
      <c r="YN3" s="77"/>
      <c r="YO3" s="77"/>
      <c r="YP3" s="77"/>
      <c r="YQ3" s="77"/>
      <c r="YR3" s="77"/>
      <c r="YS3" s="77"/>
      <c r="YT3" s="77"/>
      <c r="YU3" s="77"/>
      <c r="YV3" s="77"/>
      <c r="YW3" s="77"/>
      <c r="YX3" s="77"/>
      <c r="YY3" s="77"/>
      <c r="YZ3" s="77"/>
      <c r="ZA3" s="77"/>
      <c r="ZB3" s="77"/>
      <c r="ZC3" s="77"/>
      <c r="ZD3" s="77"/>
      <c r="ZE3" s="77"/>
      <c r="ZF3" s="77"/>
      <c r="ZG3" s="77"/>
      <c r="ZH3" s="77"/>
      <c r="ZI3" s="77"/>
      <c r="ZJ3" s="77"/>
      <c r="ZK3" s="77"/>
      <c r="ZL3" s="77"/>
      <c r="ZM3" s="77"/>
      <c r="ZN3" s="77"/>
      <c r="ZO3" s="77"/>
      <c r="ZP3" s="77"/>
      <c r="ZQ3" s="77"/>
      <c r="ZR3" s="77"/>
      <c r="ZS3" s="77"/>
      <c r="ZT3" s="77"/>
      <c r="ZU3" s="77"/>
      <c r="ZV3" s="77"/>
      <c r="ZW3" s="77"/>
      <c r="ZX3" s="77"/>
      <c r="ZY3" s="77"/>
      <c r="ZZ3" s="77"/>
      <c r="AAA3" s="77"/>
      <c r="AAB3" s="77"/>
      <c r="AAC3" s="77"/>
      <c r="AAD3" s="77"/>
      <c r="AAE3" s="77"/>
      <c r="AAF3" s="77"/>
      <c r="AAG3" s="77"/>
      <c r="AAH3" s="77"/>
      <c r="AAI3" s="77"/>
      <c r="AAJ3" s="77"/>
      <c r="AAK3" s="77"/>
      <c r="AAL3" s="77"/>
      <c r="AAM3" s="77"/>
      <c r="AAN3" s="77"/>
      <c r="AAO3" s="77"/>
      <c r="AAP3" s="77"/>
      <c r="AAQ3" s="77"/>
      <c r="AAR3" s="77"/>
      <c r="AAS3" s="77"/>
      <c r="AAT3" s="77"/>
      <c r="AAU3" s="77"/>
      <c r="AAV3" s="77"/>
      <c r="AAW3" s="77"/>
      <c r="AAX3" s="77"/>
      <c r="AAY3" s="77"/>
      <c r="AAZ3" s="77"/>
      <c r="ABA3" s="77"/>
      <c r="ABB3" s="77"/>
      <c r="ABC3" s="77"/>
      <c r="ABD3" s="77"/>
      <c r="ABE3" s="77"/>
      <c r="ABF3" s="77"/>
      <c r="ABG3" s="77"/>
      <c r="ABH3" s="77"/>
      <c r="ABI3" s="77"/>
      <c r="ABJ3" s="77"/>
      <c r="ABK3" s="77"/>
      <c r="ABL3" s="77"/>
      <c r="ABM3" s="77"/>
      <c r="ABN3" s="77"/>
      <c r="ABO3" s="77"/>
      <c r="ABP3" s="77"/>
      <c r="ABQ3" s="77"/>
      <c r="ABR3" s="77"/>
      <c r="ABS3" s="77"/>
      <c r="ABT3" s="77"/>
      <c r="ABU3" s="77"/>
      <c r="ABV3" s="77"/>
      <c r="ABW3" s="77"/>
      <c r="ABX3" s="77"/>
      <c r="ABY3" s="77"/>
      <c r="ABZ3" s="77"/>
      <c r="ACA3" s="77"/>
      <c r="ACB3" s="77"/>
      <c r="ACC3" s="77"/>
      <c r="ACD3" s="77"/>
      <c r="ACE3" s="77"/>
      <c r="ACF3" s="77"/>
      <c r="ACG3" s="77"/>
      <c r="ACH3" s="77"/>
      <c r="ACI3" s="77"/>
      <c r="ACJ3" s="77"/>
      <c r="ACK3" s="77"/>
      <c r="ACL3" s="77"/>
      <c r="ACM3" s="77"/>
      <c r="ACN3" s="77"/>
      <c r="ACO3" s="77"/>
      <c r="ACP3" s="77"/>
      <c r="ACQ3" s="77"/>
      <c r="ACR3" s="77"/>
      <c r="ACS3" s="77"/>
      <c r="ACT3" s="77"/>
      <c r="ACU3" s="77"/>
      <c r="ACV3" s="77"/>
      <c r="ACW3" s="77"/>
      <c r="ACX3" s="77"/>
      <c r="ACY3" s="77"/>
      <c r="ACZ3" s="77"/>
      <c r="ADA3" s="77"/>
      <c r="ADB3" s="77"/>
      <c r="ADC3" s="77"/>
      <c r="ADD3" s="77"/>
      <c r="ADE3" s="77"/>
      <c r="ADF3" s="77"/>
      <c r="ADG3" s="77"/>
      <c r="ADH3" s="77"/>
      <c r="ADI3" s="77"/>
      <c r="ADJ3" s="77"/>
      <c r="ADK3" s="77"/>
      <c r="ADL3" s="77"/>
      <c r="ADM3" s="77"/>
      <c r="ADN3" s="77"/>
      <c r="ADO3" s="77"/>
      <c r="ADP3" s="77"/>
      <c r="ADQ3" s="77"/>
      <c r="ADR3" s="77"/>
      <c r="ADS3" s="77"/>
      <c r="ADT3" s="77"/>
      <c r="ADU3" s="77"/>
      <c r="ADV3" s="77"/>
      <c r="ADW3" s="77"/>
      <c r="ADX3" s="77"/>
      <c r="ADY3" s="77"/>
      <c r="ADZ3" s="77"/>
      <c r="AEA3" s="77"/>
      <c r="AEB3" s="77"/>
      <c r="AEC3" s="77"/>
      <c r="AED3" s="77"/>
      <c r="AEE3" s="77"/>
      <c r="AEF3" s="77"/>
      <c r="AEG3" s="77"/>
      <c r="AEH3" s="77"/>
      <c r="AEI3" s="77"/>
      <c r="AEJ3" s="77"/>
      <c r="AEK3" s="77"/>
      <c r="AEL3" s="77"/>
      <c r="AEM3" s="77"/>
      <c r="AEN3" s="77"/>
      <c r="AEO3" s="77"/>
      <c r="AEP3" s="77"/>
      <c r="AEQ3" s="77"/>
      <c r="AER3" s="77"/>
      <c r="AES3" s="77"/>
      <c r="AET3" s="77"/>
      <c r="AEU3" s="77"/>
      <c r="AEV3" s="77"/>
      <c r="AEW3" s="77"/>
      <c r="AEX3" s="77"/>
      <c r="AEY3" s="77"/>
      <c r="AEZ3" s="77"/>
      <c r="AFA3" s="77"/>
      <c r="AFB3" s="77"/>
      <c r="AFC3" s="77"/>
      <c r="AFD3" s="77"/>
      <c r="AFE3" s="77"/>
      <c r="AFF3" s="77"/>
      <c r="AFG3" s="77"/>
      <c r="AFH3" s="77"/>
      <c r="AFI3" s="77"/>
      <c r="AFJ3" s="77"/>
      <c r="AFK3" s="77"/>
      <c r="AFL3" s="77"/>
      <c r="AFM3" s="77"/>
      <c r="AFN3" s="77"/>
      <c r="AFO3" s="77"/>
      <c r="AFP3" s="77"/>
      <c r="AFQ3" s="77"/>
      <c r="AFR3" s="77"/>
      <c r="AFS3" s="77"/>
      <c r="AFT3" s="77"/>
      <c r="AFU3" s="77"/>
      <c r="AFV3" s="77"/>
      <c r="AFW3" s="77"/>
      <c r="AFX3" s="77"/>
      <c r="AFY3" s="77"/>
      <c r="AFZ3" s="77"/>
      <c r="AGA3" s="77"/>
      <c r="AGB3" s="77"/>
      <c r="AGC3" s="77"/>
      <c r="AGD3" s="77"/>
      <c r="AGE3" s="77"/>
      <c r="AGF3" s="77"/>
      <c r="AGG3" s="77"/>
      <c r="AGH3" s="77"/>
      <c r="AGI3" s="77"/>
      <c r="AGJ3" s="77"/>
      <c r="AGK3" s="77"/>
      <c r="AGL3" s="77"/>
      <c r="AGM3" s="77"/>
      <c r="AGN3" s="77"/>
      <c r="AGO3" s="77"/>
      <c r="AGP3" s="77"/>
      <c r="AGQ3" s="77"/>
      <c r="AGR3" s="77"/>
      <c r="AGS3" s="77"/>
      <c r="AGT3" s="77"/>
      <c r="AGU3" s="77"/>
      <c r="AGV3" s="77"/>
      <c r="AGW3" s="77"/>
      <c r="AGX3" s="77"/>
      <c r="AGY3" s="77"/>
      <c r="AGZ3" s="77"/>
      <c r="AHA3" s="77"/>
      <c r="AHB3" s="77"/>
      <c r="AHC3" s="77"/>
      <c r="AHD3" s="77"/>
      <c r="AHE3" s="77"/>
      <c r="AHF3" s="77"/>
      <c r="AHG3" s="77"/>
      <c r="AHH3" s="77"/>
      <c r="AHI3" s="77"/>
      <c r="AHJ3" s="77"/>
      <c r="AHK3" s="77"/>
      <c r="AHL3" s="77"/>
      <c r="AHM3" s="77"/>
      <c r="AHN3" s="77"/>
      <c r="AHO3" s="77"/>
      <c r="AHP3" s="77"/>
      <c r="AHQ3" s="77"/>
      <c r="AHR3" s="77"/>
      <c r="AHS3" s="77"/>
      <c r="AHT3" s="77"/>
      <c r="AHU3" s="77"/>
      <c r="AHV3" s="77"/>
      <c r="AHW3" s="77"/>
      <c r="AHX3" s="77"/>
      <c r="AHY3" s="77"/>
      <c r="AHZ3" s="77"/>
      <c r="AIA3" s="77"/>
      <c r="AIB3" s="77"/>
      <c r="AIC3" s="77"/>
      <c r="AID3" s="77"/>
      <c r="AIE3" s="77"/>
      <c r="AIF3" s="77"/>
      <c r="AIG3" s="77"/>
      <c r="AIH3" s="77"/>
      <c r="AII3" s="77"/>
      <c r="AIJ3" s="77"/>
      <c r="AIK3" s="77"/>
      <c r="AIL3" s="77"/>
      <c r="AIM3" s="77"/>
      <c r="AIN3" s="77"/>
      <c r="AIO3" s="77"/>
      <c r="AIP3" s="77"/>
      <c r="AIQ3" s="77"/>
      <c r="AIR3" s="77"/>
      <c r="AIS3" s="77"/>
      <c r="AIT3" s="77"/>
      <c r="AIU3" s="77"/>
      <c r="AIV3" s="77"/>
      <c r="AIW3" s="77"/>
      <c r="AIX3" s="77"/>
      <c r="AIY3" s="77"/>
      <c r="AIZ3" s="77"/>
      <c r="AJA3" s="77"/>
      <c r="AJB3" s="77"/>
      <c r="AJC3" s="77"/>
      <c r="AJD3" s="77"/>
      <c r="AJE3" s="77"/>
      <c r="AJF3" s="77"/>
      <c r="AJG3" s="77"/>
      <c r="AJH3" s="77"/>
      <c r="AJI3" s="77"/>
      <c r="AJJ3" s="77"/>
      <c r="AJK3" s="77"/>
      <c r="AJL3" s="77"/>
      <c r="AJM3" s="77"/>
      <c r="AJN3" s="77"/>
      <c r="AJO3" s="77"/>
      <c r="AJP3" s="77"/>
      <c r="AJQ3" s="77"/>
      <c r="AJR3" s="77"/>
      <c r="AJS3" s="77"/>
      <c r="AJT3" s="77"/>
      <c r="AJU3" s="77"/>
      <c r="AJV3" s="77"/>
      <c r="AJW3" s="77"/>
      <c r="AJX3" s="77"/>
      <c r="AJY3" s="77"/>
      <c r="AJZ3" s="77"/>
      <c r="AKA3" s="77"/>
      <c r="AKB3" s="77"/>
      <c r="AKC3" s="77"/>
      <c r="AKD3" s="77"/>
      <c r="AKE3" s="77"/>
      <c r="AKF3" s="77"/>
      <c r="AKG3" s="77"/>
      <c r="AKH3" s="77"/>
      <c r="AKI3" s="77"/>
      <c r="AKJ3" s="77"/>
      <c r="AKK3" s="77"/>
      <c r="AKL3" s="77"/>
      <c r="AKM3" s="77"/>
      <c r="AKN3" s="77"/>
      <c r="AKO3" s="77"/>
      <c r="AKP3" s="77"/>
      <c r="AKQ3" s="77"/>
      <c r="AKR3" s="77"/>
      <c r="AKS3" s="77"/>
      <c r="AKT3" s="77"/>
      <c r="AKU3" s="77"/>
      <c r="AKV3" s="77"/>
      <c r="AKW3" s="77"/>
      <c r="AKX3" s="77"/>
      <c r="AKY3" s="77"/>
      <c r="AKZ3" s="77"/>
      <c r="ALA3" s="77"/>
      <c r="ALB3" s="77"/>
      <c r="ALC3" s="77"/>
      <c r="ALD3" s="77"/>
      <c r="ALE3" s="77"/>
      <c r="ALF3" s="77"/>
      <c r="ALG3" s="77"/>
      <c r="ALH3" s="77"/>
      <c r="ALI3" s="77"/>
      <c r="ALJ3" s="77"/>
      <c r="ALK3" s="77"/>
      <c r="ALL3" s="77"/>
      <c r="ALM3" s="77"/>
      <c r="ALN3" s="77"/>
      <c r="ALO3" s="77"/>
      <c r="ALP3" s="77"/>
      <c r="ALQ3" s="77"/>
      <c r="ALR3" s="77"/>
      <c r="ALS3" s="77"/>
      <c r="ALT3" s="77"/>
      <c r="ALU3" s="77"/>
      <c r="ALV3" s="77"/>
      <c r="ALW3" s="77"/>
      <c r="ALX3" s="77"/>
      <c r="ALY3" s="77"/>
      <c r="ALZ3" s="77"/>
      <c r="AMA3" s="77"/>
      <c r="AMB3" s="77"/>
      <c r="AMC3" s="77"/>
      <c r="AMD3" s="77"/>
      <c r="AME3" s="77"/>
      <c r="AMF3" s="77"/>
      <c r="AMG3" s="77"/>
      <c r="AMH3" s="77"/>
      <c r="AMI3" s="77"/>
      <c r="AMJ3" s="77"/>
      <c r="AMK3" s="77"/>
      <c r="AML3" s="77"/>
      <c r="AMM3" s="77"/>
      <c r="AMN3" s="77"/>
      <c r="AMO3" s="77"/>
      <c r="AMP3" s="77"/>
      <c r="AMQ3" s="77"/>
      <c r="AMR3" s="77"/>
      <c r="AMS3" s="77"/>
      <c r="AMT3" s="77"/>
      <c r="AMU3" s="77"/>
      <c r="AMV3" s="77"/>
      <c r="AMW3" s="77"/>
      <c r="AMX3" s="77"/>
      <c r="AMY3" s="77"/>
      <c r="AMZ3" s="77"/>
      <c r="ANA3" s="77"/>
      <c r="ANB3" s="77"/>
      <c r="ANC3" s="77"/>
      <c r="AND3" s="77"/>
      <c r="ANE3" s="77"/>
      <c r="ANF3" s="77"/>
      <c r="ANG3" s="77"/>
      <c r="ANH3" s="77"/>
      <c r="ANI3" s="77"/>
      <c r="ANJ3" s="77"/>
      <c r="ANK3" s="77"/>
      <c r="ANL3" s="77"/>
      <c r="ANM3" s="77"/>
      <c r="ANN3" s="77"/>
      <c r="ANO3" s="77"/>
      <c r="ANP3" s="77"/>
      <c r="ANQ3" s="77"/>
      <c r="ANR3" s="77"/>
      <c r="ANS3" s="77"/>
    </row>
    <row r="4" spans="1:1059" s="74" customFormat="1" ht="147.75" customHeight="1" thickTop="1" thickBot="1">
      <c r="A4" s="59" t="s">
        <v>681</v>
      </c>
      <c r="B4" s="59" t="s">
        <v>678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  <c r="EY4" s="77"/>
      <c r="EZ4" s="77"/>
      <c r="FA4" s="77"/>
      <c r="FB4" s="77"/>
      <c r="FC4" s="77"/>
      <c r="FD4" s="77"/>
      <c r="FE4" s="77"/>
      <c r="FF4" s="77"/>
      <c r="FG4" s="77"/>
      <c r="FH4" s="77"/>
      <c r="FI4" s="77"/>
      <c r="FJ4" s="77"/>
      <c r="FK4" s="77"/>
      <c r="FL4" s="77"/>
      <c r="FM4" s="77"/>
      <c r="FN4" s="77"/>
      <c r="FO4" s="77"/>
      <c r="FP4" s="77"/>
      <c r="FQ4" s="77"/>
      <c r="FR4" s="77"/>
      <c r="FS4" s="77"/>
      <c r="FT4" s="77"/>
      <c r="FU4" s="77"/>
      <c r="FV4" s="77"/>
      <c r="FW4" s="77"/>
      <c r="FX4" s="77"/>
      <c r="FY4" s="77"/>
      <c r="FZ4" s="77"/>
      <c r="GA4" s="77"/>
      <c r="GB4" s="77"/>
      <c r="GC4" s="77"/>
      <c r="GD4" s="77"/>
      <c r="GE4" s="77"/>
      <c r="GF4" s="77"/>
      <c r="GG4" s="77"/>
      <c r="GH4" s="77"/>
      <c r="GI4" s="77"/>
      <c r="GJ4" s="77"/>
      <c r="GK4" s="77"/>
      <c r="GL4" s="77"/>
      <c r="GM4" s="77"/>
      <c r="GN4" s="77"/>
      <c r="GO4" s="77"/>
      <c r="GP4" s="77"/>
      <c r="GQ4" s="77"/>
      <c r="GR4" s="77"/>
      <c r="GS4" s="77"/>
      <c r="GT4" s="77"/>
      <c r="GU4" s="77"/>
      <c r="GV4" s="77"/>
      <c r="GW4" s="77"/>
      <c r="GX4" s="77"/>
      <c r="GY4" s="77"/>
      <c r="GZ4" s="77"/>
      <c r="HA4" s="77"/>
      <c r="HB4" s="77"/>
      <c r="HC4" s="77"/>
      <c r="HD4" s="77"/>
      <c r="HE4" s="77"/>
      <c r="HF4" s="77"/>
      <c r="HG4" s="77"/>
      <c r="HH4" s="77"/>
      <c r="HI4" s="77"/>
      <c r="HJ4" s="77"/>
      <c r="HK4" s="77"/>
      <c r="HL4" s="77"/>
      <c r="HM4" s="77"/>
      <c r="HN4" s="77"/>
      <c r="HO4" s="77"/>
      <c r="HP4" s="77"/>
      <c r="HQ4" s="77"/>
      <c r="HR4" s="77"/>
      <c r="HS4" s="77"/>
      <c r="HT4" s="77"/>
      <c r="HU4" s="77"/>
      <c r="HV4" s="77"/>
      <c r="HW4" s="77"/>
      <c r="HX4" s="77"/>
      <c r="HY4" s="77"/>
      <c r="HZ4" s="77"/>
      <c r="IA4" s="77"/>
      <c r="IB4" s="77"/>
      <c r="IC4" s="77"/>
      <c r="ID4" s="77"/>
      <c r="IE4" s="77"/>
      <c r="IF4" s="77"/>
      <c r="IG4" s="77"/>
      <c r="IH4" s="77"/>
      <c r="II4" s="77"/>
      <c r="IJ4" s="77"/>
      <c r="IK4" s="77"/>
      <c r="IL4" s="77"/>
      <c r="IM4" s="77"/>
      <c r="IN4" s="77"/>
      <c r="IO4" s="77"/>
      <c r="IP4" s="77"/>
      <c r="IQ4" s="77"/>
      <c r="IR4" s="77"/>
      <c r="IS4" s="77"/>
      <c r="IT4" s="77"/>
      <c r="IU4" s="77"/>
      <c r="IV4" s="77"/>
      <c r="IW4" s="77"/>
      <c r="IX4" s="77"/>
      <c r="IY4" s="77"/>
      <c r="IZ4" s="77"/>
      <c r="JA4" s="77"/>
      <c r="JB4" s="77"/>
      <c r="JC4" s="77"/>
      <c r="JD4" s="77"/>
      <c r="JE4" s="77"/>
      <c r="JF4" s="77"/>
      <c r="JG4" s="77"/>
      <c r="JH4" s="77"/>
      <c r="JI4" s="77"/>
      <c r="JJ4" s="77"/>
      <c r="JK4" s="77"/>
      <c r="JL4" s="77"/>
      <c r="JM4" s="77"/>
      <c r="JN4" s="77"/>
      <c r="JO4" s="77"/>
      <c r="JP4" s="77"/>
      <c r="JQ4" s="77"/>
      <c r="JR4" s="77"/>
      <c r="JS4" s="77"/>
      <c r="JT4" s="77"/>
      <c r="JU4" s="77"/>
      <c r="JV4" s="77"/>
      <c r="JW4" s="77"/>
      <c r="JX4" s="77"/>
      <c r="JY4" s="77"/>
      <c r="JZ4" s="77"/>
      <c r="KA4" s="77"/>
      <c r="KB4" s="77"/>
      <c r="KC4" s="77"/>
      <c r="KD4" s="77"/>
      <c r="KE4" s="77"/>
      <c r="KF4" s="77"/>
      <c r="KG4" s="77"/>
      <c r="KH4" s="77"/>
      <c r="KI4" s="77"/>
      <c r="KJ4" s="77"/>
      <c r="KK4" s="77"/>
      <c r="KL4" s="77"/>
      <c r="KM4" s="77"/>
      <c r="KN4" s="77"/>
      <c r="KO4" s="77"/>
      <c r="KP4" s="77"/>
      <c r="KQ4" s="77"/>
      <c r="KR4" s="77"/>
      <c r="KS4" s="77"/>
      <c r="KT4" s="77"/>
      <c r="KU4" s="77"/>
      <c r="KV4" s="77"/>
      <c r="KW4" s="77"/>
      <c r="KX4" s="77"/>
      <c r="KY4" s="77"/>
      <c r="KZ4" s="77"/>
      <c r="LA4" s="77"/>
      <c r="LB4" s="77"/>
      <c r="LC4" s="77"/>
      <c r="LD4" s="77"/>
      <c r="LE4" s="77"/>
      <c r="LF4" s="77"/>
      <c r="LG4" s="77"/>
      <c r="LH4" s="77"/>
      <c r="LI4" s="77"/>
      <c r="LJ4" s="77"/>
      <c r="LK4" s="77"/>
      <c r="LL4" s="77"/>
      <c r="LM4" s="77"/>
      <c r="LN4" s="77"/>
      <c r="LO4" s="77"/>
      <c r="LP4" s="77"/>
      <c r="LQ4" s="77"/>
      <c r="LR4" s="77"/>
      <c r="LS4" s="77"/>
      <c r="LT4" s="77"/>
      <c r="LU4" s="77"/>
      <c r="LV4" s="77"/>
      <c r="LW4" s="77"/>
      <c r="LX4" s="77"/>
      <c r="LY4" s="77"/>
      <c r="LZ4" s="77"/>
      <c r="MA4" s="77"/>
      <c r="MB4" s="77"/>
      <c r="MC4" s="77"/>
      <c r="MD4" s="77"/>
      <c r="ME4" s="77"/>
      <c r="MF4" s="77"/>
      <c r="MG4" s="77"/>
      <c r="MH4" s="77"/>
      <c r="MI4" s="77"/>
      <c r="MJ4" s="77"/>
      <c r="MK4" s="77"/>
      <c r="ML4" s="77"/>
      <c r="MM4" s="77"/>
      <c r="MN4" s="77"/>
      <c r="MO4" s="77"/>
      <c r="MP4" s="77"/>
      <c r="MQ4" s="77"/>
      <c r="MR4" s="77"/>
      <c r="MS4" s="77"/>
      <c r="MT4" s="77"/>
      <c r="MU4" s="77"/>
      <c r="MV4" s="77"/>
      <c r="MW4" s="77"/>
      <c r="MX4" s="77"/>
      <c r="MY4" s="77"/>
      <c r="MZ4" s="77"/>
      <c r="NA4" s="77"/>
      <c r="NB4" s="77"/>
      <c r="NC4" s="77"/>
      <c r="ND4" s="77"/>
      <c r="NE4" s="77"/>
      <c r="NF4" s="77"/>
      <c r="NG4" s="77"/>
      <c r="NH4" s="77"/>
      <c r="NI4" s="77"/>
      <c r="NJ4" s="77"/>
      <c r="NK4" s="77"/>
      <c r="NL4" s="77"/>
      <c r="NM4" s="77"/>
      <c r="NN4" s="77"/>
      <c r="NO4" s="77"/>
      <c r="NP4" s="77"/>
      <c r="NQ4" s="77"/>
      <c r="NR4" s="77"/>
      <c r="NS4" s="77"/>
      <c r="NT4" s="77"/>
      <c r="NU4" s="77"/>
      <c r="NV4" s="77"/>
      <c r="NW4" s="77"/>
      <c r="NX4" s="77"/>
      <c r="NY4" s="77"/>
      <c r="NZ4" s="77"/>
      <c r="OA4" s="77"/>
      <c r="OB4" s="77"/>
      <c r="OC4" s="77"/>
      <c r="OD4" s="77"/>
      <c r="OE4" s="77"/>
      <c r="OF4" s="77"/>
      <c r="OG4" s="77"/>
      <c r="OH4" s="77"/>
      <c r="OI4" s="77"/>
      <c r="OJ4" s="77"/>
      <c r="OK4" s="77"/>
      <c r="OL4" s="77"/>
      <c r="OM4" s="77"/>
      <c r="ON4" s="77"/>
      <c r="OO4" s="77"/>
      <c r="OP4" s="77"/>
      <c r="OQ4" s="77"/>
      <c r="OR4" s="77"/>
      <c r="OS4" s="77"/>
      <c r="OT4" s="77"/>
      <c r="OU4" s="77"/>
      <c r="OV4" s="77"/>
      <c r="OW4" s="77"/>
      <c r="OX4" s="77"/>
      <c r="OY4" s="77"/>
      <c r="OZ4" s="77"/>
      <c r="PA4" s="77"/>
      <c r="PB4" s="77"/>
      <c r="PC4" s="77"/>
      <c r="PD4" s="77"/>
      <c r="PE4" s="77"/>
      <c r="PF4" s="77"/>
      <c r="PG4" s="77"/>
      <c r="PH4" s="77"/>
      <c r="PI4" s="77"/>
      <c r="PJ4" s="77"/>
      <c r="PK4" s="77"/>
      <c r="PL4" s="77"/>
      <c r="PM4" s="77"/>
      <c r="PN4" s="77"/>
      <c r="PO4" s="77"/>
      <c r="PP4" s="77"/>
      <c r="PQ4" s="77"/>
      <c r="PR4" s="77"/>
      <c r="PS4" s="77"/>
      <c r="PT4" s="77"/>
      <c r="PU4" s="77"/>
      <c r="PV4" s="77"/>
      <c r="PW4" s="77"/>
      <c r="PX4" s="77"/>
      <c r="PY4" s="77"/>
      <c r="PZ4" s="77"/>
      <c r="QA4" s="77"/>
      <c r="QB4" s="77"/>
      <c r="QC4" s="77"/>
      <c r="QD4" s="77"/>
      <c r="QE4" s="77"/>
      <c r="QF4" s="77"/>
      <c r="QG4" s="77"/>
      <c r="QH4" s="77"/>
      <c r="QI4" s="77"/>
      <c r="QJ4" s="77"/>
      <c r="QK4" s="77"/>
      <c r="QL4" s="77"/>
      <c r="QM4" s="77"/>
      <c r="QN4" s="77"/>
      <c r="QO4" s="77"/>
      <c r="QP4" s="77"/>
      <c r="QQ4" s="77"/>
      <c r="QR4" s="77"/>
      <c r="QS4" s="77"/>
      <c r="QT4" s="77"/>
      <c r="QU4" s="77"/>
      <c r="QV4" s="77"/>
      <c r="QW4" s="77"/>
      <c r="QX4" s="77"/>
      <c r="QY4" s="77"/>
      <c r="QZ4" s="77"/>
      <c r="RA4" s="77"/>
      <c r="RB4" s="77"/>
      <c r="RC4" s="77"/>
      <c r="RD4" s="77"/>
      <c r="RE4" s="77"/>
      <c r="RF4" s="77"/>
      <c r="RG4" s="77"/>
      <c r="RH4" s="77"/>
      <c r="RI4" s="77"/>
      <c r="RJ4" s="77"/>
      <c r="RK4" s="77"/>
      <c r="RL4" s="77"/>
      <c r="RM4" s="77"/>
      <c r="RN4" s="77"/>
      <c r="RO4" s="77"/>
      <c r="RP4" s="77"/>
      <c r="RQ4" s="77"/>
      <c r="RR4" s="77"/>
      <c r="RS4" s="77"/>
      <c r="RT4" s="77"/>
      <c r="RU4" s="77"/>
      <c r="RV4" s="77"/>
      <c r="RW4" s="77"/>
      <c r="RX4" s="77"/>
      <c r="RY4" s="77"/>
      <c r="RZ4" s="77"/>
      <c r="SA4" s="77"/>
      <c r="SB4" s="77"/>
      <c r="SC4" s="77"/>
      <c r="SD4" s="77"/>
      <c r="SE4" s="77"/>
      <c r="SF4" s="77"/>
      <c r="SG4" s="77"/>
      <c r="SH4" s="77"/>
      <c r="SI4" s="77"/>
      <c r="SJ4" s="77"/>
      <c r="SK4" s="77"/>
      <c r="SL4" s="77"/>
      <c r="SM4" s="77"/>
      <c r="SN4" s="77"/>
      <c r="SO4" s="77"/>
      <c r="SP4" s="77"/>
      <c r="SQ4" s="77"/>
      <c r="SR4" s="77"/>
      <c r="SS4" s="77"/>
      <c r="ST4" s="77"/>
      <c r="SU4" s="77"/>
      <c r="SV4" s="77"/>
      <c r="SW4" s="77"/>
      <c r="SX4" s="77"/>
      <c r="SY4" s="77"/>
      <c r="SZ4" s="77"/>
      <c r="TA4" s="77"/>
      <c r="TB4" s="77"/>
      <c r="TC4" s="664" t="s">
        <v>670</v>
      </c>
      <c r="TD4" s="664"/>
      <c r="TE4" s="664"/>
      <c r="TF4" s="664"/>
      <c r="TG4" s="664"/>
      <c r="TH4" s="664"/>
      <c r="TI4" s="664"/>
      <c r="TJ4" s="664"/>
      <c r="TK4" s="664"/>
      <c r="TL4" s="664"/>
      <c r="TM4" s="664"/>
      <c r="TN4" s="664"/>
      <c r="TO4" s="664"/>
      <c r="TP4" s="664"/>
      <c r="TQ4" s="664"/>
      <c r="TR4" s="664"/>
      <c r="TS4" s="664"/>
      <c r="TT4" s="664"/>
      <c r="TU4" s="664"/>
      <c r="TV4" s="664"/>
      <c r="TW4" s="664"/>
      <c r="TX4" s="664"/>
      <c r="TY4" s="664"/>
      <c r="TZ4" s="664"/>
      <c r="UA4" s="664"/>
      <c r="UB4" s="664"/>
      <c r="UC4" s="664"/>
      <c r="UD4" s="664"/>
      <c r="UE4" s="664"/>
      <c r="UF4" s="664"/>
      <c r="UG4" s="664"/>
      <c r="UH4" s="664"/>
      <c r="UI4" s="664"/>
      <c r="UJ4" s="664"/>
      <c r="UK4" s="664"/>
      <c r="UL4" s="664"/>
      <c r="UM4" s="664"/>
      <c r="UN4" s="664"/>
      <c r="UO4" s="664"/>
      <c r="UP4" s="664"/>
      <c r="UQ4" s="664"/>
      <c r="UR4" s="664"/>
      <c r="US4" s="664"/>
      <c r="UT4" s="664"/>
      <c r="UU4" s="664"/>
      <c r="UV4" s="664"/>
      <c r="UW4" s="664"/>
      <c r="UX4" s="664"/>
      <c r="UY4" s="664"/>
      <c r="UZ4" s="664"/>
      <c r="VA4" s="664"/>
      <c r="VB4" s="664"/>
      <c r="VC4" s="664"/>
      <c r="VD4" s="664"/>
      <c r="VE4" s="664"/>
      <c r="VF4" s="664"/>
      <c r="VG4" s="664"/>
      <c r="VH4" s="664"/>
      <c r="VI4" s="664"/>
      <c r="VJ4" s="664"/>
      <c r="VK4" s="664"/>
      <c r="VL4" s="665"/>
      <c r="VM4" s="665"/>
      <c r="VN4" s="665"/>
      <c r="VO4" s="665"/>
      <c r="VP4" s="665"/>
      <c r="VQ4" s="665"/>
      <c r="VR4" s="665"/>
      <c r="VS4" s="665"/>
      <c r="VT4" s="665"/>
      <c r="VU4" s="665"/>
      <c r="VV4" s="665"/>
      <c r="VW4" s="665"/>
      <c r="VX4" s="665"/>
      <c r="VY4" s="665"/>
      <c r="VZ4" s="665"/>
      <c r="WA4" s="665"/>
      <c r="WB4" s="665"/>
      <c r="WC4" s="665"/>
      <c r="WD4" s="665"/>
      <c r="WE4" s="665"/>
      <c r="WF4" s="665"/>
      <c r="WG4" s="666"/>
      <c r="WH4" s="77"/>
      <c r="WI4" s="77"/>
      <c r="WJ4" s="77"/>
      <c r="WK4" s="77"/>
      <c r="WL4" s="77"/>
      <c r="WM4" s="77"/>
      <c r="WN4" s="77"/>
      <c r="WO4" s="77"/>
      <c r="WP4" s="77"/>
      <c r="WQ4" s="77"/>
      <c r="WR4" s="77"/>
      <c r="WS4" s="77"/>
      <c r="WT4" s="77"/>
      <c r="WU4" s="77"/>
      <c r="WV4" s="77"/>
      <c r="WW4" s="77"/>
      <c r="WX4" s="77"/>
      <c r="WY4" s="77"/>
      <c r="WZ4" s="77"/>
      <c r="XA4" s="77"/>
      <c r="XB4" s="77"/>
      <c r="XC4" s="77"/>
      <c r="XD4" s="77"/>
      <c r="XE4" s="77"/>
      <c r="XF4" s="77"/>
      <c r="XG4" s="77"/>
      <c r="XH4" s="77"/>
      <c r="XI4" s="77"/>
      <c r="XJ4" s="77"/>
      <c r="XK4" s="77"/>
      <c r="XL4" s="77"/>
      <c r="XM4" s="77"/>
      <c r="XN4" s="77"/>
      <c r="XO4" s="77"/>
      <c r="XP4" s="77"/>
      <c r="XQ4" s="77"/>
      <c r="XR4" s="77"/>
      <c r="XS4" s="77"/>
      <c r="XT4" s="77"/>
      <c r="XU4" s="77"/>
      <c r="XV4" s="77"/>
      <c r="XW4" s="77"/>
      <c r="XX4" s="77"/>
      <c r="XY4" s="77"/>
      <c r="XZ4" s="77"/>
      <c r="YA4" s="77"/>
      <c r="YB4" s="77"/>
      <c r="YC4" s="77"/>
      <c r="YD4" s="77"/>
      <c r="YE4" s="77"/>
      <c r="YF4" s="77"/>
      <c r="YG4" s="77"/>
      <c r="YH4" s="77"/>
      <c r="YI4" s="77"/>
      <c r="YJ4" s="77"/>
      <c r="YK4" s="77"/>
      <c r="YL4" s="77"/>
      <c r="YM4" s="77"/>
      <c r="YN4" s="77"/>
      <c r="YO4" s="77"/>
      <c r="YP4" s="77"/>
      <c r="YQ4" s="77"/>
      <c r="YR4" s="77"/>
      <c r="YS4" s="77"/>
      <c r="YT4" s="77"/>
      <c r="YU4" s="77"/>
      <c r="YV4" s="77"/>
      <c r="YW4" s="77"/>
      <c r="YX4" s="77"/>
      <c r="YY4" s="77"/>
      <c r="YZ4" s="77"/>
      <c r="ZA4" s="77"/>
      <c r="ZB4" s="77"/>
      <c r="ZC4" s="77"/>
      <c r="ZD4" s="77"/>
      <c r="ZE4" s="77"/>
      <c r="ZF4" s="77"/>
      <c r="ZG4" s="77"/>
      <c r="ZH4" s="77"/>
      <c r="ZI4" s="77"/>
      <c r="ZJ4" s="77"/>
      <c r="ZK4" s="77"/>
      <c r="ZL4" s="77"/>
      <c r="ZM4" s="77"/>
      <c r="ZN4" s="77"/>
      <c r="ZO4" s="77"/>
      <c r="ZP4" s="77"/>
      <c r="ZQ4" s="77"/>
      <c r="ZR4" s="77"/>
      <c r="ZS4" s="77"/>
      <c r="ZT4" s="77"/>
      <c r="ZU4" s="77"/>
      <c r="ZV4" s="77"/>
      <c r="ZW4" s="77"/>
      <c r="ZX4" s="77"/>
      <c r="ZY4" s="77"/>
      <c r="ZZ4" s="77"/>
      <c r="AAA4" s="77"/>
      <c r="AAB4" s="77"/>
      <c r="AAC4" s="77"/>
      <c r="AAD4" s="667" t="s">
        <v>668</v>
      </c>
      <c r="AAE4" s="668"/>
      <c r="AAF4" s="668"/>
      <c r="AAG4" s="668"/>
      <c r="AAH4" s="668"/>
      <c r="AAI4" s="668"/>
      <c r="AAJ4" s="668"/>
      <c r="AAK4" s="668"/>
      <c r="AAL4" s="668"/>
      <c r="AAM4" s="668"/>
      <c r="AAN4" s="668"/>
      <c r="AAO4" s="668"/>
      <c r="AAP4" s="668"/>
      <c r="AAQ4" s="668"/>
      <c r="AAR4" s="668"/>
      <c r="AAS4" s="668"/>
      <c r="AAT4" s="668"/>
      <c r="AAU4" s="668"/>
      <c r="AAV4" s="668"/>
      <c r="AAW4" s="668"/>
      <c r="AAX4" s="668"/>
      <c r="AAY4" s="668"/>
      <c r="AAZ4" s="668"/>
      <c r="ABA4" s="668"/>
      <c r="ABB4" s="668"/>
      <c r="ABC4" s="668"/>
      <c r="ABD4" s="668"/>
      <c r="ABE4" s="668"/>
      <c r="ABF4" s="668"/>
      <c r="ABG4" s="668"/>
      <c r="ABH4" s="668"/>
      <c r="ABI4" s="668"/>
      <c r="ABJ4" s="668"/>
      <c r="ABK4" s="668"/>
      <c r="ABL4" s="668"/>
      <c r="ABM4" s="668"/>
      <c r="ABN4" s="668"/>
      <c r="ABO4" s="668"/>
      <c r="ABP4" s="668"/>
      <c r="ABQ4" s="668"/>
      <c r="ABR4" s="668"/>
      <c r="ABS4" s="668"/>
      <c r="ABT4" s="668"/>
      <c r="ABU4" s="668"/>
      <c r="ABV4" s="668"/>
      <c r="ABW4" s="668"/>
      <c r="ABX4" s="668"/>
      <c r="ABY4" s="668"/>
      <c r="ABZ4" s="668"/>
      <c r="ACA4" s="668"/>
      <c r="ACB4" s="668"/>
      <c r="ACC4" s="668"/>
      <c r="ACD4" s="668"/>
      <c r="ACE4" s="668"/>
      <c r="ACF4" s="668"/>
      <c r="ACG4" s="668"/>
      <c r="ACH4" s="668"/>
      <c r="ACI4" s="668"/>
      <c r="ACJ4" s="668"/>
      <c r="ACK4" s="668"/>
      <c r="ACL4" s="668"/>
      <c r="ACM4" s="668"/>
      <c r="ACN4" s="668"/>
      <c r="ACO4" s="668"/>
      <c r="ACP4" s="668"/>
      <c r="ACQ4" s="668"/>
      <c r="ACR4" s="668"/>
      <c r="ACS4" s="668"/>
      <c r="ACT4" s="668"/>
      <c r="ACU4" s="668"/>
      <c r="ACV4" s="668"/>
      <c r="ACW4" s="668"/>
      <c r="ACX4" s="668"/>
      <c r="ACY4" s="668"/>
      <c r="ACZ4" s="668"/>
      <c r="ADA4" s="668"/>
      <c r="ADB4" s="668"/>
      <c r="ADC4" s="668"/>
      <c r="ADD4" s="668"/>
      <c r="ADE4" s="668"/>
      <c r="ADF4" s="668"/>
      <c r="ADG4" s="668"/>
      <c r="ADH4" s="668"/>
      <c r="ADI4" s="668"/>
      <c r="ADJ4" s="668"/>
      <c r="ADK4" s="669"/>
      <c r="ADL4" s="669"/>
      <c r="ADM4" s="669"/>
      <c r="ADN4" s="669"/>
      <c r="ADO4" s="669"/>
      <c r="ADP4" s="669"/>
      <c r="ADQ4" s="669"/>
      <c r="ADR4" s="669"/>
      <c r="ADS4" s="669"/>
      <c r="ADT4" s="669"/>
      <c r="ADU4" s="669"/>
      <c r="ADV4" s="669"/>
      <c r="ADW4" s="669"/>
      <c r="ADX4" s="669"/>
      <c r="ADY4" s="669"/>
      <c r="ADZ4" s="669"/>
      <c r="AEA4" s="669"/>
      <c r="AEB4" s="669"/>
      <c r="AEC4" s="669"/>
      <c r="AED4" s="669"/>
      <c r="AEE4" s="669"/>
      <c r="AEF4" s="669"/>
      <c r="AEG4" s="669"/>
      <c r="AEH4" s="669"/>
      <c r="AEI4" s="669"/>
      <c r="AEJ4" s="669"/>
      <c r="AEK4" s="669"/>
      <c r="AEL4" s="669"/>
      <c r="AEM4" s="669"/>
      <c r="AEN4" s="669"/>
      <c r="AEO4" s="669"/>
      <c r="AEP4" s="669"/>
      <c r="AEQ4" s="669"/>
      <c r="AER4" s="669"/>
      <c r="AES4" s="669"/>
      <c r="AET4" s="669"/>
      <c r="AEU4" s="669"/>
      <c r="AEV4" s="669"/>
      <c r="AEW4" s="669"/>
      <c r="AEX4" s="669"/>
      <c r="AEY4" s="669"/>
      <c r="AEZ4" s="669"/>
      <c r="AFA4" s="669"/>
      <c r="AFB4" s="669"/>
      <c r="AFC4" s="669"/>
      <c r="AFD4" s="669"/>
      <c r="AFE4" s="669"/>
      <c r="AFF4" s="669"/>
      <c r="AFG4" s="669"/>
      <c r="AFH4" s="669"/>
      <c r="AFI4" s="669"/>
      <c r="AFJ4" s="669"/>
      <c r="AFK4" s="669"/>
      <c r="AFL4" s="669"/>
      <c r="AFM4" s="669"/>
      <c r="AFN4" s="669"/>
      <c r="AFO4" s="669"/>
      <c r="AFP4" s="669"/>
      <c r="AFQ4" s="669"/>
      <c r="AFR4" s="669"/>
      <c r="AFS4" s="669"/>
      <c r="AFT4" s="668"/>
      <c r="AFU4" s="668"/>
      <c r="AFV4" s="668"/>
      <c r="AFW4" s="670"/>
      <c r="AFX4" s="77"/>
      <c r="AFY4" s="77"/>
      <c r="AFZ4" s="77"/>
      <c r="AGA4" s="77"/>
      <c r="AGB4" s="77"/>
      <c r="AGC4" s="77"/>
      <c r="AGD4" s="77"/>
      <c r="AGE4" s="77"/>
      <c r="AGF4" s="77"/>
      <c r="AGG4" s="77"/>
      <c r="AGH4" s="77"/>
      <c r="AGI4" s="77"/>
      <c r="AGJ4" s="77"/>
      <c r="AGK4" s="77"/>
      <c r="AGL4" s="77"/>
      <c r="AGM4" s="77"/>
      <c r="AGN4" s="77"/>
      <c r="AGO4" s="77"/>
      <c r="AGP4" s="77"/>
      <c r="AGQ4" s="77"/>
      <c r="AGR4" s="77"/>
      <c r="AGS4" s="77"/>
      <c r="AGT4" s="77"/>
      <c r="AGU4" s="77"/>
      <c r="AGV4" s="77"/>
      <c r="AGW4" s="77"/>
      <c r="AGX4" s="77"/>
      <c r="AGY4" s="77"/>
      <c r="AGZ4" s="77"/>
      <c r="AHA4" s="77"/>
      <c r="AHB4" s="77"/>
      <c r="AHC4" s="77"/>
      <c r="AHD4" s="77"/>
      <c r="AHE4" s="77"/>
      <c r="AHF4" s="77"/>
      <c r="AHG4" s="77"/>
      <c r="AHH4" s="77"/>
      <c r="AHI4" s="77"/>
      <c r="AHJ4" s="77"/>
      <c r="AHK4" s="77"/>
      <c r="AHL4" s="77"/>
      <c r="AHM4" s="77"/>
      <c r="AHN4" s="77"/>
      <c r="AHO4" s="77"/>
      <c r="AHP4" s="77"/>
      <c r="AHQ4" s="77"/>
      <c r="AHR4" s="77"/>
      <c r="AHS4" s="77"/>
      <c r="AHT4" s="77"/>
      <c r="AHU4" s="77"/>
      <c r="AHV4" s="77"/>
      <c r="AHW4" s="77"/>
      <c r="AHX4" s="77"/>
      <c r="AHY4" s="77"/>
      <c r="AHZ4" s="77"/>
      <c r="AIA4" s="77"/>
      <c r="AIB4" s="77"/>
      <c r="AIC4" s="77"/>
      <c r="AID4" s="77"/>
      <c r="AIE4" s="77"/>
      <c r="AIF4" s="77"/>
      <c r="AIG4" s="77"/>
      <c r="AIH4" s="77"/>
      <c r="AII4" s="77"/>
      <c r="AIJ4" s="77"/>
      <c r="AIK4" s="77"/>
      <c r="AIL4" s="77"/>
      <c r="AIM4" s="77"/>
      <c r="AIN4" s="77"/>
      <c r="AIO4" s="77"/>
      <c r="AIP4" s="77"/>
      <c r="AIQ4" s="77"/>
      <c r="AIR4" s="77"/>
      <c r="AIS4" s="77"/>
      <c r="AIT4" s="77"/>
      <c r="AIU4" s="77"/>
      <c r="AIV4" s="77"/>
      <c r="AIW4" s="77"/>
      <c r="AIX4" s="77"/>
      <c r="AIY4" s="77"/>
      <c r="AIZ4" s="77"/>
      <c r="AJA4" s="77"/>
      <c r="AJB4" s="77"/>
      <c r="AJC4" s="77"/>
      <c r="AJD4" s="77"/>
      <c r="AJE4" s="77"/>
      <c r="AJF4" s="77"/>
      <c r="AJG4" s="77"/>
      <c r="AJH4" s="77"/>
      <c r="AJI4" s="77"/>
      <c r="AJJ4" s="77"/>
      <c r="AJK4" s="77"/>
      <c r="AJL4" s="77"/>
      <c r="AJM4" s="77"/>
      <c r="AJN4" s="77"/>
      <c r="AJO4" s="77"/>
      <c r="AJP4" s="77"/>
      <c r="AJQ4" s="77"/>
      <c r="AJR4" s="77"/>
      <c r="AJS4" s="77"/>
      <c r="AJT4" s="77"/>
      <c r="AJU4" s="77"/>
      <c r="AJV4" s="77"/>
      <c r="AJW4" s="77"/>
      <c r="AJX4" s="77"/>
      <c r="AJY4" s="77"/>
      <c r="AJZ4" s="77"/>
      <c r="AKA4" s="77"/>
      <c r="AKB4" s="77"/>
      <c r="AKC4" s="77"/>
      <c r="AKD4" s="77"/>
      <c r="AKE4" s="77"/>
      <c r="AKF4" s="77"/>
      <c r="AKG4" s="77"/>
      <c r="AKH4" s="77"/>
      <c r="AKI4" s="77"/>
      <c r="AKJ4" s="77"/>
      <c r="AKK4" s="77"/>
      <c r="AKL4" s="77"/>
      <c r="AKM4" s="77"/>
      <c r="AKN4" s="77"/>
      <c r="AKO4" s="77"/>
      <c r="AKP4" s="77"/>
      <c r="AKQ4" s="77"/>
      <c r="AKR4" s="77"/>
      <c r="AKS4" s="77"/>
      <c r="AKT4" s="77"/>
      <c r="AKU4" s="77"/>
      <c r="AKV4" s="77"/>
      <c r="AKW4" s="77"/>
      <c r="AKX4" s="77"/>
      <c r="AKY4" s="77"/>
      <c r="AKZ4" s="77"/>
      <c r="ALA4" s="77"/>
      <c r="ALB4" s="77"/>
      <c r="ALC4" s="77"/>
      <c r="ALD4" s="77"/>
      <c r="ALE4" s="77"/>
      <c r="ALF4" s="77"/>
      <c r="ALG4" s="77"/>
      <c r="ALH4" s="77"/>
      <c r="ALI4" s="77"/>
      <c r="ALJ4" s="77"/>
      <c r="ALK4" s="77"/>
      <c r="ALL4" s="77"/>
      <c r="ALM4" s="77"/>
      <c r="ALN4" s="77"/>
      <c r="ALO4" s="77"/>
      <c r="ALP4" s="77"/>
      <c r="ALQ4" s="77"/>
      <c r="ALR4" s="77"/>
      <c r="ALS4" s="77"/>
      <c r="ALT4" s="77"/>
      <c r="ALU4" s="77"/>
      <c r="ALV4" s="77"/>
      <c r="ALW4" s="77"/>
      <c r="ALX4" s="77"/>
      <c r="ALY4" s="77"/>
      <c r="ALZ4" s="77"/>
      <c r="AMA4" s="77"/>
      <c r="AMB4" s="77"/>
      <c r="AMC4" s="77"/>
      <c r="AMD4" s="77"/>
      <c r="AME4" s="77"/>
      <c r="AMF4" s="77"/>
      <c r="AMG4" s="77"/>
      <c r="AMH4" s="77"/>
      <c r="AMI4" s="77"/>
      <c r="AMJ4" s="77"/>
      <c r="AMK4" s="77"/>
      <c r="AML4" s="77"/>
      <c r="AMM4" s="77"/>
      <c r="AMN4" s="77"/>
      <c r="AMO4" s="77"/>
      <c r="AMP4" s="77"/>
      <c r="AMQ4" s="77"/>
      <c r="AMR4" s="77"/>
      <c r="AMS4" s="77"/>
      <c r="AMT4" s="77"/>
      <c r="AMU4" s="77"/>
      <c r="AMV4" s="77"/>
      <c r="AMW4" s="77"/>
      <c r="AMX4" s="77"/>
      <c r="AMY4" s="77"/>
      <c r="AMZ4" s="77"/>
      <c r="ANA4" s="77"/>
      <c r="ANB4" s="77"/>
      <c r="ANC4" s="77"/>
      <c r="AND4" s="77"/>
      <c r="ANE4" s="77"/>
      <c r="ANF4" s="77"/>
      <c r="ANG4" s="77"/>
      <c r="ANH4" s="77"/>
      <c r="ANI4" s="77"/>
      <c r="ANJ4" s="77"/>
      <c r="ANK4" s="77"/>
      <c r="ANL4" s="77"/>
      <c r="ANM4" s="77"/>
      <c r="ANN4" s="77"/>
      <c r="ANO4" s="77"/>
      <c r="ANP4" s="77"/>
      <c r="ANQ4" s="77"/>
      <c r="ANR4" s="77"/>
      <c r="ANS4" s="77"/>
    </row>
    <row r="5" spans="1:1059" s="74" customFormat="1" ht="147.75" customHeight="1" thickTop="1" thickBot="1">
      <c r="A5" s="59" t="s">
        <v>612</v>
      </c>
      <c r="B5" s="59" t="s">
        <v>613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671" t="s">
        <v>142</v>
      </c>
      <c r="CD5" s="671"/>
      <c r="CE5" s="671"/>
      <c r="CF5" s="671"/>
      <c r="CG5" s="671"/>
      <c r="CH5" s="671"/>
      <c r="CI5" s="671"/>
      <c r="CJ5" s="671"/>
      <c r="CK5" s="671"/>
      <c r="CL5" s="671"/>
      <c r="CM5" s="671"/>
      <c r="CN5" s="671"/>
      <c r="CO5" s="77"/>
      <c r="CP5" s="77"/>
      <c r="CQ5" s="77"/>
      <c r="CR5" s="672" t="s">
        <v>147</v>
      </c>
      <c r="CS5" s="672"/>
      <c r="CT5" s="672"/>
      <c r="CU5" s="673" t="s">
        <v>487</v>
      </c>
      <c r="CV5" s="673"/>
      <c r="CW5" s="673"/>
      <c r="CX5" s="673"/>
      <c r="CY5" s="673"/>
      <c r="CZ5" s="673"/>
      <c r="DA5" s="673"/>
      <c r="DB5" s="673"/>
      <c r="DC5" s="673"/>
      <c r="DD5" s="673"/>
      <c r="DE5" s="673"/>
      <c r="DF5" s="673"/>
      <c r="DG5" s="673"/>
      <c r="DH5" s="673"/>
      <c r="DI5" s="673"/>
      <c r="DJ5" s="673"/>
      <c r="DK5" s="673"/>
      <c r="DL5" s="673"/>
      <c r="DM5" s="673"/>
      <c r="DN5" s="673"/>
      <c r="DO5" s="673"/>
      <c r="DP5" s="77"/>
      <c r="DQ5" s="77"/>
      <c r="DR5" s="673" t="s">
        <v>150</v>
      </c>
      <c r="DS5" s="673"/>
      <c r="DT5" s="673"/>
      <c r="DU5" s="673"/>
      <c r="DV5" s="673"/>
      <c r="DW5" s="673"/>
      <c r="DX5" s="673"/>
      <c r="DY5" s="673"/>
      <c r="DZ5" s="673"/>
      <c r="EA5" s="673"/>
      <c r="EB5" s="673"/>
      <c r="EC5" s="673"/>
      <c r="ED5" s="77"/>
      <c r="EE5" s="77"/>
      <c r="EF5" s="674" t="s">
        <v>154</v>
      </c>
      <c r="EG5" s="674"/>
      <c r="EH5" s="674"/>
      <c r="EI5" s="77"/>
      <c r="EJ5" s="77"/>
      <c r="EK5" s="77"/>
      <c r="EL5" s="77"/>
      <c r="EM5" s="77"/>
      <c r="EN5" s="77"/>
      <c r="EO5" s="77"/>
      <c r="EP5" s="77"/>
      <c r="EQ5" s="77"/>
      <c r="ER5" s="77"/>
      <c r="ES5" s="77"/>
      <c r="ET5" s="77"/>
      <c r="EU5" s="77"/>
      <c r="EV5" s="77"/>
      <c r="EW5" s="77"/>
      <c r="EX5" s="77"/>
      <c r="EY5" s="77"/>
      <c r="EZ5" s="77"/>
      <c r="FA5" s="77"/>
      <c r="FB5" s="77"/>
      <c r="FC5" s="77"/>
      <c r="FD5" s="77"/>
      <c r="FE5" s="77"/>
      <c r="FF5" s="77"/>
      <c r="FG5" s="77"/>
      <c r="FH5" s="77"/>
      <c r="FI5" s="77"/>
      <c r="FJ5" s="77"/>
      <c r="FK5" s="77"/>
      <c r="FL5" s="77"/>
      <c r="FM5" s="77"/>
      <c r="FN5" s="77"/>
      <c r="FO5" s="77"/>
      <c r="FP5" s="77"/>
      <c r="FQ5" s="77"/>
      <c r="FR5" s="77"/>
      <c r="FS5" s="77"/>
      <c r="FT5" s="77"/>
      <c r="FU5" s="77"/>
      <c r="FV5" s="77"/>
      <c r="FW5" s="77"/>
      <c r="FX5" s="77"/>
      <c r="FY5" s="77"/>
      <c r="FZ5" s="77"/>
      <c r="GA5" s="77"/>
      <c r="GB5" s="77"/>
      <c r="GC5" s="77"/>
      <c r="GD5" s="77"/>
      <c r="GE5" s="77"/>
      <c r="GF5" s="77"/>
      <c r="GG5" s="77"/>
      <c r="GH5" s="77"/>
      <c r="GI5" s="77"/>
      <c r="GJ5" s="77"/>
      <c r="GK5" s="77"/>
      <c r="GL5" s="77"/>
      <c r="GM5" s="77"/>
      <c r="GN5" s="77"/>
      <c r="GO5" s="77"/>
      <c r="GP5" s="77"/>
      <c r="GQ5" s="77"/>
      <c r="GR5" s="77"/>
      <c r="GS5" s="77"/>
      <c r="GT5" s="77"/>
      <c r="GU5" s="77"/>
      <c r="GV5" s="77"/>
      <c r="GW5" s="77"/>
      <c r="GX5" s="77"/>
      <c r="GY5" s="77"/>
      <c r="GZ5" s="77"/>
      <c r="HA5" s="77"/>
      <c r="HB5" s="77"/>
      <c r="HC5" s="77"/>
      <c r="HD5" s="77"/>
      <c r="HE5" s="77"/>
      <c r="HF5" s="77"/>
      <c r="HG5" s="77"/>
      <c r="HH5" s="77"/>
      <c r="HI5" s="77"/>
      <c r="HJ5" s="77"/>
      <c r="HK5" s="77"/>
      <c r="HL5" s="77"/>
      <c r="HM5" s="77"/>
      <c r="HN5" s="77"/>
      <c r="HO5" s="77"/>
      <c r="HP5" s="77"/>
      <c r="HQ5" s="77"/>
      <c r="HR5" s="77"/>
      <c r="HS5" s="77"/>
      <c r="HT5" s="77"/>
      <c r="HU5" s="77"/>
      <c r="HV5" s="77"/>
      <c r="HW5" s="77"/>
      <c r="HX5" s="77"/>
      <c r="HY5" s="77"/>
      <c r="HZ5" s="77"/>
      <c r="IA5" s="77"/>
      <c r="IB5" s="77"/>
      <c r="IC5" s="77"/>
      <c r="ID5" s="77"/>
      <c r="IE5" s="77"/>
      <c r="IF5" s="77"/>
      <c r="IG5" s="77"/>
      <c r="IH5" s="77"/>
      <c r="II5" s="77"/>
      <c r="IJ5" s="77"/>
      <c r="IK5" s="77"/>
      <c r="IL5" s="77"/>
      <c r="IM5" s="77"/>
      <c r="IN5" s="77"/>
      <c r="IO5" s="77"/>
      <c r="IP5" s="77"/>
      <c r="IQ5" s="77"/>
      <c r="IR5" s="77"/>
      <c r="IS5" s="77"/>
      <c r="IT5" s="77"/>
      <c r="IU5" s="77"/>
      <c r="IV5" s="77"/>
      <c r="IW5" s="77"/>
      <c r="IX5" s="77"/>
      <c r="IY5" s="77"/>
      <c r="IZ5" s="77"/>
      <c r="JA5" s="77"/>
      <c r="JB5" s="77"/>
      <c r="JC5" s="77"/>
      <c r="JD5" s="77"/>
      <c r="JE5" s="77"/>
      <c r="JF5" s="77"/>
      <c r="JG5" s="77"/>
      <c r="JH5" s="77"/>
      <c r="JI5" s="77"/>
      <c r="JJ5" s="77"/>
      <c r="JK5" s="77"/>
      <c r="JL5" s="77"/>
      <c r="JM5" s="77"/>
      <c r="JN5" s="77"/>
      <c r="JO5" s="77"/>
      <c r="JP5" s="77"/>
      <c r="JQ5" s="77"/>
      <c r="JR5" s="77"/>
      <c r="JS5" s="77"/>
      <c r="JT5" s="77"/>
      <c r="JU5" s="77"/>
      <c r="JV5" s="77"/>
      <c r="JW5" s="77"/>
      <c r="JX5" s="77"/>
      <c r="JY5" s="77"/>
      <c r="JZ5" s="77"/>
      <c r="KA5" s="77"/>
      <c r="KB5" s="77"/>
      <c r="KC5" s="77"/>
      <c r="KD5" s="77"/>
      <c r="KE5" s="77"/>
      <c r="KF5" s="77"/>
      <c r="KG5" s="77"/>
      <c r="KH5" s="77"/>
      <c r="KI5" s="77"/>
      <c r="KJ5" s="77"/>
      <c r="KK5" s="77"/>
      <c r="KL5" s="77"/>
      <c r="KM5" s="77"/>
      <c r="KN5" s="77"/>
      <c r="KO5" s="77"/>
      <c r="KP5" s="77"/>
      <c r="KQ5" s="77"/>
      <c r="KR5" s="77"/>
      <c r="KS5" s="77"/>
      <c r="KT5" s="77"/>
      <c r="KU5" s="77"/>
      <c r="KV5" s="77"/>
      <c r="KW5" s="77"/>
      <c r="KX5" s="77"/>
      <c r="KY5" s="77"/>
      <c r="KZ5" s="77"/>
      <c r="LA5" s="77"/>
      <c r="LB5" s="77"/>
      <c r="LC5" s="77"/>
      <c r="LD5" s="77"/>
      <c r="LE5" s="77"/>
      <c r="LF5" s="77"/>
      <c r="LG5" s="77"/>
      <c r="LH5" s="77"/>
      <c r="LI5" s="77"/>
      <c r="LJ5" s="77"/>
      <c r="LK5" s="77"/>
      <c r="LL5" s="77"/>
      <c r="LM5" s="77"/>
      <c r="LN5" s="77"/>
      <c r="LO5" s="77"/>
      <c r="LP5" s="77"/>
      <c r="LQ5" s="77"/>
      <c r="LR5" s="77"/>
      <c r="LS5" s="77"/>
      <c r="LT5" s="77"/>
      <c r="LU5" s="77"/>
      <c r="LV5" s="77"/>
      <c r="LW5" s="77"/>
      <c r="LX5" s="77"/>
      <c r="LY5" s="77"/>
      <c r="LZ5" s="77"/>
      <c r="MA5" s="77"/>
      <c r="MB5" s="77"/>
      <c r="MC5" s="77"/>
      <c r="MD5" s="77"/>
      <c r="ME5" s="77"/>
      <c r="MF5" s="77"/>
      <c r="MG5" s="77"/>
      <c r="MH5" s="77"/>
      <c r="MI5" s="77"/>
      <c r="MJ5" s="77"/>
      <c r="MK5" s="77"/>
      <c r="ML5" s="77"/>
      <c r="MM5" s="77"/>
      <c r="MN5" s="77"/>
      <c r="MO5" s="77"/>
      <c r="MP5" s="77"/>
      <c r="MQ5" s="77"/>
      <c r="MR5" s="77"/>
      <c r="MS5" s="77"/>
      <c r="MT5" s="77"/>
      <c r="MU5" s="77"/>
      <c r="MV5" s="77"/>
      <c r="MW5" s="77"/>
      <c r="MX5" s="77"/>
      <c r="MY5" s="77"/>
      <c r="MZ5" s="77"/>
      <c r="NA5" s="77"/>
      <c r="NB5" s="77"/>
      <c r="NC5" s="77"/>
      <c r="ND5" s="77"/>
      <c r="NE5" s="77"/>
      <c r="NF5" s="77"/>
      <c r="NG5" s="77"/>
      <c r="NH5" s="77"/>
      <c r="NI5" s="77"/>
      <c r="NJ5" s="77"/>
      <c r="NK5" s="77"/>
      <c r="NL5" s="77"/>
      <c r="NM5" s="77"/>
      <c r="NN5" s="77"/>
      <c r="NO5" s="77"/>
      <c r="NP5" s="77"/>
      <c r="NQ5" s="77"/>
      <c r="NR5" s="77"/>
      <c r="NS5" s="77"/>
      <c r="NT5" s="77"/>
      <c r="NU5" s="77"/>
      <c r="NV5" s="77"/>
      <c r="NW5" s="77"/>
      <c r="NX5" s="77"/>
      <c r="NY5" s="77"/>
      <c r="NZ5" s="77"/>
      <c r="OA5" s="77"/>
      <c r="OB5" s="77"/>
      <c r="OC5" s="77"/>
      <c r="OD5" s="77"/>
      <c r="OE5" s="77"/>
      <c r="OF5" s="77"/>
      <c r="OG5" s="77"/>
      <c r="OH5" s="77"/>
      <c r="OI5" s="77"/>
      <c r="OJ5" s="77"/>
      <c r="OK5" s="77"/>
      <c r="OL5" s="77"/>
      <c r="OM5" s="77"/>
      <c r="ON5" s="77"/>
      <c r="OO5" s="77"/>
      <c r="OP5" s="77"/>
      <c r="OQ5" s="77"/>
      <c r="OR5" s="77"/>
      <c r="OS5" s="77"/>
      <c r="OT5" s="77"/>
      <c r="OU5" s="77"/>
      <c r="OV5" s="77"/>
      <c r="OW5" s="77"/>
      <c r="OX5" s="77"/>
      <c r="OY5" s="77"/>
      <c r="OZ5" s="77"/>
      <c r="PA5" s="77"/>
      <c r="PB5" s="77"/>
      <c r="PC5" s="77"/>
      <c r="PD5" s="77"/>
      <c r="PE5" s="77"/>
      <c r="PF5" s="77"/>
      <c r="PG5" s="77"/>
      <c r="PH5" s="77"/>
      <c r="PI5" s="77"/>
      <c r="PJ5" s="77"/>
      <c r="PK5" s="77"/>
      <c r="PL5" s="77"/>
      <c r="PM5" s="77"/>
      <c r="PN5" s="77"/>
      <c r="PO5" s="77"/>
      <c r="PP5" s="77"/>
      <c r="PQ5" s="77"/>
      <c r="PR5" s="77"/>
      <c r="PS5" s="77"/>
      <c r="PT5" s="77"/>
      <c r="PU5" s="77"/>
      <c r="PV5" s="77"/>
      <c r="PW5" s="77"/>
      <c r="PX5" s="77"/>
      <c r="PY5" s="77"/>
      <c r="PZ5" s="77"/>
      <c r="QA5" s="77"/>
      <c r="QB5" s="77"/>
      <c r="QC5" s="77"/>
      <c r="QD5" s="77"/>
      <c r="QE5" s="77"/>
      <c r="QF5" s="77"/>
      <c r="QG5" s="77"/>
      <c r="QH5" s="77"/>
      <c r="QI5" s="77"/>
      <c r="QJ5" s="77"/>
      <c r="QK5" s="77"/>
      <c r="QL5" s="77"/>
      <c r="QM5" s="77"/>
      <c r="QN5" s="77"/>
      <c r="QO5" s="77"/>
      <c r="QP5" s="77"/>
      <c r="QQ5" s="77"/>
      <c r="QR5" s="77"/>
      <c r="QS5" s="77"/>
      <c r="QT5" s="77"/>
      <c r="QU5" s="77"/>
      <c r="QV5" s="77"/>
      <c r="QW5" s="77"/>
      <c r="QX5" s="77"/>
      <c r="QY5" s="77"/>
      <c r="QZ5" s="77"/>
      <c r="RA5" s="77"/>
      <c r="RB5" s="77"/>
      <c r="RC5" s="77"/>
      <c r="RD5" s="77"/>
      <c r="RE5" s="77"/>
      <c r="RF5" s="77"/>
      <c r="RG5" s="77"/>
      <c r="RH5" s="77"/>
      <c r="RI5" s="77"/>
      <c r="RJ5" s="77"/>
      <c r="RK5" s="77"/>
      <c r="RL5" s="77"/>
      <c r="RM5" s="77"/>
      <c r="RN5" s="77"/>
      <c r="RO5" s="77"/>
      <c r="RP5" s="77"/>
      <c r="RQ5" s="77"/>
      <c r="RR5" s="77"/>
      <c r="RS5" s="77"/>
      <c r="RT5" s="77"/>
      <c r="RU5" s="77"/>
      <c r="RV5" s="77"/>
      <c r="RW5" s="77"/>
      <c r="RX5" s="77"/>
      <c r="RY5" s="77"/>
      <c r="RZ5" s="77"/>
      <c r="SA5" s="77"/>
      <c r="SB5" s="77"/>
      <c r="SC5" s="77"/>
      <c r="SD5" s="77"/>
      <c r="SE5" s="77"/>
      <c r="SF5" s="77"/>
      <c r="SG5" s="77"/>
      <c r="SH5" s="77"/>
      <c r="SI5" s="77"/>
      <c r="SJ5" s="77"/>
      <c r="SK5" s="77"/>
      <c r="SL5" s="77"/>
      <c r="SM5" s="77"/>
      <c r="SN5" s="77"/>
      <c r="SO5" s="77"/>
      <c r="SP5" s="77"/>
      <c r="SQ5" s="77"/>
      <c r="SR5" s="77"/>
      <c r="SS5" s="77"/>
      <c r="ST5" s="77"/>
      <c r="SU5" s="77"/>
      <c r="SV5" s="77"/>
      <c r="SW5" s="77"/>
      <c r="SX5" s="77"/>
      <c r="SY5" s="77"/>
      <c r="SZ5" s="77"/>
      <c r="TA5" s="77"/>
      <c r="TB5" s="77"/>
      <c r="TC5" s="77"/>
      <c r="TD5" s="77"/>
      <c r="TE5" s="77"/>
      <c r="TF5" s="77"/>
      <c r="TG5" s="77"/>
      <c r="TH5" s="77"/>
      <c r="TI5" s="77"/>
      <c r="TJ5" s="77"/>
      <c r="TK5" s="77"/>
      <c r="TL5" s="77"/>
      <c r="TM5" s="77"/>
      <c r="TN5" s="77"/>
      <c r="TO5" s="77"/>
      <c r="TP5" s="77"/>
      <c r="TQ5" s="77"/>
      <c r="TR5" s="77"/>
      <c r="TS5" s="77"/>
      <c r="TT5" s="77"/>
      <c r="TU5" s="77"/>
      <c r="TV5" s="77"/>
      <c r="TW5" s="77"/>
      <c r="TX5" s="77"/>
      <c r="TY5" s="77"/>
      <c r="TZ5" s="77"/>
      <c r="UA5" s="77"/>
      <c r="UB5" s="77"/>
      <c r="UC5" s="77"/>
      <c r="UD5" s="77"/>
      <c r="UE5" s="77"/>
      <c r="UF5" s="77"/>
      <c r="UG5" s="77"/>
      <c r="UH5" s="77"/>
      <c r="UI5" s="77"/>
      <c r="UJ5" s="77"/>
      <c r="UK5" s="77"/>
      <c r="UL5" s="77"/>
      <c r="UM5" s="77"/>
      <c r="UN5" s="77"/>
      <c r="UO5" s="77"/>
      <c r="UP5" s="77"/>
      <c r="UQ5" s="77"/>
      <c r="UR5" s="77"/>
      <c r="US5" s="77"/>
      <c r="UT5" s="77"/>
      <c r="UU5" s="77"/>
      <c r="UV5" s="77"/>
      <c r="UW5" s="77"/>
      <c r="UX5" s="77"/>
      <c r="UY5" s="77"/>
      <c r="UZ5" s="77"/>
      <c r="VA5" s="77"/>
      <c r="VB5" s="77"/>
      <c r="VC5" s="77"/>
      <c r="VD5" s="77"/>
      <c r="VE5" s="77"/>
      <c r="VF5" s="77"/>
      <c r="VG5" s="77"/>
      <c r="VH5" s="77"/>
      <c r="VI5" s="77"/>
      <c r="VJ5" s="77"/>
      <c r="VK5" s="77"/>
      <c r="VL5" s="77"/>
      <c r="VM5" s="77"/>
      <c r="VN5" s="77"/>
      <c r="VO5" s="77"/>
      <c r="VP5" s="77"/>
      <c r="VQ5" s="77"/>
      <c r="VR5" s="77"/>
      <c r="VS5" s="77"/>
      <c r="VT5" s="77"/>
      <c r="VU5" s="77"/>
      <c r="VV5" s="77"/>
      <c r="VW5" s="77"/>
      <c r="VX5" s="77"/>
      <c r="VY5" s="77"/>
      <c r="VZ5" s="77"/>
      <c r="WA5" s="77"/>
      <c r="WB5" s="77"/>
      <c r="WC5" s="77"/>
      <c r="WD5" s="77"/>
      <c r="WE5" s="77"/>
      <c r="WF5" s="77"/>
      <c r="WG5" s="77"/>
      <c r="WH5" s="77"/>
      <c r="WI5" s="77"/>
      <c r="WJ5" s="77"/>
      <c r="WK5" s="77"/>
      <c r="WL5" s="77"/>
      <c r="WM5" s="77"/>
      <c r="WN5" s="77"/>
      <c r="WO5" s="77"/>
      <c r="WP5" s="77"/>
      <c r="WQ5" s="77"/>
      <c r="WR5" s="77"/>
      <c r="WS5" s="77"/>
      <c r="WT5" s="77"/>
      <c r="WU5" s="77"/>
      <c r="WV5" s="77"/>
      <c r="WW5" s="77"/>
      <c r="WX5" s="77"/>
      <c r="WY5" s="77"/>
      <c r="WZ5" s="77"/>
      <c r="XA5" s="77"/>
      <c r="XB5" s="77"/>
      <c r="XC5" s="77"/>
      <c r="XD5" s="77"/>
      <c r="XE5" s="77"/>
      <c r="XF5" s="77"/>
      <c r="XG5" s="77"/>
      <c r="XH5" s="77"/>
      <c r="XI5" s="77"/>
      <c r="XJ5" s="77"/>
      <c r="XK5" s="77"/>
      <c r="XL5" s="77"/>
      <c r="XM5" s="77"/>
      <c r="XN5" s="77"/>
      <c r="XO5" s="77"/>
      <c r="XP5" s="77"/>
      <c r="XQ5" s="77"/>
      <c r="XR5" s="77"/>
      <c r="XS5" s="77"/>
      <c r="XT5" s="77"/>
      <c r="XU5" s="77"/>
      <c r="XV5" s="77"/>
      <c r="XW5" s="77"/>
      <c r="XX5" s="77"/>
      <c r="XY5" s="77"/>
      <c r="XZ5" s="77"/>
      <c r="YA5" s="77"/>
      <c r="YB5" s="77"/>
      <c r="YC5" s="77"/>
      <c r="YD5" s="77"/>
      <c r="YE5" s="77"/>
      <c r="YF5" s="77"/>
      <c r="YG5" s="77"/>
      <c r="YH5" s="77"/>
      <c r="YI5" s="77"/>
      <c r="YJ5" s="77"/>
      <c r="YK5" s="77"/>
      <c r="YL5" s="77"/>
      <c r="YM5" s="77"/>
      <c r="YN5" s="77"/>
      <c r="YO5" s="77"/>
      <c r="YP5" s="77"/>
      <c r="YQ5" s="77"/>
      <c r="YR5" s="77"/>
      <c r="YS5" s="77"/>
      <c r="YT5" s="77"/>
      <c r="YU5" s="77"/>
      <c r="YV5" s="77"/>
      <c r="YW5" s="77"/>
      <c r="YX5" s="77"/>
      <c r="YY5" s="77"/>
      <c r="YZ5" s="77"/>
      <c r="ZA5" s="77"/>
      <c r="ZB5" s="77"/>
      <c r="ZC5" s="77"/>
      <c r="ZD5" s="77"/>
      <c r="ZE5" s="77"/>
      <c r="ZF5" s="77"/>
      <c r="ZG5" s="77"/>
      <c r="ZH5" s="77"/>
      <c r="ZI5" s="77"/>
      <c r="ZJ5" s="77"/>
      <c r="ZK5" s="77"/>
      <c r="ZL5" s="77"/>
      <c r="ZM5" s="77"/>
      <c r="ZN5" s="77"/>
      <c r="ZO5" s="77"/>
      <c r="ZP5" s="77"/>
      <c r="ZQ5" s="77"/>
      <c r="ZR5" s="77"/>
      <c r="ZS5" s="77"/>
      <c r="ZT5" s="77"/>
      <c r="ZU5" s="77"/>
      <c r="ZV5" s="77"/>
      <c r="ZW5" s="77"/>
      <c r="ZX5" s="77"/>
      <c r="ZY5" s="77"/>
      <c r="ZZ5" s="77"/>
      <c r="AAA5" s="77"/>
      <c r="AAB5" s="77"/>
      <c r="AAC5" s="77"/>
      <c r="AAD5" s="77"/>
      <c r="AAE5" s="77"/>
      <c r="AAF5" s="77"/>
      <c r="AAG5" s="77"/>
      <c r="AAH5" s="77"/>
      <c r="AAI5" s="77"/>
      <c r="AAJ5" s="77"/>
      <c r="AAK5" s="77"/>
      <c r="AAL5" s="77"/>
      <c r="AAM5" s="77"/>
      <c r="AAN5" s="77"/>
      <c r="AAO5" s="77"/>
      <c r="AAP5" s="77"/>
      <c r="AAQ5" s="77"/>
      <c r="AAR5" s="77"/>
      <c r="AAS5" s="77"/>
      <c r="AAT5" s="77"/>
      <c r="AAU5" s="77"/>
      <c r="AAV5" s="77"/>
      <c r="AAW5" s="77"/>
      <c r="AAX5" s="77"/>
      <c r="AAY5" s="77"/>
      <c r="AAZ5" s="77"/>
      <c r="ABA5" s="77"/>
      <c r="ABB5" s="77"/>
      <c r="ABC5" s="77"/>
      <c r="ABD5" s="77"/>
      <c r="ABE5" s="77"/>
      <c r="ABF5" s="77"/>
      <c r="ABG5" s="77"/>
      <c r="ABH5" s="77"/>
      <c r="ABI5" s="77"/>
      <c r="ABJ5" s="77"/>
      <c r="ABK5" s="77"/>
      <c r="ABL5" s="77"/>
      <c r="ABM5" s="77"/>
      <c r="ABN5" s="77"/>
      <c r="ABO5" s="77"/>
      <c r="ABP5" s="77"/>
      <c r="ABQ5" s="77"/>
      <c r="ABR5" s="77"/>
      <c r="ABS5" s="77"/>
      <c r="ABT5" s="77"/>
      <c r="ABU5" s="77"/>
      <c r="ABV5" s="77"/>
      <c r="ABW5" s="77"/>
      <c r="ABX5" s="77"/>
      <c r="ABY5" s="77"/>
      <c r="ABZ5" s="77"/>
      <c r="ACA5" s="77"/>
      <c r="ACB5" s="77"/>
      <c r="ACC5" s="77"/>
      <c r="ACD5" s="77"/>
      <c r="ACE5" s="77"/>
      <c r="ACF5" s="77"/>
      <c r="ACG5" s="77"/>
      <c r="ACH5" s="77"/>
      <c r="ACI5" s="77"/>
      <c r="ACJ5" s="77"/>
      <c r="ACK5" s="77"/>
      <c r="ACL5" s="77"/>
      <c r="ACM5" s="77"/>
      <c r="ACN5" s="77"/>
      <c r="ACO5" s="77"/>
      <c r="ACP5" s="77"/>
      <c r="ACQ5" s="77"/>
      <c r="ACR5" s="77"/>
      <c r="ACS5" s="77"/>
      <c r="ACT5" s="77"/>
      <c r="ACU5" s="77"/>
      <c r="ACV5" s="77"/>
      <c r="ACW5" s="77"/>
      <c r="ACX5" s="77"/>
      <c r="ACY5" s="77"/>
      <c r="ACZ5" s="77"/>
      <c r="ADA5" s="77"/>
      <c r="ADB5" s="77"/>
      <c r="ADC5" s="77"/>
      <c r="ADD5" s="77"/>
      <c r="ADE5" s="77"/>
      <c r="ADF5" s="77"/>
      <c r="ADG5" s="77"/>
      <c r="ADH5" s="77"/>
      <c r="ADI5" s="77"/>
      <c r="ADJ5" s="77"/>
      <c r="ADK5" s="77"/>
      <c r="ADL5" s="77"/>
      <c r="ADM5" s="77"/>
      <c r="ADN5" s="77"/>
      <c r="ADO5" s="77"/>
      <c r="ADP5" s="77"/>
      <c r="ADQ5" s="77"/>
      <c r="ADR5" s="77"/>
      <c r="ADS5" s="77"/>
      <c r="ADT5" s="77"/>
      <c r="ADU5" s="77"/>
      <c r="ADV5" s="77"/>
      <c r="ADW5" s="77"/>
      <c r="ADX5" s="77"/>
      <c r="ADY5" s="77"/>
      <c r="ADZ5" s="77"/>
      <c r="AEA5" s="77"/>
      <c r="AEB5" s="77"/>
      <c r="AEC5" s="77"/>
      <c r="AED5" s="77"/>
      <c r="AEE5" s="77"/>
      <c r="AEF5" s="77"/>
      <c r="AEG5" s="77"/>
      <c r="AEH5" s="77"/>
      <c r="AEI5" s="77"/>
      <c r="AEJ5" s="77"/>
      <c r="AEK5" s="77"/>
      <c r="AEL5" s="77"/>
      <c r="AEM5" s="77"/>
      <c r="AEN5" s="77"/>
      <c r="AEO5" s="77"/>
      <c r="AEP5" s="77"/>
      <c r="AEQ5" s="77"/>
      <c r="AER5" s="77"/>
      <c r="AES5" s="77"/>
      <c r="AET5" s="77"/>
      <c r="AEU5" s="77"/>
      <c r="AEV5" s="77"/>
      <c r="AEW5" s="77"/>
      <c r="AEX5" s="77"/>
      <c r="AEY5" s="77"/>
      <c r="AEZ5" s="77"/>
      <c r="AFA5" s="77"/>
      <c r="AFB5" s="77"/>
      <c r="AFC5" s="77"/>
      <c r="AFD5" s="77"/>
      <c r="AFE5" s="77"/>
      <c r="AFF5" s="77"/>
      <c r="AFG5" s="77"/>
      <c r="AFH5" s="77"/>
      <c r="AFI5" s="77"/>
      <c r="AFJ5" s="77"/>
      <c r="AFK5" s="77"/>
      <c r="AFL5" s="77"/>
      <c r="AFM5" s="77"/>
      <c r="AFN5" s="77"/>
      <c r="AFO5" s="77"/>
      <c r="AFP5" s="77"/>
      <c r="AFQ5" s="77"/>
      <c r="AFR5" s="77"/>
      <c r="AFS5" s="77"/>
      <c r="AFT5" s="77"/>
      <c r="AFU5" s="77"/>
      <c r="AFV5" s="77"/>
      <c r="AFW5" s="77"/>
      <c r="AFX5" s="77"/>
      <c r="AFY5" s="77"/>
      <c r="AFZ5" s="77"/>
      <c r="AGA5" s="77"/>
      <c r="AGB5" s="77"/>
      <c r="AGC5" s="77"/>
      <c r="AGD5" s="77"/>
      <c r="AGE5" s="77"/>
      <c r="AGF5" s="77"/>
      <c r="AGG5" s="77"/>
      <c r="AGH5" s="77"/>
      <c r="AGI5" s="77"/>
      <c r="AGJ5" s="77"/>
      <c r="AGK5" s="77"/>
      <c r="AGL5" s="77"/>
      <c r="AGM5" s="77"/>
      <c r="AGN5" s="77"/>
      <c r="AGO5" s="77"/>
      <c r="AGP5" s="77"/>
      <c r="AGQ5" s="77"/>
      <c r="AGR5" s="77"/>
      <c r="AGS5" s="77"/>
      <c r="AGT5" s="77"/>
      <c r="AGU5" s="77"/>
      <c r="AGV5" s="77"/>
      <c r="AGW5" s="77"/>
      <c r="AGX5" s="77"/>
      <c r="AGY5" s="77"/>
      <c r="AGZ5" s="77"/>
      <c r="AHA5" s="77"/>
      <c r="AHB5" s="77"/>
      <c r="AHC5" s="77"/>
      <c r="AHD5" s="77"/>
      <c r="AHE5" s="77"/>
      <c r="AHF5" s="77"/>
      <c r="AHG5" s="77"/>
      <c r="AHH5" s="77"/>
      <c r="AHI5" s="77"/>
      <c r="AHJ5" s="77"/>
      <c r="AHK5" s="77"/>
      <c r="AHL5" s="77"/>
      <c r="AHM5" s="77"/>
      <c r="AHN5" s="77"/>
      <c r="AHO5" s="77"/>
      <c r="AHP5" s="77"/>
      <c r="AHQ5" s="77"/>
      <c r="AHR5" s="77"/>
      <c r="AHS5" s="77"/>
      <c r="AHT5" s="77"/>
      <c r="AHU5" s="77"/>
      <c r="AHV5" s="77"/>
      <c r="AHW5" s="77"/>
      <c r="AHX5" s="77"/>
      <c r="AHY5" s="77"/>
      <c r="AHZ5" s="77"/>
      <c r="AIA5" s="77"/>
      <c r="AIB5" s="77"/>
      <c r="AIC5" s="77"/>
      <c r="AID5" s="77"/>
      <c r="AIE5" s="77"/>
      <c r="AIF5" s="77"/>
      <c r="AIG5" s="77"/>
      <c r="AIH5" s="77"/>
      <c r="AII5" s="77"/>
      <c r="AIJ5" s="77"/>
      <c r="AIK5" s="77"/>
      <c r="AIL5" s="77"/>
      <c r="AIM5" s="77"/>
      <c r="AIN5" s="77"/>
      <c r="AIO5" s="77"/>
      <c r="AIP5" s="77"/>
      <c r="AIQ5" s="77"/>
      <c r="AIR5" s="77"/>
      <c r="AIS5" s="77"/>
      <c r="AIT5" s="77"/>
      <c r="AIU5" s="77"/>
      <c r="AIV5" s="77"/>
      <c r="AIW5" s="77"/>
      <c r="AIX5" s="77"/>
      <c r="AIY5" s="77"/>
      <c r="AIZ5" s="77"/>
      <c r="AJA5" s="77"/>
      <c r="AJB5" s="77"/>
      <c r="AJC5" s="77"/>
      <c r="AJD5" s="77"/>
      <c r="AJE5" s="77"/>
      <c r="AJF5" s="77"/>
      <c r="AJG5" s="77"/>
      <c r="AJH5" s="77"/>
      <c r="AJI5" s="77"/>
      <c r="AJJ5" s="77"/>
      <c r="AJK5" s="77"/>
      <c r="AJL5" s="77"/>
      <c r="AJM5" s="77"/>
      <c r="AJN5" s="77"/>
      <c r="AJO5" s="77"/>
      <c r="AJP5" s="77"/>
      <c r="AJQ5" s="77"/>
      <c r="AJR5" s="77"/>
      <c r="AJS5" s="77"/>
      <c r="AJT5" s="77"/>
      <c r="AJU5" s="77"/>
      <c r="AJV5" s="77"/>
      <c r="AJW5" s="77"/>
      <c r="AJX5" s="77"/>
      <c r="AJY5" s="77"/>
      <c r="AJZ5" s="77"/>
      <c r="AKA5" s="77"/>
      <c r="AKB5" s="77"/>
      <c r="AKC5" s="77"/>
      <c r="AKD5" s="77"/>
      <c r="AKE5" s="77"/>
      <c r="AKF5" s="77"/>
      <c r="AKG5" s="77"/>
      <c r="AKH5" s="77"/>
      <c r="AKI5" s="77"/>
      <c r="AKJ5" s="77"/>
      <c r="AKK5" s="77"/>
      <c r="AKL5" s="77"/>
      <c r="AKM5" s="77"/>
      <c r="AKN5" s="77"/>
      <c r="AKO5" s="77"/>
      <c r="AKP5" s="77"/>
      <c r="AKQ5" s="77"/>
      <c r="AKR5" s="77"/>
      <c r="AKS5" s="77"/>
      <c r="AKT5" s="77"/>
      <c r="AKU5" s="77"/>
      <c r="AKV5" s="77"/>
      <c r="AKW5" s="77"/>
      <c r="AKX5" s="77"/>
      <c r="AKY5" s="77"/>
      <c r="AKZ5" s="77"/>
      <c r="ALA5" s="77"/>
      <c r="ALB5" s="77"/>
      <c r="ALC5" s="77"/>
      <c r="ALD5" s="77"/>
      <c r="ALE5" s="77"/>
      <c r="ALF5" s="77"/>
      <c r="ALG5" s="77"/>
      <c r="ALH5" s="77"/>
      <c r="ALI5" s="77"/>
      <c r="ALJ5" s="77"/>
      <c r="ALK5" s="77"/>
      <c r="ALL5" s="77"/>
      <c r="ALM5" s="77"/>
      <c r="ALN5" s="77"/>
      <c r="ALO5" s="77"/>
      <c r="ALP5" s="77"/>
      <c r="ALQ5" s="77"/>
      <c r="ALR5" s="77"/>
      <c r="ALS5" s="77"/>
      <c r="ALT5" s="77"/>
      <c r="ALU5" s="77"/>
      <c r="ALV5" s="77"/>
      <c r="ALW5" s="77"/>
      <c r="ALX5" s="77"/>
      <c r="ALY5" s="77"/>
      <c r="ALZ5" s="77"/>
      <c r="AMA5" s="77"/>
      <c r="AMB5" s="77"/>
      <c r="AMC5" s="77"/>
      <c r="AMD5" s="77"/>
      <c r="AME5" s="77"/>
      <c r="AMF5" s="77"/>
      <c r="AMG5" s="77"/>
      <c r="AMH5" s="77"/>
      <c r="AMI5" s="77"/>
      <c r="AMJ5" s="77"/>
      <c r="AMK5" s="77"/>
      <c r="AML5" s="77"/>
      <c r="AMM5" s="77"/>
      <c r="AMN5" s="77"/>
      <c r="AMO5" s="77"/>
      <c r="AMP5" s="77"/>
      <c r="AMQ5" s="77"/>
      <c r="AMR5" s="77"/>
      <c r="AMS5" s="77"/>
      <c r="AMT5" s="77"/>
      <c r="AMU5" s="77"/>
      <c r="AMV5" s="77"/>
      <c r="AMW5" s="77"/>
      <c r="AMX5" s="77"/>
      <c r="AMY5" s="77"/>
      <c r="AMZ5" s="77"/>
      <c r="ANA5" s="77"/>
      <c r="ANB5" s="77"/>
      <c r="ANC5" s="77"/>
      <c r="AND5" s="77"/>
      <c r="ANE5" s="77"/>
      <c r="ANF5" s="77"/>
      <c r="ANG5" s="77"/>
      <c r="ANH5" s="77"/>
      <c r="ANI5" s="77"/>
      <c r="ANJ5" s="77"/>
      <c r="ANK5" s="77"/>
      <c r="ANL5" s="77"/>
      <c r="ANM5" s="77"/>
      <c r="ANN5" s="77"/>
      <c r="ANO5" s="77"/>
      <c r="ANP5" s="77"/>
      <c r="ANQ5" s="77"/>
      <c r="ANR5" s="77"/>
      <c r="ANS5" s="77"/>
    </row>
    <row r="6" spans="1:1059" s="74" customFormat="1" ht="147.75" customHeight="1" thickTop="1" thickBot="1">
      <c r="A6" s="59" t="s">
        <v>614</v>
      </c>
      <c r="B6" s="59" t="s">
        <v>663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  <c r="DB6" s="77"/>
      <c r="DC6" s="77"/>
      <c r="DD6" s="77"/>
      <c r="DE6" s="77"/>
      <c r="DF6" s="77"/>
      <c r="DG6" s="77"/>
      <c r="DH6" s="77"/>
      <c r="DI6" s="77"/>
      <c r="DJ6" s="77"/>
      <c r="DK6" s="77"/>
      <c r="DL6" s="77"/>
      <c r="DM6" s="77"/>
      <c r="DN6" s="77"/>
      <c r="DO6" s="77"/>
      <c r="DP6" s="77"/>
      <c r="DQ6" s="77"/>
      <c r="DR6" s="77"/>
      <c r="DS6" s="77"/>
      <c r="DT6" s="77"/>
      <c r="DU6" s="77"/>
      <c r="DV6" s="77"/>
      <c r="DW6" s="77"/>
      <c r="DX6" s="77"/>
      <c r="DY6" s="77"/>
      <c r="DZ6" s="77"/>
      <c r="EA6" s="77"/>
      <c r="EB6" s="77"/>
      <c r="EC6" s="77"/>
      <c r="ED6" s="77"/>
      <c r="EE6" s="77"/>
      <c r="EF6" s="77"/>
      <c r="EG6" s="77"/>
      <c r="EH6" s="77"/>
      <c r="EI6" s="77"/>
      <c r="EJ6" s="77"/>
      <c r="EK6" s="77"/>
      <c r="EL6" s="77"/>
      <c r="EM6" s="77"/>
      <c r="EN6" s="77"/>
      <c r="EO6" s="77"/>
      <c r="EP6" s="77"/>
      <c r="EQ6" s="77"/>
      <c r="ER6" s="77"/>
      <c r="ES6" s="77"/>
      <c r="ET6" s="77"/>
      <c r="EU6" s="77"/>
      <c r="EV6" s="77"/>
      <c r="EW6" s="77"/>
      <c r="EX6" s="77"/>
      <c r="EY6" s="77"/>
      <c r="EZ6" s="77"/>
      <c r="FA6" s="77"/>
      <c r="FB6" s="77"/>
      <c r="FC6" s="77"/>
      <c r="FD6" s="77"/>
      <c r="FE6" s="77"/>
      <c r="FF6" s="77"/>
      <c r="FG6" s="77"/>
      <c r="FH6" s="77"/>
      <c r="FI6" s="77"/>
      <c r="FJ6" s="77"/>
      <c r="FK6" s="77"/>
      <c r="FL6" s="77"/>
      <c r="FM6" s="77"/>
      <c r="FN6" s="77"/>
      <c r="FO6" s="77"/>
      <c r="FP6" s="77"/>
      <c r="FQ6" s="77"/>
      <c r="FR6" s="77"/>
      <c r="FS6" s="77"/>
      <c r="FT6" s="77"/>
      <c r="FU6" s="77"/>
      <c r="FV6" s="77"/>
      <c r="FW6" s="77"/>
      <c r="FX6" s="77"/>
      <c r="FY6" s="77"/>
      <c r="FZ6" s="77"/>
      <c r="GA6" s="77"/>
      <c r="GB6" s="77"/>
      <c r="GC6" s="77"/>
      <c r="GD6" s="77"/>
      <c r="GE6" s="77"/>
      <c r="GF6" s="77"/>
      <c r="GG6" s="77"/>
      <c r="GH6" s="77"/>
      <c r="GI6" s="77"/>
      <c r="GJ6" s="77"/>
      <c r="GK6" s="77"/>
      <c r="GL6" s="77"/>
      <c r="GM6" s="77"/>
      <c r="GN6" s="77"/>
      <c r="GO6" s="77"/>
      <c r="GP6" s="77"/>
      <c r="GQ6" s="77"/>
      <c r="GR6" s="77"/>
      <c r="GS6" s="77"/>
      <c r="GT6" s="77"/>
      <c r="GU6" s="77"/>
      <c r="GV6" s="77"/>
      <c r="GW6" s="77"/>
      <c r="GX6" s="77"/>
      <c r="GY6" s="77"/>
      <c r="GZ6" s="77"/>
      <c r="HA6" s="77"/>
      <c r="HB6" s="77"/>
      <c r="HC6" s="77"/>
      <c r="HD6" s="77"/>
      <c r="HE6" s="77"/>
      <c r="HF6" s="77"/>
      <c r="HG6" s="77"/>
      <c r="HH6" s="77"/>
      <c r="HI6" s="77"/>
      <c r="HJ6" s="77"/>
      <c r="HK6" s="77"/>
      <c r="HL6" s="77"/>
      <c r="HM6" s="77"/>
      <c r="HN6" s="77"/>
      <c r="HO6" s="77"/>
      <c r="HP6" s="77"/>
      <c r="HQ6" s="77"/>
      <c r="HR6" s="77"/>
      <c r="HS6" s="77"/>
      <c r="HT6" s="77"/>
      <c r="HU6" s="77"/>
      <c r="HV6" s="77"/>
      <c r="HW6" s="77"/>
      <c r="HX6" s="77"/>
      <c r="HY6" s="77"/>
      <c r="HZ6" s="77"/>
      <c r="IA6" s="77"/>
      <c r="IB6" s="77"/>
      <c r="IC6" s="77"/>
      <c r="ID6" s="77"/>
      <c r="IE6" s="77"/>
      <c r="IF6" s="77"/>
      <c r="IG6" s="77"/>
      <c r="IH6" s="77"/>
      <c r="II6" s="77"/>
      <c r="IJ6" s="77"/>
      <c r="IK6" s="77"/>
      <c r="IL6" s="77"/>
      <c r="IM6" s="77"/>
      <c r="IN6" s="77"/>
      <c r="IO6" s="77"/>
      <c r="IP6" s="77"/>
      <c r="IQ6" s="77"/>
      <c r="IR6" s="77"/>
      <c r="IS6" s="77"/>
      <c r="IT6" s="77"/>
      <c r="IU6" s="77"/>
      <c r="IV6" s="77"/>
      <c r="IW6" s="77"/>
      <c r="IX6" s="77"/>
      <c r="IY6" s="77"/>
      <c r="IZ6" s="77"/>
      <c r="JA6" s="77"/>
      <c r="JB6" s="77"/>
      <c r="JC6" s="77"/>
      <c r="JD6" s="77"/>
      <c r="JE6" s="77"/>
      <c r="JF6" s="77"/>
      <c r="JG6" s="77"/>
      <c r="JH6" s="77"/>
      <c r="JI6" s="77"/>
      <c r="JJ6" s="77"/>
      <c r="JK6" s="77"/>
      <c r="JL6" s="77"/>
      <c r="JM6" s="77"/>
      <c r="JN6" s="77"/>
      <c r="JO6" s="77"/>
      <c r="JP6" s="77"/>
      <c r="JQ6" s="77"/>
      <c r="JR6" s="77"/>
      <c r="JS6" s="77"/>
      <c r="JT6" s="77"/>
      <c r="JU6" s="77"/>
      <c r="JV6" s="77"/>
      <c r="JW6" s="77"/>
      <c r="JX6" s="77"/>
      <c r="JY6" s="77"/>
      <c r="JZ6" s="77"/>
      <c r="KA6" s="77"/>
      <c r="KB6" s="77"/>
      <c r="KC6" s="77"/>
      <c r="KD6" s="77"/>
      <c r="KE6" s="77"/>
      <c r="KF6" s="77"/>
      <c r="KG6" s="77"/>
      <c r="KH6" s="77"/>
      <c r="KI6" s="77"/>
      <c r="KJ6" s="77"/>
      <c r="KK6" s="77"/>
      <c r="KL6" s="77"/>
      <c r="KM6" s="77"/>
      <c r="KN6" s="77"/>
      <c r="KO6" s="77"/>
      <c r="KP6" s="77"/>
      <c r="KQ6" s="77"/>
      <c r="KR6" s="77"/>
      <c r="KS6" s="77"/>
      <c r="KT6" s="77"/>
      <c r="KU6" s="77"/>
      <c r="KV6" s="77"/>
      <c r="KW6" s="77"/>
      <c r="KX6" s="77"/>
      <c r="KY6" s="77"/>
      <c r="KZ6" s="77"/>
      <c r="LA6" s="77"/>
      <c r="LB6" s="77"/>
      <c r="LC6" s="77"/>
      <c r="LD6" s="77"/>
      <c r="LE6" s="77"/>
      <c r="LF6" s="77"/>
      <c r="LG6" s="77"/>
      <c r="LH6" s="77"/>
      <c r="LI6" s="77"/>
      <c r="LJ6" s="77"/>
      <c r="LK6" s="77"/>
      <c r="LL6" s="77"/>
      <c r="LM6" s="77"/>
      <c r="LN6" s="77"/>
      <c r="LO6" s="77"/>
      <c r="LP6" s="77"/>
      <c r="LQ6" s="77"/>
      <c r="LR6" s="77"/>
      <c r="LS6" s="77"/>
      <c r="LT6" s="77"/>
      <c r="LU6" s="77"/>
      <c r="LV6" s="77"/>
      <c r="LW6" s="77"/>
      <c r="LX6" s="77"/>
      <c r="LY6" s="77"/>
      <c r="LZ6" s="77"/>
      <c r="MA6" s="77"/>
      <c r="MB6" s="77"/>
      <c r="MC6" s="77"/>
      <c r="MD6" s="77"/>
      <c r="ME6" s="77"/>
      <c r="MF6" s="77"/>
      <c r="MG6" s="77"/>
      <c r="MH6" s="77"/>
      <c r="MI6" s="77"/>
      <c r="MJ6" s="77"/>
      <c r="MK6" s="77"/>
      <c r="ML6" s="77"/>
      <c r="MM6" s="77"/>
      <c r="MN6" s="77"/>
      <c r="MO6" s="77"/>
      <c r="MP6" s="77"/>
      <c r="MQ6" s="77"/>
      <c r="MR6" s="77"/>
      <c r="MS6" s="77"/>
      <c r="MT6" s="77"/>
      <c r="MU6" s="77"/>
      <c r="MV6" s="77"/>
      <c r="MW6" s="77"/>
      <c r="MX6" s="77"/>
      <c r="MY6" s="77"/>
      <c r="MZ6" s="77"/>
      <c r="NA6" s="77"/>
      <c r="NB6" s="77"/>
      <c r="NC6" s="77"/>
      <c r="ND6" s="77"/>
      <c r="NE6" s="77"/>
      <c r="NF6" s="77"/>
      <c r="NG6" s="77"/>
      <c r="NH6" s="77"/>
      <c r="NI6" s="77"/>
      <c r="NJ6" s="77"/>
      <c r="NK6" s="77"/>
      <c r="NL6" s="77"/>
      <c r="NM6" s="77"/>
      <c r="NN6" s="77"/>
      <c r="NO6" s="77"/>
      <c r="NP6" s="77"/>
      <c r="NQ6" s="77"/>
      <c r="NR6" s="77"/>
      <c r="NS6" s="77"/>
      <c r="NT6" s="77"/>
      <c r="NU6" s="77"/>
      <c r="NV6" s="77"/>
      <c r="NW6" s="77"/>
      <c r="NX6" s="77"/>
      <c r="NY6" s="77"/>
      <c r="NZ6" s="77"/>
      <c r="OA6" s="77"/>
      <c r="OB6" s="77"/>
      <c r="OC6" s="77"/>
      <c r="OD6" s="77"/>
      <c r="OE6" s="77"/>
      <c r="OF6" s="77"/>
      <c r="OG6" s="77"/>
      <c r="OH6" s="77"/>
      <c r="OI6" s="77"/>
      <c r="OJ6" s="77"/>
      <c r="OK6" s="77"/>
      <c r="OL6" s="77"/>
      <c r="OM6" s="672" t="s">
        <v>147</v>
      </c>
      <c r="ON6" s="672"/>
      <c r="OO6" s="672"/>
      <c r="OP6" s="672"/>
      <c r="OQ6" s="672"/>
      <c r="OR6" s="672"/>
      <c r="OS6" s="672"/>
      <c r="OT6" s="672"/>
      <c r="OU6" s="672"/>
      <c r="OV6" s="672"/>
      <c r="OW6" s="672"/>
      <c r="OX6" s="672"/>
      <c r="OY6" s="672"/>
      <c r="OZ6" s="672"/>
      <c r="PA6" s="675" t="s">
        <v>179</v>
      </c>
      <c r="PB6" s="675"/>
      <c r="PC6" s="675"/>
      <c r="PD6" s="675"/>
      <c r="PE6" s="675"/>
      <c r="PF6" s="675"/>
      <c r="PG6" s="675"/>
      <c r="PH6" s="675"/>
      <c r="PI6" s="675"/>
      <c r="PJ6" s="675"/>
      <c r="PK6" s="675"/>
      <c r="PL6" s="676" t="s">
        <v>493</v>
      </c>
      <c r="PM6" s="676"/>
      <c r="PN6" s="676"/>
      <c r="PO6" s="676"/>
      <c r="PP6" s="676"/>
      <c r="PQ6" s="677" t="s">
        <v>191</v>
      </c>
      <c r="PR6" s="677"/>
      <c r="PS6" s="677"/>
      <c r="PT6" s="674" t="s">
        <v>194</v>
      </c>
      <c r="PU6" s="674"/>
      <c r="PV6" s="674"/>
      <c r="PW6" s="674"/>
      <c r="PX6" s="673" t="s">
        <v>196</v>
      </c>
      <c r="PY6" s="673"/>
      <c r="PZ6" s="673"/>
      <c r="QA6" s="673"/>
      <c r="QB6" s="673"/>
      <c r="QC6" s="673"/>
      <c r="QD6" s="673"/>
      <c r="QE6" s="673"/>
      <c r="QF6" s="673"/>
      <c r="QG6" s="673"/>
      <c r="QH6" s="673"/>
      <c r="QI6" s="673"/>
      <c r="QJ6" s="673"/>
      <c r="QK6" s="673"/>
      <c r="QL6" s="673"/>
      <c r="QM6" s="673"/>
      <c r="QN6" s="673"/>
      <c r="QO6" s="673"/>
      <c r="QP6" s="673"/>
      <c r="QQ6" s="675" t="s">
        <v>205</v>
      </c>
      <c r="QR6" s="675"/>
      <c r="QS6" s="675"/>
      <c r="QT6" s="675"/>
      <c r="QU6" s="675"/>
      <c r="QV6" s="675"/>
      <c r="QW6" s="674" t="s">
        <v>209</v>
      </c>
      <c r="QX6" s="674"/>
      <c r="QY6" s="674"/>
      <c r="QZ6" s="674"/>
      <c r="RA6" s="678" t="s">
        <v>656</v>
      </c>
      <c r="RB6" s="678"/>
      <c r="RC6" s="678"/>
      <c r="RD6" s="678"/>
      <c r="RE6" s="678"/>
      <c r="RF6" s="678"/>
      <c r="RG6" s="678"/>
      <c r="RH6" s="678"/>
      <c r="RI6" s="678"/>
      <c r="RJ6" s="679" t="s">
        <v>646</v>
      </c>
      <c r="RK6" s="679"/>
      <c r="RL6" s="679"/>
      <c r="RM6" s="679"/>
      <c r="RN6" s="679"/>
      <c r="RO6" s="679"/>
      <c r="RP6" s="679"/>
      <c r="RQ6" s="679"/>
      <c r="RR6" s="679"/>
      <c r="RS6" s="679"/>
      <c r="RT6" s="679"/>
      <c r="RU6" s="679"/>
      <c r="RV6" s="679"/>
      <c r="RW6" s="679"/>
      <c r="RX6" s="679"/>
      <c r="RY6" s="679"/>
      <c r="RZ6" s="679"/>
      <c r="SA6" s="679"/>
      <c r="SB6" s="679"/>
      <c r="SC6" s="679"/>
      <c r="SD6" s="679"/>
      <c r="SE6" s="679"/>
      <c r="SF6" s="679"/>
      <c r="SG6" s="679"/>
      <c r="SH6" s="680" t="s">
        <v>684</v>
      </c>
      <c r="SI6" s="680"/>
      <c r="SJ6" s="680"/>
      <c r="SK6" s="675" t="s">
        <v>236</v>
      </c>
      <c r="SL6" s="675"/>
      <c r="SM6" s="675"/>
      <c r="SN6" s="675"/>
      <c r="SO6" s="675"/>
      <c r="SP6" s="675"/>
      <c r="SQ6" s="681" t="s">
        <v>637</v>
      </c>
      <c r="SR6" s="681"/>
      <c r="SS6" s="681"/>
      <c r="ST6" s="681"/>
      <c r="SU6" s="681"/>
      <c r="SV6" s="681"/>
      <c r="SW6" s="681"/>
      <c r="SX6" s="681"/>
      <c r="SY6" s="681"/>
      <c r="SZ6" s="681"/>
      <c r="TA6" s="681"/>
      <c r="TB6" s="681"/>
      <c r="TC6" s="681"/>
      <c r="TD6" s="681"/>
      <c r="TE6" s="681"/>
      <c r="TF6" s="681"/>
      <c r="TG6" s="681"/>
      <c r="TH6" s="681"/>
      <c r="TI6" s="681"/>
      <c r="TJ6" s="681"/>
      <c r="TK6" s="681" t="s">
        <v>636</v>
      </c>
      <c r="TL6" s="681"/>
      <c r="TM6" s="681"/>
      <c r="TN6" s="681"/>
      <c r="TO6" s="681"/>
      <c r="TP6" s="681"/>
      <c r="TQ6" s="681"/>
      <c r="TR6" s="681"/>
      <c r="TS6" s="681"/>
      <c r="TT6" s="681"/>
      <c r="TU6" s="681"/>
      <c r="TV6" s="681"/>
      <c r="TW6" s="681"/>
      <c r="TX6" s="681"/>
      <c r="TY6" s="681"/>
      <c r="TZ6" s="682" t="s">
        <v>499</v>
      </c>
      <c r="UA6" s="682"/>
      <c r="UB6" s="682"/>
      <c r="UC6" s="682"/>
      <c r="UD6" s="682"/>
      <c r="UE6" s="682"/>
      <c r="UF6" s="682"/>
      <c r="UG6" s="682"/>
      <c r="UH6" s="682"/>
      <c r="UI6" s="682"/>
      <c r="UJ6" s="682"/>
      <c r="UK6" s="682"/>
      <c r="UL6" s="682"/>
      <c r="UM6" s="682"/>
      <c r="UN6" s="682"/>
      <c r="UO6" s="682"/>
      <c r="UP6" s="682"/>
      <c r="UQ6" s="682"/>
      <c r="UR6" s="682"/>
      <c r="US6" s="682"/>
      <c r="UT6" s="682"/>
      <c r="UU6" s="682"/>
      <c r="UV6" s="682"/>
      <c r="UW6" s="682"/>
      <c r="UX6" s="682"/>
      <c r="UY6" s="682"/>
      <c r="UZ6" s="682"/>
      <c r="VA6" s="682"/>
      <c r="VB6" s="682"/>
      <c r="VC6" s="682"/>
      <c r="VD6" s="682"/>
      <c r="VE6" s="682"/>
      <c r="VF6" s="682"/>
      <c r="VG6" s="682"/>
      <c r="VH6" s="682"/>
      <c r="VI6" s="682"/>
      <c r="VJ6" s="682"/>
      <c r="VK6" s="682"/>
      <c r="VL6" s="682"/>
      <c r="VM6" s="682"/>
      <c r="VN6" s="682"/>
      <c r="VO6" s="682"/>
      <c r="VP6" s="682"/>
      <c r="VQ6" s="682"/>
      <c r="VR6" s="682"/>
      <c r="VS6" s="682"/>
      <c r="VT6" s="682"/>
      <c r="VU6" s="682"/>
      <c r="VV6" s="682"/>
      <c r="VW6" s="682"/>
      <c r="VX6" s="682"/>
      <c r="VY6" s="682"/>
      <c r="VZ6" s="682"/>
      <c r="WA6" s="682"/>
      <c r="WB6" s="682"/>
      <c r="WC6" s="682"/>
      <c r="WD6" s="682"/>
      <c r="WE6" s="682"/>
      <c r="WF6" s="682"/>
      <c r="WG6" s="682"/>
      <c r="WH6" s="682"/>
      <c r="WI6" s="682"/>
      <c r="WJ6" s="682"/>
      <c r="WK6" s="682"/>
      <c r="WL6" s="682"/>
      <c r="WM6" s="682"/>
      <c r="WN6" s="682"/>
      <c r="WO6" s="77"/>
      <c r="WP6" s="77"/>
      <c r="WQ6" s="77"/>
      <c r="WR6" s="77"/>
      <c r="WS6" s="77"/>
      <c r="WT6" s="77"/>
      <c r="WU6" s="77"/>
      <c r="WV6" s="77"/>
      <c r="WW6" s="77"/>
      <c r="WX6" s="77"/>
      <c r="WY6" s="77"/>
      <c r="WZ6" s="77"/>
      <c r="XA6" s="77"/>
      <c r="XB6" s="77"/>
      <c r="XC6" s="77"/>
      <c r="XD6" s="77"/>
      <c r="XE6" s="77"/>
      <c r="XF6" s="77"/>
      <c r="XG6" s="77"/>
      <c r="XH6" s="77"/>
      <c r="XI6" s="77"/>
      <c r="XJ6" s="77"/>
      <c r="XK6" s="77"/>
      <c r="XL6" s="77"/>
      <c r="XM6" s="77"/>
      <c r="XN6" s="77"/>
      <c r="XO6" s="77"/>
      <c r="XP6" s="77"/>
      <c r="XQ6" s="77"/>
      <c r="XR6" s="77"/>
      <c r="XS6" s="77"/>
      <c r="XT6" s="77"/>
      <c r="XU6" s="77"/>
      <c r="XV6" s="77"/>
      <c r="XW6" s="77"/>
      <c r="XX6" s="77"/>
      <c r="XY6" s="77"/>
      <c r="XZ6" s="77"/>
      <c r="YA6" s="77"/>
      <c r="YB6" s="77"/>
      <c r="YC6" s="77"/>
      <c r="YD6" s="77"/>
      <c r="YE6" s="77"/>
      <c r="YF6" s="77"/>
      <c r="YG6" s="77"/>
      <c r="YH6" s="77"/>
      <c r="YI6" s="77"/>
      <c r="YJ6" s="77"/>
      <c r="YK6" s="77"/>
      <c r="YL6" s="77"/>
      <c r="YM6" s="77"/>
      <c r="YN6" s="77"/>
      <c r="YO6" s="77"/>
      <c r="YP6" s="77"/>
      <c r="YQ6" s="77"/>
      <c r="YR6" s="77"/>
      <c r="YS6" s="77"/>
      <c r="YT6" s="77"/>
      <c r="YU6" s="77"/>
      <c r="YV6" s="77"/>
      <c r="YW6" s="77"/>
      <c r="YX6" s="77"/>
      <c r="YY6" s="77"/>
      <c r="YZ6" s="77"/>
      <c r="ZA6" s="77"/>
      <c r="ZB6" s="77"/>
      <c r="ZC6" s="77"/>
      <c r="ZD6" s="77"/>
      <c r="ZE6" s="77"/>
      <c r="ZF6" s="77"/>
      <c r="ZG6" s="77"/>
      <c r="ZH6" s="77"/>
      <c r="ZI6" s="77"/>
      <c r="ZJ6" s="77"/>
      <c r="ZK6" s="77"/>
      <c r="ZL6" s="77"/>
      <c r="ZM6" s="77"/>
      <c r="ZN6" s="77"/>
      <c r="ZO6" s="77"/>
      <c r="ZP6" s="77"/>
      <c r="ZQ6" s="77"/>
      <c r="ZR6" s="77"/>
      <c r="ZS6" s="77"/>
      <c r="ZT6" s="77"/>
      <c r="ZU6" s="77"/>
      <c r="ZV6" s="77"/>
      <c r="ZW6" s="77"/>
      <c r="ZX6" s="77"/>
      <c r="ZY6" s="77"/>
      <c r="ZZ6" s="77"/>
      <c r="AAA6" s="77"/>
      <c r="AAB6" s="77"/>
      <c r="AAC6" s="77"/>
      <c r="AAD6" s="77"/>
      <c r="AAE6" s="77"/>
      <c r="AAF6" s="77"/>
      <c r="AAG6" s="77"/>
      <c r="AAH6" s="77"/>
      <c r="AAI6" s="77"/>
      <c r="AAJ6" s="77"/>
      <c r="AAK6" s="77"/>
      <c r="AAL6" s="77"/>
      <c r="AAM6" s="77"/>
      <c r="AAN6" s="77"/>
      <c r="AAO6" s="77"/>
      <c r="AAP6" s="77"/>
      <c r="AAQ6" s="77"/>
      <c r="AAR6" s="77"/>
      <c r="AAS6" s="77"/>
      <c r="AAT6" s="77"/>
      <c r="AAU6" s="77"/>
      <c r="AAV6" s="77"/>
      <c r="AAW6" s="77"/>
      <c r="AAX6" s="77"/>
      <c r="AAY6" s="77"/>
      <c r="AAZ6" s="77"/>
      <c r="ABA6" s="77"/>
      <c r="ABB6" s="77"/>
      <c r="ABC6" s="77"/>
      <c r="ABD6" s="77"/>
      <c r="ABE6" s="77"/>
      <c r="ABF6" s="77"/>
      <c r="ABG6" s="77"/>
      <c r="ABH6" s="77"/>
      <c r="ABI6" s="77"/>
      <c r="ABJ6" s="77"/>
      <c r="ABK6" s="77"/>
      <c r="ABL6" s="77"/>
      <c r="ABM6" s="77"/>
      <c r="ABN6" s="77"/>
      <c r="ABO6" s="77"/>
      <c r="ABP6" s="77"/>
      <c r="ABQ6" s="77"/>
      <c r="ABR6" s="77"/>
      <c r="ABS6" s="77"/>
      <c r="ABT6" s="77"/>
      <c r="ABU6" s="77"/>
      <c r="ABV6" s="77"/>
      <c r="ABW6" s="77"/>
      <c r="ABX6" s="77"/>
      <c r="ABY6" s="77"/>
      <c r="ABZ6" s="77"/>
      <c r="ACA6" s="77"/>
      <c r="ACB6" s="77"/>
      <c r="ACC6" s="77"/>
      <c r="ACD6" s="77"/>
      <c r="ACE6" s="77"/>
      <c r="ACF6" s="77"/>
      <c r="ACG6" s="77"/>
      <c r="ACH6" s="77"/>
      <c r="ACI6" s="77"/>
      <c r="ACJ6" s="77"/>
      <c r="ACK6" s="77"/>
      <c r="ACL6" s="77"/>
      <c r="ACM6" s="77"/>
      <c r="ACN6" s="77"/>
      <c r="ACO6" s="77"/>
      <c r="ACP6" s="77"/>
      <c r="ACQ6" s="77"/>
      <c r="ACR6" s="77"/>
      <c r="ACS6" s="77"/>
      <c r="ACT6" s="77"/>
      <c r="ACU6" s="77"/>
      <c r="ACV6" s="77"/>
      <c r="ACW6" s="77"/>
      <c r="ACX6" s="77"/>
      <c r="ACY6" s="77"/>
      <c r="ACZ6" s="77"/>
      <c r="ADA6" s="77"/>
      <c r="ADB6" s="77"/>
      <c r="ADC6" s="77"/>
      <c r="ADD6" s="77"/>
      <c r="ADE6" s="77"/>
      <c r="ADF6" s="77"/>
      <c r="ADG6" s="77"/>
      <c r="ADH6" s="77"/>
      <c r="ADI6" s="77"/>
      <c r="ADJ6" s="77"/>
      <c r="ADK6" s="77"/>
      <c r="ADL6" s="77"/>
      <c r="ADM6" s="77"/>
      <c r="ADN6" s="77"/>
      <c r="ADO6" s="77"/>
      <c r="ADP6" s="77"/>
      <c r="ADQ6" s="77"/>
      <c r="ADR6" s="77"/>
      <c r="ADS6" s="77"/>
      <c r="ADT6" s="77"/>
      <c r="ADU6" s="77"/>
      <c r="ADV6" s="77"/>
      <c r="ADW6" s="77"/>
      <c r="ADX6" s="77"/>
      <c r="ADY6" s="77"/>
      <c r="ADZ6" s="77"/>
      <c r="AEA6" s="77"/>
      <c r="AEB6" s="77"/>
      <c r="AEC6" s="77"/>
      <c r="AED6" s="77"/>
      <c r="AEE6" s="77"/>
      <c r="AEF6" s="77"/>
      <c r="AEG6" s="77"/>
      <c r="AEH6" s="77"/>
      <c r="AEI6" s="77"/>
      <c r="AEJ6" s="77"/>
      <c r="AEK6" s="77"/>
      <c r="AEL6" s="77"/>
      <c r="AEM6" s="77"/>
      <c r="AEN6" s="77"/>
      <c r="AEO6" s="77"/>
      <c r="AEP6" s="77"/>
      <c r="AEQ6" s="77"/>
      <c r="AER6" s="77"/>
      <c r="AES6" s="77"/>
      <c r="AET6" s="77"/>
      <c r="AEU6" s="77"/>
      <c r="AEV6" s="77"/>
      <c r="AEW6" s="77"/>
      <c r="AEX6" s="77"/>
      <c r="AEY6" s="77"/>
      <c r="AEZ6" s="77"/>
      <c r="AFA6" s="77"/>
      <c r="AFB6" s="77"/>
      <c r="AFC6" s="77"/>
      <c r="AFD6" s="77"/>
      <c r="AFE6" s="77"/>
      <c r="AFF6" s="77"/>
      <c r="AFG6" s="77"/>
      <c r="AFH6" s="77"/>
      <c r="AFI6" s="77"/>
      <c r="AFJ6" s="77"/>
      <c r="AFK6" s="77"/>
      <c r="AFL6" s="77"/>
      <c r="AFM6" s="77"/>
      <c r="AFN6" s="77"/>
      <c r="AFO6" s="77"/>
      <c r="AFP6" s="77"/>
      <c r="AFQ6" s="77"/>
      <c r="AFR6" s="77"/>
      <c r="AFS6" s="77"/>
      <c r="AFT6" s="77"/>
      <c r="AFU6" s="77"/>
      <c r="AFV6" s="77"/>
      <c r="AFW6" s="77"/>
      <c r="AFX6" s="77"/>
      <c r="AFY6" s="77"/>
      <c r="AFZ6" s="77"/>
      <c r="AGA6" s="77"/>
      <c r="AGB6" s="77"/>
      <c r="AGC6" s="77"/>
      <c r="AGD6" s="77"/>
      <c r="AGE6" s="77"/>
      <c r="AGF6" s="77"/>
      <c r="AGG6" s="77"/>
      <c r="AGH6" s="77"/>
      <c r="AGI6" s="77"/>
      <c r="AGJ6" s="77"/>
      <c r="AGK6" s="77"/>
      <c r="AGL6" s="77"/>
      <c r="AGM6" s="77"/>
      <c r="AGN6" s="77"/>
      <c r="AGO6" s="77"/>
      <c r="AGP6" s="77"/>
      <c r="AGQ6" s="77"/>
      <c r="AGR6" s="77"/>
      <c r="AGS6" s="77"/>
      <c r="AGT6" s="77"/>
      <c r="AGU6" s="77"/>
      <c r="AGV6" s="77"/>
      <c r="AGW6" s="77"/>
      <c r="AGX6" s="77"/>
      <c r="AGY6" s="77"/>
      <c r="AGZ6" s="77"/>
      <c r="AHA6" s="77"/>
      <c r="AHB6" s="77"/>
      <c r="AHC6" s="77"/>
      <c r="AHD6" s="77"/>
      <c r="AHE6" s="77"/>
      <c r="AHF6" s="77"/>
      <c r="AHG6" s="77"/>
      <c r="AHH6" s="77"/>
      <c r="AHI6" s="77"/>
      <c r="AHJ6" s="77"/>
      <c r="AHK6" s="77"/>
      <c r="AHL6" s="77"/>
      <c r="AHM6" s="77"/>
      <c r="AHN6" s="77"/>
      <c r="AHO6" s="77"/>
      <c r="AHP6" s="77"/>
      <c r="AHQ6" s="77"/>
      <c r="AHR6" s="77"/>
      <c r="AHS6" s="77"/>
      <c r="AHT6" s="77"/>
      <c r="AHU6" s="77"/>
      <c r="AHV6" s="77"/>
      <c r="AHW6" s="77"/>
      <c r="AHX6" s="77"/>
      <c r="AHY6" s="77"/>
      <c r="AHZ6" s="77"/>
      <c r="AIA6" s="77"/>
      <c r="AIB6" s="77"/>
      <c r="AIC6" s="77"/>
      <c r="AID6" s="77"/>
      <c r="AIE6" s="77"/>
      <c r="AIF6" s="77"/>
      <c r="AIG6" s="77"/>
      <c r="AIH6" s="77"/>
      <c r="AII6" s="77"/>
      <c r="AIJ6" s="77"/>
      <c r="AIK6" s="77"/>
      <c r="AIL6" s="77"/>
      <c r="AIM6" s="77"/>
      <c r="AIN6" s="77"/>
      <c r="AIO6" s="77"/>
      <c r="AIP6" s="77"/>
      <c r="AIQ6" s="77"/>
      <c r="AIR6" s="77"/>
      <c r="AIS6" s="77"/>
      <c r="AIT6" s="77"/>
      <c r="AIU6" s="77"/>
      <c r="AIV6" s="77"/>
      <c r="AIW6" s="77"/>
      <c r="AIX6" s="77"/>
      <c r="AIY6" s="77"/>
      <c r="AIZ6" s="77"/>
      <c r="AJA6" s="77"/>
      <c r="AJB6" s="77"/>
      <c r="AJC6" s="77"/>
      <c r="AJD6" s="77"/>
      <c r="AJE6" s="77"/>
      <c r="AJF6" s="77"/>
      <c r="AJG6" s="77"/>
      <c r="AJH6" s="77"/>
      <c r="AJI6" s="77"/>
      <c r="AJJ6" s="77"/>
      <c r="AJK6" s="77"/>
      <c r="AJL6" s="77"/>
      <c r="AJM6" s="77"/>
      <c r="AJN6" s="77"/>
      <c r="AJO6" s="77"/>
      <c r="AJP6" s="77"/>
      <c r="AJQ6" s="77"/>
      <c r="AJR6" s="77"/>
      <c r="AJS6" s="77"/>
      <c r="AJT6" s="77"/>
      <c r="AJU6" s="77"/>
      <c r="AJV6" s="77"/>
      <c r="AJW6" s="77"/>
      <c r="AJX6" s="77"/>
      <c r="AJY6" s="77"/>
      <c r="AJZ6" s="77"/>
      <c r="AKA6" s="77"/>
      <c r="AKB6" s="77"/>
      <c r="AKC6" s="77"/>
      <c r="AKD6" s="77"/>
      <c r="AKE6" s="77"/>
      <c r="AKF6" s="77"/>
      <c r="AKG6" s="77"/>
      <c r="AKH6" s="77"/>
      <c r="AKI6" s="77"/>
      <c r="AKJ6" s="77"/>
      <c r="AKK6" s="77"/>
      <c r="AKL6" s="77"/>
      <c r="AKM6" s="77"/>
      <c r="AKN6" s="77"/>
      <c r="AKO6" s="77"/>
      <c r="AKP6" s="77"/>
      <c r="AKQ6" s="77"/>
      <c r="AKR6" s="77"/>
      <c r="AKS6" s="77"/>
      <c r="AKT6" s="77"/>
      <c r="AKU6" s="77"/>
      <c r="AKV6" s="77"/>
      <c r="AKW6" s="77"/>
      <c r="AKX6" s="77"/>
      <c r="AKY6" s="77"/>
      <c r="AKZ6" s="77"/>
      <c r="ALA6" s="77"/>
      <c r="ALB6" s="77"/>
      <c r="ALC6" s="77"/>
      <c r="ALD6" s="77"/>
      <c r="ALE6" s="77"/>
      <c r="ALF6" s="77"/>
      <c r="ALG6" s="77"/>
      <c r="ALH6" s="77"/>
      <c r="ALI6" s="77"/>
      <c r="ALJ6" s="77"/>
      <c r="ALK6" s="77"/>
      <c r="ALL6" s="77"/>
      <c r="ALM6" s="77"/>
      <c r="ALN6" s="77"/>
      <c r="ALO6" s="77"/>
      <c r="ALP6" s="77"/>
      <c r="ALQ6" s="77"/>
      <c r="ALR6" s="77"/>
      <c r="ALS6" s="77"/>
      <c r="ALT6" s="77"/>
      <c r="ALU6" s="77"/>
      <c r="ALV6" s="77"/>
      <c r="ALW6" s="77"/>
      <c r="ALX6" s="77"/>
      <c r="ALY6" s="77"/>
      <c r="ALZ6" s="77"/>
      <c r="AMA6" s="77"/>
      <c r="AMB6" s="77"/>
      <c r="AMC6" s="77"/>
      <c r="AMD6" s="77"/>
      <c r="AME6" s="77"/>
      <c r="AMF6" s="77"/>
      <c r="AMG6" s="77"/>
      <c r="AMH6" s="77"/>
      <c r="AMI6" s="77"/>
      <c r="AMJ6" s="77"/>
      <c r="AMK6" s="77"/>
      <c r="AML6" s="77"/>
      <c r="AMM6" s="77"/>
      <c r="AMN6" s="77"/>
      <c r="AMO6" s="77"/>
      <c r="AMP6" s="77"/>
      <c r="AMQ6" s="77"/>
      <c r="AMR6" s="77"/>
      <c r="AMS6" s="77"/>
      <c r="AMT6" s="77"/>
      <c r="AMU6" s="77"/>
      <c r="AMV6" s="77"/>
      <c r="AMW6" s="77"/>
      <c r="AMX6" s="77"/>
      <c r="AMY6" s="77"/>
      <c r="AMZ6" s="77"/>
      <c r="ANA6" s="77"/>
      <c r="ANB6" s="77"/>
      <c r="ANC6" s="77"/>
      <c r="AND6" s="77"/>
      <c r="ANE6" s="77"/>
      <c r="ANF6" s="77"/>
      <c r="ANG6" s="77"/>
      <c r="ANH6" s="77"/>
      <c r="ANI6" s="77"/>
      <c r="ANJ6" s="77"/>
      <c r="ANK6" s="77"/>
      <c r="ANL6" s="77"/>
      <c r="ANM6" s="77"/>
      <c r="ANN6" s="77"/>
      <c r="ANO6" s="77"/>
      <c r="ANP6" s="77"/>
      <c r="ANQ6" s="77"/>
      <c r="ANR6" s="77"/>
      <c r="ANS6" s="77"/>
    </row>
    <row r="7" spans="1:1059" s="74" customFormat="1" ht="147.75" customHeight="1" thickTop="1" thickBot="1">
      <c r="A7" s="59" t="s">
        <v>614</v>
      </c>
      <c r="B7" s="59" t="s">
        <v>664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  <c r="ED7" s="77"/>
      <c r="EE7" s="77"/>
      <c r="EF7" s="77"/>
      <c r="EG7" s="77"/>
      <c r="EH7" s="77"/>
      <c r="EI7" s="77"/>
      <c r="EJ7" s="77"/>
      <c r="EK7" s="77"/>
      <c r="EL7" s="77"/>
      <c r="EM7" s="77"/>
      <c r="EN7" s="77"/>
      <c r="EO7" s="77"/>
      <c r="EP7" s="77"/>
      <c r="EQ7" s="77"/>
      <c r="ER7" s="77"/>
      <c r="ES7" s="77"/>
      <c r="ET7" s="77"/>
      <c r="EU7" s="77"/>
      <c r="EV7" s="77"/>
      <c r="EW7" s="77"/>
      <c r="EX7" s="77"/>
      <c r="EY7" s="77"/>
      <c r="EZ7" s="77"/>
      <c r="FA7" s="77"/>
      <c r="FB7" s="77"/>
      <c r="FC7" s="77"/>
      <c r="FD7" s="77"/>
      <c r="FE7" s="77"/>
      <c r="FF7" s="77"/>
      <c r="FG7" s="77"/>
      <c r="FH7" s="77"/>
      <c r="FI7" s="77"/>
      <c r="FJ7" s="77"/>
      <c r="FK7" s="77"/>
      <c r="FL7" s="77"/>
      <c r="FM7" s="77"/>
      <c r="FN7" s="77"/>
      <c r="FO7" s="77"/>
      <c r="FP7" s="77"/>
      <c r="FQ7" s="77"/>
      <c r="FR7" s="77"/>
      <c r="FS7" s="77"/>
      <c r="FT7" s="77"/>
      <c r="FU7" s="77"/>
      <c r="FV7" s="77"/>
      <c r="FW7" s="77"/>
      <c r="FX7" s="77"/>
      <c r="FY7" s="77"/>
      <c r="FZ7" s="77"/>
      <c r="GA7" s="77"/>
      <c r="GB7" s="77"/>
      <c r="GC7" s="77"/>
      <c r="GD7" s="77"/>
      <c r="GE7" s="77"/>
      <c r="GF7" s="77"/>
      <c r="GG7" s="77"/>
      <c r="GH7" s="77"/>
      <c r="GI7" s="77"/>
      <c r="GJ7" s="77"/>
      <c r="GK7" s="77"/>
      <c r="GL7" s="77"/>
      <c r="GM7" s="77"/>
      <c r="GN7" s="77"/>
      <c r="GO7" s="77"/>
      <c r="GP7" s="77"/>
      <c r="GQ7" s="77"/>
      <c r="GR7" s="77"/>
      <c r="GS7" s="77"/>
      <c r="GT7" s="77"/>
      <c r="GU7" s="77"/>
      <c r="GV7" s="77"/>
      <c r="GW7" s="77"/>
      <c r="GX7" s="77"/>
      <c r="GY7" s="77"/>
      <c r="GZ7" s="77"/>
      <c r="HA7" s="77"/>
      <c r="HB7" s="77"/>
      <c r="HC7" s="77"/>
      <c r="HD7" s="77"/>
      <c r="HE7" s="77"/>
      <c r="HF7" s="77"/>
      <c r="HG7" s="77"/>
      <c r="HH7" s="77"/>
      <c r="HI7" s="77"/>
      <c r="HJ7" s="77"/>
      <c r="HK7" s="77"/>
      <c r="HL7" s="77"/>
      <c r="HM7" s="77"/>
      <c r="HN7" s="77"/>
      <c r="HO7" s="77"/>
      <c r="HP7" s="77"/>
      <c r="HQ7" s="77"/>
      <c r="HR7" s="77"/>
      <c r="HS7" s="77"/>
      <c r="HT7" s="77"/>
      <c r="HU7" s="77"/>
      <c r="HV7" s="77"/>
      <c r="HW7" s="77"/>
      <c r="HX7" s="77"/>
      <c r="HY7" s="77"/>
      <c r="HZ7" s="77"/>
      <c r="IA7" s="77"/>
      <c r="IB7" s="77"/>
      <c r="IC7" s="77"/>
      <c r="ID7" s="77"/>
      <c r="IE7" s="77"/>
      <c r="IF7" s="77"/>
      <c r="IG7" s="77"/>
      <c r="IH7" s="77"/>
      <c r="II7" s="77"/>
      <c r="IJ7" s="77"/>
      <c r="IK7" s="77"/>
      <c r="IL7" s="77"/>
      <c r="IM7" s="77"/>
      <c r="IN7" s="77"/>
      <c r="IO7" s="77"/>
      <c r="IP7" s="77"/>
      <c r="IQ7" s="77"/>
      <c r="IR7" s="77"/>
      <c r="IS7" s="77"/>
      <c r="IT7" s="77"/>
      <c r="IU7" s="77"/>
      <c r="IV7" s="77"/>
      <c r="IW7" s="77"/>
      <c r="IX7" s="77"/>
      <c r="IY7" s="77"/>
      <c r="IZ7" s="77"/>
      <c r="JA7" s="77"/>
      <c r="JB7" s="77"/>
      <c r="JC7" s="77"/>
      <c r="JD7" s="77"/>
      <c r="JE7" s="77"/>
      <c r="JF7" s="77"/>
      <c r="JG7" s="77"/>
      <c r="JH7" s="77"/>
      <c r="JI7" s="77"/>
      <c r="JJ7" s="77"/>
      <c r="JK7" s="77"/>
      <c r="JL7" s="77"/>
      <c r="JM7" s="77"/>
      <c r="JN7" s="77"/>
      <c r="JO7" s="77"/>
      <c r="JP7" s="77"/>
      <c r="JQ7" s="77"/>
      <c r="JR7" s="77"/>
      <c r="JS7" s="77"/>
      <c r="JT7" s="77"/>
      <c r="JU7" s="77"/>
      <c r="JV7" s="77"/>
      <c r="JW7" s="77"/>
      <c r="JX7" s="77"/>
      <c r="JY7" s="77"/>
      <c r="JZ7" s="77"/>
      <c r="KA7" s="77"/>
      <c r="KB7" s="77"/>
      <c r="KC7" s="77"/>
      <c r="KD7" s="77"/>
      <c r="KE7" s="77"/>
      <c r="KF7" s="77"/>
      <c r="KG7" s="77"/>
      <c r="KH7" s="77"/>
      <c r="KI7" s="77"/>
      <c r="KJ7" s="77"/>
      <c r="KK7" s="77"/>
      <c r="KL7" s="77"/>
      <c r="KM7" s="77"/>
      <c r="KN7" s="77"/>
      <c r="KO7" s="77"/>
      <c r="KP7" s="77"/>
      <c r="KQ7" s="77"/>
      <c r="KR7" s="77"/>
      <c r="KS7" s="77"/>
      <c r="KT7" s="77"/>
      <c r="KU7" s="77"/>
      <c r="KV7" s="77"/>
      <c r="KW7" s="77"/>
      <c r="KX7" s="77"/>
      <c r="KY7" s="77"/>
      <c r="KZ7" s="77"/>
      <c r="LA7" s="77"/>
      <c r="LB7" s="77"/>
      <c r="LC7" s="77"/>
      <c r="LD7" s="77"/>
      <c r="LE7" s="77"/>
      <c r="LF7" s="77"/>
      <c r="LG7" s="77"/>
      <c r="LH7" s="77"/>
      <c r="LI7" s="77"/>
      <c r="LJ7" s="77"/>
      <c r="LK7" s="77"/>
      <c r="LL7" s="77"/>
      <c r="LM7" s="77"/>
      <c r="LN7" s="77"/>
      <c r="LO7" s="77"/>
      <c r="LP7" s="77"/>
      <c r="LQ7" s="77"/>
      <c r="LR7" s="77"/>
      <c r="LS7" s="77"/>
      <c r="LT7" s="77"/>
      <c r="LU7" s="77"/>
      <c r="LV7" s="77"/>
      <c r="LW7" s="77"/>
      <c r="LX7" s="77"/>
      <c r="LY7" s="77"/>
      <c r="LZ7" s="77"/>
      <c r="MA7" s="77"/>
      <c r="MB7" s="77"/>
      <c r="MC7" s="77"/>
      <c r="MD7" s="77"/>
      <c r="ME7" s="77"/>
      <c r="MF7" s="77"/>
      <c r="MG7" s="77"/>
      <c r="MH7" s="77"/>
      <c r="MI7" s="77"/>
      <c r="MJ7" s="77"/>
      <c r="MK7" s="77"/>
      <c r="ML7" s="77"/>
      <c r="MM7" s="77"/>
      <c r="MN7" s="77"/>
      <c r="MO7" s="77"/>
      <c r="MP7" s="77"/>
      <c r="MQ7" s="77"/>
      <c r="MR7" s="77"/>
      <c r="MS7" s="77"/>
      <c r="MT7" s="77"/>
      <c r="MU7" s="77"/>
      <c r="MV7" s="77"/>
      <c r="MW7" s="77"/>
      <c r="MX7" s="77"/>
      <c r="MY7" s="77"/>
      <c r="MZ7" s="77"/>
      <c r="NA7" s="77"/>
      <c r="NB7" s="77"/>
      <c r="NC7" s="77"/>
      <c r="ND7" s="77"/>
      <c r="NE7" s="77"/>
      <c r="NF7" s="77"/>
      <c r="NG7" s="77"/>
      <c r="NH7" s="77"/>
      <c r="NI7" s="77"/>
      <c r="NJ7" s="77"/>
      <c r="NK7" s="77"/>
      <c r="NL7" s="77"/>
      <c r="NM7" s="77"/>
      <c r="NN7" s="77"/>
      <c r="NO7" s="77"/>
      <c r="NP7" s="77"/>
      <c r="NQ7" s="77"/>
      <c r="NR7" s="77"/>
      <c r="NS7" s="77"/>
      <c r="NT7" s="77"/>
      <c r="NU7" s="77"/>
      <c r="NV7" s="77"/>
      <c r="NW7" s="77"/>
      <c r="NX7" s="77"/>
      <c r="NY7" s="77"/>
      <c r="NZ7" s="77"/>
      <c r="OA7" s="77"/>
      <c r="OB7" s="77"/>
      <c r="OC7" s="77"/>
      <c r="OD7" s="77"/>
      <c r="OE7" s="77"/>
      <c r="OF7" s="77"/>
      <c r="OG7" s="77"/>
      <c r="OH7" s="77"/>
      <c r="OI7" s="77"/>
      <c r="OJ7" s="77"/>
      <c r="OK7" s="77"/>
      <c r="OL7" s="77"/>
      <c r="OM7" s="77"/>
      <c r="ON7" s="77"/>
      <c r="OO7" s="77"/>
      <c r="OP7" s="77"/>
      <c r="OQ7" s="77"/>
      <c r="OR7" s="77"/>
      <c r="OS7" s="77"/>
      <c r="OT7" s="77"/>
      <c r="OU7" s="77"/>
      <c r="OV7" s="77"/>
      <c r="OW7" s="77"/>
      <c r="OX7" s="77"/>
      <c r="OY7" s="77"/>
      <c r="OZ7" s="77"/>
      <c r="PA7" s="77"/>
      <c r="PB7" s="77"/>
      <c r="PC7" s="77"/>
      <c r="PD7" s="77"/>
      <c r="PE7" s="77"/>
      <c r="PF7" s="77"/>
      <c r="PG7" s="77"/>
      <c r="PH7" s="77"/>
      <c r="PI7" s="77"/>
      <c r="PJ7" s="77"/>
      <c r="PK7" s="77"/>
      <c r="PL7" s="77"/>
      <c r="PM7" s="77"/>
      <c r="PN7" s="77"/>
      <c r="PO7" s="77"/>
      <c r="PP7" s="77"/>
      <c r="PQ7" s="77"/>
      <c r="PR7" s="77"/>
      <c r="PS7" s="77"/>
      <c r="PT7" s="77"/>
      <c r="PU7" s="77"/>
      <c r="PV7" s="672" t="s">
        <v>147</v>
      </c>
      <c r="PW7" s="672"/>
      <c r="PX7" s="672"/>
      <c r="PY7" s="672"/>
      <c r="PZ7" s="688" t="s">
        <v>643</v>
      </c>
      <c r="QA7" s="688"/>
      <c r="QB7" s="688"/>
      <c r="QC7" s="674" t="s">
        <v>154</v>
      </c>
      <c r="QD7" s="674"/>
      <c r="QE7" s="674"/>
      <c r="QF7" s="674"/>
      <c r="QG7" s="675" t="s">
        <v>641</v>
      </c>
      <c r="QH7" s="675"/>
      <c r="QI7" s="675"/>
      <c r="QJ7" s="675"/>
      <c r="QK7" s="675"/>
      <c r="QL7" s="675"/>
      <c r="QM7" s="689" t="s">
        <v>280</v>
      </c>
      <c r="QN7" s="689"/>
      <c r="QO7" s="689"/>
      <c r="QP7" s="689"/>
      <c r="QQ7" s="689"/>
      <c r="QR7" s="689"/>
      <c r="QS7" s="689"/>
      <c r="QT7" s="689"/>
      <c r="QU7" s="677" t="s">
        <v>283</v>
      </c>
      <c r="QV7" s="677"/>
      <c r="QW7" s="677"/>
      <c r="QX7" s="677"/>
      <c r="QY7" s="677"/>
      <c r="QZ7" s="677"/>
      <c r="RA7" s="677"/>
      <c r="RB7" s="677"/>
      <c r="RC7" s="677"/>
      <c r="RD7" s="677"/>
      <c r="RE7" s="677"/>
      <c r="RF7" s="677"/>
      <c r="RG7" s="677"/>
      <c r="RH7" s="84" t="s">
        <v>644</v>
      </c>
      <c r="RI7" s="690" t="s">
        <v>294</v>
      </c>
      <c r="RJ7" s="690"/>
      <c r="RK7" s="690"/>
      <c r="RL7" s="690"/>
      <c r="RM7" s="690"/>
      <c r="RN7" s="690"/>
      <c r="RO7" s="690"/>
      <c r="RP7" s="690"/>
      <c r="RQ7" s="690"/>
      <c r="RR7" s="676" t="s">
        <v>236</v>
      </c>
      <c r="RS7" s="676"/>
      <c r="RT7" s="676"/>
      <c r="RU7" s="676"/>
      <c r="RV7" s="676"/>
      <c r="RW7" s="676"/>
      <c r="RX7" s="689" t="s">
        <v>300</v>
      </c>
      <c r="RY7" s="689"/>
      <c r="RZ7" s="689"/>
      <c r="SA7" s="689"/>
      <c r="SB7" s="685" t="s">
        <v>657</v>
      </c>
      <c r="SC7" s="685"/>
      <c r="SD7" s="685"/>
      <c r="SE7" s="685"/>
      <c r="SF7" s="685"/>
      <c r="SG7" s="685"/>
      <c r="SH7" s="685"/>
      <c r="SI7" s="685"/>
      <c r="SJ7" s="685"/>
      <c r="SK7" s="685"/>
      <c r="SL7" s="685"/>
      <c r="SM7" s="685"/>
      <c r="SN7" s="685"/>
      <c r="SO7" s="685"/>
      <c r="SP7" s="685"/>
      <c r="SQ7" s="685"/>
      <c r="SR7" s="685"/>
      <c r="SS7" s="685"/>
      <c r="ST7" s="685"/>
      <c r="SU7" s="685"/>
      <c r="SV7" s="685"/>
      <c r="SW7" s="685"/>
      <c r="SX7" s="685"/>
      <c r="SY7" s="685"/>
      <c r="SZ7" s="685"/>
      <c r="TA7" s="681" t="s">
        <v>642</v>
      </c>
      <c r="TB7" s="681"/>
      <c r="TC7" s="681"/>
      <c r="TD7" s="681" t="s">
        <v>500</v>
      </c>
      <c r="TE7" s="681"/>
      <c r="TF7" s="681"/>
      <c r="TG7" s="681"/>
      <c r="TH7" s="681"/>
      <c r="TI7" s="681"/>
      <c r="TJ7" s="681"/>
      <c r="TK7" s="681"/>
      <c r="TL7" s="686" t="s">
        <v>315</v>
      </c>
      <c r="TM7" s="686"/>
      <c r="TN7" s="686"/>
      <c r="TO7" s="686"/>
      <c r="TP7" s="686"/>
      <c r="TQ7" s="686"/>
      <c r="TR7" s="678" t="s">
        <v>638</v>
      </c>
      <c r="TS7" s="678"/>
      <c r="TT7" s="678"/>
      <c r="TU7" s="678"/>
      <c r="TV7" s="678"/>
      <c r="TW7" s="678"/>
      <c r="TX7" s="678"/>
      <c r="TY7" s="678"/>
      <c r="TZ7" s="678"/>
      <c r="UA7" s="686" t="s">
        <v>645</v>
      </c>
      <c r="UB7" s="686"/>
      <c r="UC7" s="686"/>
      <c r="UD7" s="679" t="s">
        <v>327</v>
      </c>
      <c r="UE7" s="679"/>
      <c r="UF7" s="679"/>
      <c r="UG7" s="679"/>
      <c r="UH7" s="679"/>
      <c r="UI7" s="679"/>
      <c r="UJ7" s="679"/>
      <c r="UK7" s="679"/>
      <c r="UL7" s="679"/>
      <c r="UM7" s="679"/>
      <c r="UN7" s="679"/>
      <c r="UO7" s="679"/>
      <c r="UP7" s="679"/>
      <c r="UQ7" s="679"/>
      <c r="UR7" s="679"/>
      <c r="US7" s="679"/>
      <c r="UT7" s="679"/>
      <c r="UU7" s="679"/>
      <c r="UV7" s="679"/>
      <c r="UW7" s="679"/>
      <c r="UX7" s="679"/>
      <c r="UY7" s="679"/>
      <c r="UZ7" s="679"/>
      <c r="VA7" s="680" t="s">
        <v>338</v>
      </c>
      <c r="VB7" s="680"/>
      <c r="VC7" s="680"/>
      <c r="VD7" s="680"/>
      <c r="VE7" s="680"/>
      <c r="VF7" s="680"/>
      <c r="VG7" s="680"/>
      <c r="VH7" s="680"/>
      <c r="VI7" s="687" t="s">
        <v>640</v>
      </c>
      <c r="VJ7" s="687"/>
      <c r="VK7" s="687"/>
      <c r="VL7" s="687"/>
      <c r="VM7" s="687"/>
      <c r="VN7" s="687"/>
      <c r="VO7" s="687"/>
      <c r="VP7" s="687"/>
      <c r="VQ7" s="687"/>
      <c r="VR7" s="687"/>
      <c r="VS7" s="687"/>
      <c r="VT7" s="687"/>
      <c r="VU7" s="687"/>
      <c r="VV7" s="687"/>
      <c r="VW7" s="687"/>
      <c r="VX7" s="687"/>
      <c r="VY7" s="687"/>
      <c r="VZ7" s="687"/>
      <c r="WA7" s="687"/>
      <c r="WB7" s="687"/>
      <c r="WC7" s="687"/>
      <c r="WD7" s="687"/>
      <c r="WE7" s="687"/>
      <c r="WF7" s="683" t="s">
        <v>639</v>
      </c>
      <c r="WG7" s="683"/>
      <c r="WH7" s="683"/>
      <c r="WI7" s="683"/>
      <c r="WJ7" s="683"/>
      <c r="WK7" s="683"/>
      <c r="WL7" s="683"/>
      <c r="WM7" s="683"/>
      <c r="WN7" s="683"/>
      <c r="WO7" s="683"/>
      <c r="WP7" s="683"/>
      <c r="WQ7" s="683"/>
      <c r="WR7" s="683"/>
      <c r="WS7" s="683"/>
      <c r="WT7" s="683"/>
      <c r="WU7" s="683"/>
      <c r="WV7" s="683"/>
      <c r="WW7" s="683"/>
      <c r="WX7" s="683"/>
      <c r="WY7" s="683"/>
      <c r="WZ7" s="683"/>
      <c r="XA7" s="683"/>
      <c r="XB7" s="683"/>
      <c r="XC7" s="683"/>
      <c r="XD7" s="683"/>
      <c r="XE7" s="683"/>
      <c r="XF7" s="683"/>
      <c r="XG7" s="683"/>
      <c r="XH7" s="683"/>
      <c r="XI7" s="683"/>
      <c r="XJ7" s="683"/>
      <c r="XK7" s="683"/>
      <c r="XL7" s="683"/>
      <c r="XM7" s="683"/>
      <c r="XN7" s="77"/>
      <c r="XO7" s="77"/>
      <c r="XP7" s="77"/>
      <c r="XQ7" s="77"/>
      <c r="XR7" s="77"/>
      <c r="XS7" s="77"/>
      <c r="XT7" s="77"/>
      <c r="XU7" s="77"/>
      <c r="XV7" s="77"/>
      <c r="XW7" s="77"/>
      <c r="XX7" s="77"/>
      <c r="XY7" s="77"/>
      <c r="XZ7" s="77"/>
      <c r="YA7" s="77"/>
      <c r="YB7" s="77"/>
      <c r="YC7" s="77"/>
      <c r="YD7" s="77"/>
      <c r="YE7" s="77"/>
      <c r="YF7" s="77"/>
      <c r="YG7" s="77"/>
      <c r="YH7" s="77"/>
      <c r="YI7" s="77"/>
      <c r="YJ7" s="77"/>
      <c r="YK7" s="77"/>
      <c r="YL7" s="77"/>
      <c r="YM7" s="77"/>
      <c r="YN7" s="77"/>
      <c r="YO7" s="77"/>
      <c r="YP7" s="77"/>
      <c r="YQ7" s="77"/>
      <c r="YR7" s="77"/>
      <c r="YS7" s="77"/>
      <c r="YT7" s="77"/>
      <c r="YU7" s="77"/>
      <c r="YV7" s="77"/>
      <c r="YW7" s="77"/>
      <c r="YX7" s="77"/>
      <c r="YY7" s="77"/>
      <c r="YZ7" s="77"/>
      <c r="ZA7" s="77"/>
      <c r="ZB7" s="77"/>
      <c r="ZC7" s="77"/>
      <c r="ZD7" s="77"/>
      <c r="ZE7" s="77"/>
      <c r="ZF7" s="77"/>
      <c r="ZG7" s="77"/>
      <c r="ZH7" s="77"/>
      <c r="ZI7" s="77"/>
      <c r="ZJ7" s="77"/>
      <c r="ZK7" s="77"/>
      <c r="ZL7" s="77"/>
      <c r="ZM7" s="77"/>
      <c r="ZN7" s="77"/>
      <c r="ZO7" s="77"/>
      <c r="ZP7" s="77"/>
      <c r="ZQ7" s="77"/>
      <c r="ZR7" s="77"/>
      <c r="ZS7" s="77"/>
      <c r="ZT7" s="77"/>
      <c r="ZU7" s="77"/>
      <c r="ZV7" s="77"/>
      <c r="ZW7" s="77"/>
      <c r="ZX7" s="77"/>
      <c r="ZY7" s="77"/>
      <c r="ZZ7" s="77"/>
      <c r="AAA7" s="77"/>
      <c r="AAB7" s="77"/>
      <c r="AAC7" s="77"/>
      <c r="AAD7" s="77"/>
      <c r="AAE7" s="77"/>
      <c r="AAF7" s="77"/>
      <c r="AAG7" s="77"/>
      <c r="AAH7" s="77"/>
      <c r="AAI7" s="77"/>
      <c r="AAJ7" s="77"/>
      <c r="AAK7" s="77"/>
      <c r="AAL7" s="77"/>
      <c r="AAM7" s="77"/>
      <c r="AAN7" s="77"/>
      <c r="AAO7" s="77"/>
      <c r="AAP7" s="77"/>
      <c r="AAQ7" s="77"/>
      <c r="AAR7" s="77"/>
      <c r="AAS7" s="77"/>
      <c r="AAT7" s="77"/>
      <c r="AAU7" s="77"/>
      <c r="AAV7" s="77"/>
      <c r="AAW7" s="77"/>
      <c r="AAX7" s="77"/>
      <c r="AAY7" s="77"/>
      <c r="AAZ7" s="77"/>
      <c r="ABA7" s="77"/>
      <c r="ABB7" s="77"/>
      <c r="ABC7" s="77"/>
      <c r="ABD7" s="77"/>
      <c r="ABE7" s="77"/>
      <c r="ABF7" s="77"/>
      <c r="ABG7" s="77"/>
      <c r="ABH7" s="77"/>
      <c r="ABI7" s="77"/>
      <c r="ABJ7" s="77"/>
      <c r="ABK7" s="77"/>
      <c r="ABL7" s="77"/>
      <c r="ABM7" s="77"/>
      <c r="ABN7" s="77"/>
      <c r="ABO7" s="77"/>
      <c r="ABP7" s="77"/>
      <c r="ABQ7" s="77"/>
      <c r="ABR7" s="77"/>
      <c r="ABS7" s="77"/>
      <c r="ABT7" s="77"/>
      <c r="ABU7" s="77"/>
      <c r="ABV7" s="77"/>
      <c r="ABW7" s="77"/>
      <c r="ABX7" s="77"/>
      <c r="ABY7" s="77"/>
      <c r="ABZ7" s="77"/>
      <c r="ACA7" s="77"/>
      <c r="ACB7" s="77"/>
      <c r="ACC7" s="77"/>
      <c r="ACD7" s="77"/>
      <c r="ACE7" s="77"/>
      <c r="ACF7" s="77"/>
      <c r="ACG7" s="77"/>
      <c r="ACH7" s="77"/>
      <c r="ACI7" s="77"/>
      <c r="ACJ7" s="77"/>
      <c r="ACK7" s="77"/>
      <c r="ACL7" s="77"/>
      <c r="ACM7" s="77"/>
      <c r="ACN7" s="77"/>
      <c r="ACO7" s="77"/>
      <c r="ACP7" s="77"/>
      <c r="ACQ7" s="77"/>
      <c r="ACR7" s="77"/>
      <c r="ACS7" s="77"/>
      <c r="ACT7" s="77"/>
      <c r="ACU7" s="77"/>
      <c r="ACV7" s="77"/>
      <c r="ACW7" s="77"/>
      <c r="ACX7" s="77"/>
      <c r="ACY7" s="77"/>
      <c r="ACZ7" s="77"/>
      <c r="ADA7" s="77"/>
      <c r="ADB7" s="77"/>
      <c r="ADC7" s="77"/>
      <c r="ADD7" s="77"/>
      <c r="ADE7" s="77"/>
      <c r="ADF7" s="77"/>
      <c r="ADG7" s="77"/>
      <c r="ADH7" s="77"/>
      <c r="ADI7" s="77"/>
      <c r="ADJ7" s="77"/>
      <c r="ADK7" s="77"/>
      <c r="ADL7" s="77"/>
      <c r="ADM7" s="77"/>
      <c r="ADN7" s="77"/>
      <c r="ADO7" s="77"/>
      <c r="ADP7" s="77"/>
      <c r="ADQ7" s="77"/>
      <c r="ADR7" s="77"/>
      <c r="ADS7" s="77"/>
      <c r="ADT7" s="77"/>
      <c r="ADU7" s="77"/>
      <c r="ADV7" s="77"/>
      <c r="ADW7" s="77"/>
      <c r="ADX7" s="77"/>
      <c r="ADY7" s="77"/>
      <c r="ADZ7" s="77"/>
      <c r="AEA7" s="77"/>
      <c r="AEB7" s="77"/>
      <c r="AEC7" s="77"/>
      <c r="AED7" s="77"/>
      <c r="AEE7" s="77"/>
      <c r="AEF7" s="77"/>
      <c r="AEG7" s="77"/>
      <c r="AEH7" s="77"/>
      <c r="AEI7" s="77"/>
      <c r="AEJ7" s="77"/>
      <c r="AEK7" s="77"/>
      <c r="AEL7" s="77"/>
      <c r="AEM7" s="77"/>
      <c r="AEN7" s="77"/>
      <c r="AEO7" s="77"/>
      <c r="AEP7" s="77"/>
      <c r="AEQ7" s="77"/>
      <c r="AER7" s="77"/>
      <c r="AES7" s="77"/>
      <c r="AET7" s="77"/>
      <c r="AEU7" s="77"/>
      <c r="AEV7" s="77"/>
      <c r="AEW7" s="77"/>
      <c r="AEX7" s="77"/>
      <c r="AEY7" s="77"/>
      <c r="AEZ7" s="77"/>
      <c r="AFA7" s="77"/>
      <c r="AFB7" s="77"/>
      <c r="AFC7" s="77"/>
      <c r="AFD7" s="77"/>
      <c r="AFE7" s="77"/>
      <c r="AFF7" s="77"/>
      <c r="AFG7" s="77"/>
      <c r="AFH7" s="77"/>
      <c r="AFI7" s="77"/>
      <c r="AFJ7" s="77"/>
      <c r="AFK7" s="77"/>
      <c r="AFL7" s="77"/>
      <c r="AFM7" s="77"/>
      <c r="AFN7" s="77"/>
      <c r="AFO7" s="77"/>
      <c r="AFP7" s="77"/>
      <c r="AFQ7" s="77"/>
      <c r="AFR7" s="77"/>
      <c r="AFS7" s="77"/>
      <c r="AFT7" s="77"/>
      <c r="AFU7" s="77"/>
      <c r="AFV7" s="77"/>
      <c r="AFW7" s="77"/>
      <c r="AFX7" s="77"/>
      <c r="AFY7" s="77"/>
      <c r="AFZ7" s="77"/>
      <c r="AGA7" s="77"/>
      <c r="AGB7" s="77"/>
      <c r="AGC7" s="77"/>
      <c r="AGD7" s="77"/>
      <c r="AGE7" s="77"/>
      <c r="AGF7" s="77"/>
      <c r="AGG7" s="77"/>
      <c r="AGH7" s="77"/>
      <c r="AGI7" s="77"/>
      <c r="AGJ7" s="77"/>
      <c r="AGK7" s="77"/>
      <c r="AGL7" s="77"/>
      <c r="AGM7" s="77"/>
      <c r="AGN7" s="77"/>
      <c r="AGO7" s="77"/>
      <c r="AGP7" s="77"/>
      <c r="AGQ7" s="77"/>
      <c r="AGR7" s="77"/>
      <c r="AGS7" s="77"/>
      <c r="AGT7" s="77"/>
      <c r="AGU7" s="77"/>
      <c r="AGV7" s="77"/>
      <c r="AGW7" s="77"/>
      <c r="AGX7" s="77"/>
      <c r="AGY7" s="77"/>
      <c r="AGZ7" s="77"/>
      <c r="AHA7" s="77"/>
      <c r="AHB7" s="77"/>
      <c r="AHC7" s="77"/>
      <c r="AHD7" s="77"/>
      <c r="AHE7" s="77"/>
      <c r="AHF7" s="77"/>
      <c r="AHG7" s="77"/>
      <c r="AHH7" s="77"/>
      <c r="AHI7" s="77"/>
      <c r="AHJ7" s="77"/>
      <c r="AHK7" s="77"/>
      <c r="AHL7" s="77"/>
      <c r="AHM7" s="77"/>
      <c r="AHN7" s="77"/>
      <c r="AHO7" s="77"/>
      <c r="AHP7" s="77"/>
      <c r="AHQ7" s="77"/>
      <c r="AHR7" s="77"/>
      <c r="AHS7" s="77"/>
      <c r="AHT7" s="77"/>
      <c r="AHU7" s="77"/>
      <c r="AHV7" s="77"/>
      <c r="AHW7" s="77"/>
      <c r="AHX7" s="77"/>
      <c r="AHY7" s="77"/>
      <c r="AHZ7" s="77"/>
      <c r="AIA7" s="77"/>
      <c r="AIB7" s="77"/>
      <c r="AIC7" s="77"/>
      <c r="AID7" s="77"/>
      <c r="AIE7" s="77"/>
      <c r="AIF7" s="77"/>
      <c r="AIG7" s="77"/>
      <c r="AIH7" s="77"/>
      <c r="AII7" s="77"/>
      <c r="AIJ7" s="77"/>
      <c r="AIK7" s="77"/>
      <c r="AIL7" s="77"/>
      <c r="AIM7" s="77"/>
      <c r="AIN7" s="77"/>
      <c r="AIO7" s="77"/>
      <c r="AIP7" s="77"/>
      <c r="AIQ7" s="77"/>
      <c r="AIR7" s="77"/>
      <c r="AIS7" s="77"/>
      <c r="AIT7" s="77"/>
      <c r="AIU7" s="77"/>
      <c r="AIV7" s="77"/>
      <c r="AIW7" s="77"/>
      <c r="AIX7" s="77"/>
      <c r="AIY7" s="77"/>
      <c r="AIZ7" s="77"/>
      <c r="AJA7" s="77"/>
      <c r="AJB7" s="77"/>
      <c r="AJC7" s="77"/>
      <c r="AJD7" s="77"/>
      <c r="AJE7" s="77"/>
      <c r="AJF7" s="77"/>
      <c r="AJG7" s="77"/>
      <c r="AJH7" s="77"/>
      <c r="AJI7" s="77"/>
      <c r="AJJ7" s="77"/>
      <c r="AJK7" s="77"/>
      <c r="AJL7" s="77"/>
      <c r="AJM7" s="77"/>
      <c r="AJN7" s="77"/>
      <c r="AJO7" s="77"/>
      <c r="AJP7" s="77"/>
      <c r="AJQ7" s="77"/>
      <c r="AJR7" s="77"/>
      <c r="AJS7" s="77"/>
      <c r="AJT7" s="77"/>
      <c r="AJU7" s="77"/>
      <c r="AJV7" s="77"/>
      <c r="AJW7" s="77"/>
      <c r="AJX7" s="77"/>
      <c r="AJY7" s="77"/>
      <c r="AJZ7" s="77"/>
      <c r="AKA7" s="77"/>
      <c r="AKB7" s="77"/>
      <c r="AKC7" s="77"/>
      <c r="AKD7" s="77"/>
      <c r="AKE7" s="77"/>
      <c r="AKF7" s="77"/>
      <c r="AKG7" s="77"/>
      <c r="AKH7" s="77"/>
      <c r="AKI7" s="77"/>
      <c r="AKJ7" s="77"/>
      <c r="AKK7" s="77"/>
      <c r="AKL7" s="77"/>
      <c r="AKM7" s="77"/>
      <c r="AKN7" s="77"/>
      <c r="AKO7" s="77"/>
      <c r="AKP7" s="77"/>
      <c r="AKQ7" s="77"/>
      <c r="AKR7" s="77"/>
      <c r="AKS7" s="77"/>
      <c r="AKT7" s="77"/>
      <c r="AKU7" s="77"/>
      <c r="AKV7" s="77"/>
      <c r="AKW7" s="77"/>
      <c r="AKX7" s="77"/>
      <c r="AKY7" s="77"/>
      <c r="AKZ7" s="77"/>
      <c r="ALA7" s="77"/>
      <c r="ALB7" s="77"/>
      <c r="ALC7" s="77"/>
      <c r="ALD7" s="77"/>
      <c r="ALE7" s="77"/>
      <c r="ALF7" s="77"/>
      <c r="ALG7" s="77"/>
      <c r="ALH7" s="77"/>
      <c r="ALI7" s="77"/>
      <c r="ALJ7" s="77"/>
      <c r="ALK7" s="77"/>
      <c r="ALL7" s="77"/>
      <c r="ALM7" s="77"/>
      <c r="ALN7" s="77"/>
      <c r="ALO7" s="77"/>
      <c r="ALP7" s="77"/>
      <c r="ALQ7" s="77"/>
      <c r="ALR7" s="77"/>
      <c r="ALS7" s="77"/>
      <c r="ALT7" s="77"/>
      <c r="ALU7" s="77"/>
      <c r="ALV7" s="77"/>
      <c r="ALW7" s="77"/>
      <c r="ALX7" s="77"/>
      <c r="ALY7" s="77"/>
      <c r="ALZ7" s="77"/>
      <c r="AMA7" s="77"/>
      <c r="AMB7" s="77"/>
      <c r="AMC7" s="77"/>
      <c r="AMD7" s="77"/>
      <c r="AME7" s="77"/>
      <c r="AMF7" s="77"/>
      <c r="AMG7" s="77"/>
      <c r="AMH7" s="77"/>
      <c r="AMI7" s="77"/>
      <c r="AMJ7" s="77"/>
      <c r="AMK7" s="77"/>
      <c r="AML7" s="77"/>
      <c r="AMM7" s="77"/>
      <c r="AMN7" s="77"/>
      <c r="AMO7" s="77"/>
      <c r="AMP7" s="77"/>
      <c r="AMQ7" s="77"/>
      <c r="AMR7" s="77"/>
      <c r="AMS7" s="77"/>
      <c r="AMT7" s="77"/>
      <c r="AMU7" s="77"/>
      <c r="AMV7" s="77"/>
      <c r="AMW7" s="77"/>
      <c r="AMX7" s="77"/>
      <c r="AMY7" s="77"/>
      <c r="AMZ7" s="77"/>
      <c r="ANA7" s="77"/>
      <c r="ANB7" s="77"/>
      <c r="ANC7" s="77"/>
      <c r="AND7" s="77"/>
      <c r="ANE7" s="77"/>
      <c r="ANF7" s="77"/>
      <c r="ANG7" s="77"/>
      <c r="ANH7" s="77"/>
      <c r="ANI7" s="77"/>
      <c r="ANJ7" s="77"/>
      <c r="ANK7" s="77"/>
      <c r="ANL7" s="77"/>
      <c r="ANM7" s="77"/>
      <c r="ANN7" s="77"/>
      <c r="ANO7" s="77"/>
      <c r="ANP7" s="77"/>
      <c r="ANQ7" s="77"/>
      <c r="ANR7" s="77"/>
      <c r="ANS7" s="77"/>
    </row>
    <row r="8" spans="1:1059" s="74" customFormat="1" ht="147.75" customHeight="1" thickTop="1" thickBot="1">
      <c r="A8" s="59" t="s">
        <v>614</v>
      </c>
      <c r="B8" s="59" t="s">
        <v>617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7"/>
      <c r="CK8" s="77"/>
      <c r="CL8" s="77"/>
      <c r="CM8" s="77"/>
      <c r="CN8" s="77"/>
      <c r="CO8" s="77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7"/>
      <c r="DA8" s="77"/>
      <c r="DB8" s="77"/>
      <c r="DC8" s="77"/>
      <c r="DD8" s="77"/>
      <c r="DE8" s="77"/>
      <c r="DF8" s="77"/>
      <c r="DG8" s="77"/>
      <c r="DH8" s="77"/>
      <c r="DI8" s="77"/>
      <c r="DJ8" s="77"/>
      <c r="DK8" s="77"/>
      <c r="DL8" s="77"/>
      <c r="DM8" s="77"/>
      <c r="DN8" s="77"/>
      <c r="DO8" s="77"/>
      <c r="DP8" s="77"/>
      <c r="DQ8" s="77"/>
      <c r="DR8" s="77"/>
      <c r="DS8" s="77"/>
      <c r="DT8" s="77"/>
      <c r="DU8" s="77"/>
      <c r="DV8" s="77"/>
      <c r="DW8" s="77"/>
      <c r="DX8" s="77"/>
      <c r="DY8" s="77"/>
      <c r="DZ8" s="77"/>
      <c r="EA8" s="77"/>
      <c r="EB8" s="77"/>
      <c r="EC8" s="77"/>
      <c r="ED8" s="77"/>
      <c r="EE8" s="77"/>
      <c r="EF8" s="77"/>
      <c r="EG8" s="77"/>
      <c r="EH8" s="77"/>
      <c r="EI8" s="77"/>
      <c r="EJ8" s="77"/>
      <c r="EK8" s="77"/>
      <c r="EL8" s="77"/>
      <c r="EM8" s="77"/>
      <c r="EN8" s="77"/>
      <c r="EO8" s="77"/>
      <c r="EP8" s="77"/>
      <c r="EQ8" s="77"/>
      <c r="ER8" s="77"/>
      <c r="ES8" s="77"/>
      <c r="ET8" s="77"/>
      <c r="EU8" s="77"/>
      <c r="EV8" s="77"/>
      <c r="EW8" s="77"/>
      <c r="EX8" s="77"/>
      <c r="EY8" s="77"/>
      <c r="EZ8" s="77"/>
      <c r="FA8" s="77"/>
      <c r="FB8" s="77"/>
      <c r="FC8" s="77"/>
      <c r="FD8" s="77"/>
      <c r="FE8" s="77"/>
      <c r="FF8" s="77"/>
      <c r="FG8" s="77"/>
      <c r="FH8" s="77"/>
      <c r="FI8" s="77"/>
      <c r="FJ8" s="77"/>
      <c r="FK8" s="77"/>
      <c r="FL8" s="77"/>
      <c r="FM8" s="77"/>
      <c r="FN8" s="77"/>
      <c r="FO8" s="77"/>
      <c r="FP8" s="77"/>
      <c r="FQ8" s="77"/>
      <c r="FR8" s="77"/>
      <c r="FS8" s="77"/>
      <c r="FT8" s="77"/>
      <c r="FU8" s="77"/>
      <c r="FV8" s="77"/>
      <c r="FW8" s="77"/>
      <c r="FX8" s="77"/>
      <c r="FY8" s="77"/>
      <c r="FZ8" s="77"/>
      <c r="GA8" s="77"/>
      <c r="GB8" s="77"/>
      <c r="GC8" s="77"/>
      <c r="GD8" s="77"/>
      <c r="GE8" s="77"/>
      <c r="GF8" s="77"/>
      <c r="GG8" s="77"/>
      <c r="GH8" s="77"/>
      <c r="GI8" s="77"/>
      <c r="GJ8" s="77"/>
      <c r="GK8" s="77"/>
      <c r="GL8" s="77"/>
      <c r="GM8" s="77"/>
      <c r="GN8" s="77"/>
      <c r="GO8" s="77"/>
      <c r="GP8" s="77"/>
      <c r="GQ8" s="77"/>
      <c r="GR8" s="77"/>
      <c r="GS8" s="77"/>
      <c r="GT8" s="77"/>
      <c r="GU8" s="77"/>
      <c r="GV8" s="77"/>
      <c r="GW8" s="77"/>
      <c r="GX8" s="77"/>
      <c r="GY8" s="77"/>
      <c r="GZ8" s="77"/>
      <c r="HA8" s="77"/>
      <c r="HB8" s="77"/>
      <c r="HC8" s="77"/>
      <c r="HD8" s="77"/>
      <c r="HE8" s="77"/>
      <c r="HF8" s="77"/>
      <c r="HG8" s="77"/>
      <c r="HH8" s="77"/>
      <c r="HI8" s="77"/>
      <c r="HJ8" s="77"/>
      <c r="HK8" s="77"/>
      <c r="HL8" s="77"/>
      <c r="HM8" s="77"/>
      <c r="HN8" s="77"/>
      <c r="HO8" s="77"/>
      <c r="HP8" s="77"/>
      <c r="HQ8" s="77"/>
      <c r="HR8" s="77"/>
      <c r="HS8" s="77"/>
      <c r="HT8" s="77"/>
      <c r="HU8" s="77"/>
      <c r="HV8" s="77"/>
      <c r="HW8" s="77"/>
      <c r="HX8" s="77"/>
      <c r="HY8" s="77"/>
      <c r="HZ8" s="77"/>
      <c r="IA8" s="77"/>
      <c r="IB8" s="77"/>
      <c r="IC8" s="77"/>
      <c r="ID8" s="77"/>
      <c r="IE8" s="77"/>
      <c r="IF8" s="77"/>
      <c r="IG8" s="77"/>
      <c r="IH8" s="77"/>
      <c r="II8" s="77"/>
      <c r="IJ8" s="77"/>
      <c r="IK8" s="77"/>
      <c r="IL8" s="77"/>
      <c r="IM8" s="77"/>
      <c r="IN8" s="77"/>
      <c r="IO8" s="77"/>
      <c r="IP8" s="77"/>
      <c r="IQ8" s="77"/>
      <c r="IR8" s="77"/>
      <c r="IS8" s="77"/>
      <c r="IT8" s="77"/>
      <c r="IU8" s="77"/>
      <c r="IV8" s="77"/>
      <c r="IW8" s="77"/>
      <c r="IX8" s="77"/>
      <c r="IY8" s="77"/>
      <c r="IZ8" s="77"/>
      <c r="JA8" s="77"/>
      <c r="JB8" s="77"/>
      <c r="JC8" s="77"/>
      <c r="JD8" s="77"/>
      <c r="JE8" s="77"/>
      <c r="JF8" s="77"/>
      <c r="JG8" s="77"/>
      <c r="JH8" s="77"/>
      <c r="JI8" s="77"/>
      <c r="JJ8" s="77"/>
      <c r="JK8" s="77"/>
      <c r="JL8" s="77"/>
      <c r="JM8" s="77"/>
      <c r="JN8" s="77"/>
      <c r="JO8" s="77"/>
      <c r="JP8" s="77"/>
      <c r="JQ8" s="77"/>
      <c r="JR8" s="77"/>
      <c r="JS8" s="77"/>
      <c r="JT8" s="77"/>
      <c r="JU8" s="77"/>
      <c r="JV8" s="77"/>
      <c r="JW8" s="77"/>
      <c r="JX8" s="77"/>
      <c r="JY8" s="77"/>
      <c r="JZ8" s="77"/>
      <c r="KA8" s="77"/>
      <c r="KB8" s="77"/>
      <c r="KC8" s="77"/>
      <c r="KD8" s="77"/>
      <c r="KE8" s="77"/>
      <c r="KF8" s="77"/>
      <c r="KG8" s="77"/>
      <c r="KH8" s="77"/>
      <c r="KI8" s="77"/>
      <c r="KJ8" s="77"/>
      <c r="KK8" s="77"/>
      <c r="KL8" s="77"/>
      <c r="KM8" s="77"/>
      <c r="KN8" s="77"/>
      <c r="KO8" s="77"/>
      <c r="KP8" s="77"/>
      <c r="KQ8" s="77"/>
      <c r="KR8" s="77"/>
      <c r="KS8" s="77"/>
      <c r="KT8" s="77"/>
      <c r="KU8" s="77"/>
      <c r="KV8" s="77"/>
      <c r="KW8" s="77"/>
      <c r="KX8" s="77"/>
      <c r="KY8" s="77"/>
      <c r="KZ8" s="77"/>
      <c r="LA8" s="77"/>
      <c r="LB8" s="77"/>
      <c r="LC8" s="77"/>
      <c r="LD8" s="77"/>
      <c r="LE8" s="77"/>
      <c r="LF8" s="77"/>
      <c r="LG8" s="77"/>
      <c r="LH8" s="77"/>
      <c r="LI8" s="77"/>
      <c r="LJ8" s="77"/>
      <c r="LK8" s="77"/>
      <c r="LL8" s="77"/>
      <c r="LM8" s="77"/>
      <c r="LN8" s="77"/>
      <c r="LO8" s="77"/>
      <c r="LP8" s="77"/>
      <c r="LQ8" s="77"/>
      <c r="LR8" s="77"/>
      <c r="LS8" s="77"/>
      <c r="LT8" s="77"/>
      <c r="LU8" s="77"/>
      <c r="LV8" s="77"/>
      <c r="LW8" s="77"/>
      <c r="LX8" s="77"/>
      <c r="LY8" s="77"/>
      <c r="LZ8" s="77"/>
      <c r="MA8" s="77"/>
      <c r="MB8" s="77"/>
      <c r="MC8" s="77"/>
      <c r="MD8" s="77"/>
      <c r="ME8" s="77"/>
      <c r="MF8" s="77"/>
      <c r="MG8" s="77"/>
      <c r="MH8" s="77"/>
      <c r="MI8" s="77"/>
      <c r="MJ8" s="77"/>
      <c r="MK8" s="77"/>
      <c r="ML8" s="77"/>
      <c r="MM8" s="77"/>
      <c r="MN8" s="77"/>
      <c r="MO8" s="77"/>
      <c r="MP8" s="77"/>
      <c r="MQ8" s="77"/>
      <c r="MR8" s="77"/>
      <c r="MS8" s="77"/>
      <c r="MT8" s="77"/>
      <c r="MU8" s="77"/>
      <c r="MV8" s="77"/>
      <c r="MW8" s="77"/>
      <c r="MX8" s="77"/>
      <c r="MY8" s="77"/>
      <c r="MZ8" s="77"/>
      <c r="NA8" s="77"/>
      <c r="NB8" s="77"/>
      <c r="NC8" s="77"/>
      <c r="ND8" s="77"/>
      <c r="NE8" s="77"/>
      <c r="NF8" s="77"/>
      <c r="NG8" s="77"/>
      <c r="NH8" s="77"/>
      <c r="NI8" s="77"/>
      <c r="NJ8" s="77"/>
      <c r="NK8" s="77"/>
      <c r="NL8" s="77"/>
      <c r="NM8" s="77"/>
      <c r="NN8" s="77"/>
      <c r="NO8" s="77"/>
      <c r="NP8" s="77"/>
      <c r="NQ8" s="77"/>
      <c r="NR8" s="77"/>
      <c r="NS8" s="77"/>
      <c r="NT8" s="77"/>
      <c r="NU8" s="77"/>
      <c r="NV8" s="77"/>
      <c r="NW8" s="77"/>
      <c r="NX8" s="77"/>
      <c r="NY8" s="77"/>
      <c r="NZ8" s="77"/>
      <c r="OA8" s="77"/>
      <c r="OB8" s="77"/>
      <c r="OC8" s="77"/>
      <c r="OD8" s="77"/>
      <c r="OE8" s="77"/>
      <c r="OF8" s="77"/>
      <c r="OG8" s="77"/>
      <c r="OH8" s="77"/>
      <c r="OI8" s="77"/>
      <c r="OJ8" s="77"/>
      <c r="OK8" s="77"/>
      <c r="OL8" s="77"/>
      <c r="OM8" s="77"/>
      <c r="ON8" s="77"/>
      <c r="OO8" s="77"/>
      <c r="OP8" s="77"/>
      <c r="OQ8" s="77"/>
      <c r="OR8" s="77"/>
      <c r="OS8" s="77"/>
      <c r="OT8" s="77"/>
      <c r="OU8" s="77"/>
      <c r="OV8" s="77"/>
      <c r="OW8" s="77"/>
      <c r="OX8" s="77"/>
      <c r="OY8" s="77"/>
      <c r="OZ8" s="77"/>
      <c r="PA8" s="77"/>
      <c r="PB8" s="77"/>
      <c r="PC8" s="77"/>
      <c r="PD8" s="77"/>
      <c r="PE8" s="77"/>
      <c r="PF8" s="77"/>
      <c r="PG8" s="77"/>
      <c r="PH8" s="77"/>
      <c r="PI8" s="77"/>
      <c r="PJ8" s="77"/>
      <c r="PK8" s="77"/>
      <c r="PL8" s="77"/>
      <c r="PM8" s="77"/>
      <c r="PN8" s="77"/>
      <c r="PO8" s="77"/>
      <c r="PP8" s="77"/>
      <c r="PQ8" s="77"/>
      <c r="PR8" s="77"/>
      <c r="PS8" s="77"/>
      <c r="PT8" s="77"/>
      <c r="PU8" s="77"/>
      <c r="PV8" s="77"/>
      <c r="PW8" s="77"/>
      <c r="PX8" s="77"/>
      <c r="PY8" s="77"/>
      <c r="PZ8" s="77"/>
      <c r="QA8" s="77"/>
      <c r="QB8" s="77"/>
      <c r="QC8" s="77"/>
      <c r="QD8" s="77"/>
      <c r="QE8" s="77"/>
      <c r="QF8" s="77"/>
      <c r="QG8" s="77"/>
      <c r="QH8" s="77"/>
      <c r="QI8" s="77"/>
      <c r="QJ8" s="77"/>
      <c r="QK8" s="77"/>
      <c r="QL8" s="77"/>
      <c r="QM8" s="77"/>
      <c r="QN8" s="77"/>
      <c r="QO8" s="77"/>
      <c r="QP8" s="77"/>
      <c r="QQ8" s="77"/>
      <c r="QR8" s="77"/>
      <c r="QS8" s="77"/>
      <c r="QT8" s="77"/>
      <c r="QU8" s="77"/>
      <c r="QV8" s="77"/>
      <c r="QW8" s="77"/>
      <c r="QX8" s="77"/>
      <c r="QY8" s="77"/>
      <c r="QZ8" s="77"/>
      <c r="RA8" s="77"/>
      <c r="RB8" s="77"/>
      <c r="RC8" s="77"/>
      <c r="RD8" s="77"/>
      <c r="RE8" s="77"/>
      <c r="RF8" s="77"/>
      <c r="RG8" s="77"/>
      <c r="RH8" s="77"/>
      <c r="RI8" s="77"/>
      <c r="RJ8" s="77"/>
      <c r="RK8" s="77"/>
      <c r="RL8" s="77"/>
      <c r="RM8" s="77"/>
      <c r="RN8" s="77"/>
      <c r="RO8" s="77"/>
      <c r="RP8" s="77"/>
      <c r="RQ8" s="77"/>
      <c r="RR8" s="77"/>
      <c r="RS8" s="77"/>
      <c r="RT8" s="77"/>
      <c r="RU8" s="77"/>
      <c r="RV8" s="77"/>
      <c r="RW8" s="77"/>
      <c r="RX8" s="77"/>
      <c r="RY8" s="77"/>
      <c r="RZ8" s="77"/>
      <c r="SA8" s="77"/>
      <c r="SB8" s="77"/>
      <c r="SC8" s="77"/>
      <c r="SD8" s="77"/>
      <c r="SE8" s="77"/>
      <c r="SF8" s="77"/>
      <c r="SG8" s="77"/>
      <c r="SH8" s="77"/>
      <c r="SI8" s="77"/>
      <c r="SJ8" s="77"/>
      <c r="SK8" s="77"/>
      <c r="SL8" s="77"/>
      <c r="SM8" s="77"/>
      <c r="SN8" s="77"/>
      <c r="SO8" s="77"/>
      <c r="SP8" s="77"/>
      <c r="SQ8" s="77"/>
      <c r="SR8" s="77"/>
      <c r="SS8" s="77"/>
      <c r="ST8" s="77"/>
      <c r="SU8" s="77"/>
      <c r="SV8" s="77"/>
      <c r="SW8" s="77"/>
      <c r="SX8" s="77"/>
      <c r="SY8" s="77"/>
      <c r="SZ8" s="77"/>
      <c r="TA8" s="77"/>
      <c r="TB8" s="77"/>
      <c r="TC8" s="77"/>
      <c r="TD8" s="77"/>
      <c r="TE8" s="77"/>
      <c r="TF8" s="77"/>
      <c r="TG8" s="77"/>
      <c r="TH8" s="77"/>
      <c r="TI8" s="77"/>
      <c r="TJ8" s="77"/>
      <c r="TK8" s="77"/>
      <c r="TL8" s="77"/>
      <c r="TM8" s="77"/>
      <c r="TN8" s="77"/>
      <c r="TO8" s="77"/>
      <c r="TP8" s="77"/>
      <c r="TQ8" s="77"/>
      <c r="TR8" s="77"/>
      <c r="TS8" s="77"/>
      <c r="TT8" s="77"/>
      <c r="TU8" s="77"/>
      <c r="TV8" s="77"/>
      <c r="TW8" s="77"/>
      <c r="TX8" s="77"/>
      <c r="TY8" s="77"/>
      <c r="TZ8" s="77"/>
      <c r="UA8" s="77"/>
      <c r="UB8" s="77"/>
      <c r="UC8" s="77"/>
      <c r="UD8" s="77"/>
      <c r="UE8" s="77"/>
      <c r="UF8" s="77"/>
      <c r="UG8" s="77"/>
      <c r="UH8" s="77"/>
      <c r="UI8" s="77"/>
      <c r="UJ8" s="77"/>
      <c r="UK8" s="77"/>
      <c r="UL8" s="77"/>
      <c r="UM8" s="77"/>
      <c r="UN8" s="77"/>
      <c r="UO8" s="77"/>
      <c r="UP8" s="77"/>
      <c r="UQ8" s="77"/>
      <c r="UR8" s="77"/>
      <c r="US8" s="77"/>
      <c r="UT8" s="77"/>
      <c r="UU8" s="77"/>
      <c r="UV8" s="77"/>
      <c r="UW8" s="77"/>
      <c r="UX8" s="77"/>
      <c r="UY8" s="77"/>
      <c r="UZ8" s="77"/>
      <c r="VA8" s="77"/>
      <c r="VB8" s="77"/>
      <c r="VC8" s="77"/>
      <c r="VD8" s="77"/>
      <c r="VE8" s="77"/>
      <c r="VF8" s="77"/>
      <c r="VG8" s="77"/>
      <c r="VH8" s="77"/>
      <c r="VI8" s="77"/>
      <c r="VJ8" s="77"/>
      <c r="VK8" s="77"/>
      <c r="VL8" s="77"/>
      <c r="VM8" s="77"/>
      <c r="VN8" s="77"/>
      <c r="VO8" s="77"/>
      <c r="VP8" s="77"/>
      <c r="VQ8" s="77"/>
      <c r="VR8" s="77"/>
      <c r="VS8" s="77"/>
      <c r="VT8" s="77"/>
      <c r="VU8" s="77"/>
      <c r="VV8" s="77"/>
      <c r="VW8" s="77"/>
      <c r="VX8" s="77"/>
      <c r="VY8" s="77"/>
      <c r="VZ8" s="77"/>
      <c r="WA8" s="77"/>
      <c r="WB8" s="77"/>
      <c r="WC8" s="77"/>
      <c r="WD8" s="77"/>
      <c r="WE8" s="77"/>
      <c r="WF8" s="77"/>
      <c r="WG8" s="77"/>
      <c r="WH8" s="77"/>
      <c r="WI8" s="77"/>
      <c r="WJ8" s="77"/>
      <c r="WK8" s="77"/>
      <c r="WL8" s="77"/>
      <c r="WM8" s="77"/>
      <c r="WN8" s="77"/>
      <c r="WO8" s="77"/>
      <c r="WP8" s="77"/>
      <c r="WQ8" s="77"/>
      <c r="WR8" s="77"/>
      <c r="WS8" s="77"/>
      <c r="WT8" s="77"/>
      <c r="WU8" s="77"/>
      <c r="WV8" s="77"/>
      <c r="WW8" s="77"/>
      <c r="WX8" s="77"/>
      <c r="WY8" s="77"/>
      <c r="WZ8" s="77"/>
      <c r="XA8" s="77"/>
      <c r="XB8" s="77"/>
      <c r="XC8" s="77"/>
      <c r="XD8" s="77"/>
      <c r="XE8" s="77"/>
      <c r="XF8" s="77"/>
      <c r="XG8" s="77"/>
      <c r="XH8" s="77"/>
      <c r="XI8" s="77"/>
      <c r="XJ8" s="77"/>
      <c r="XK8" s="77"/>
      <c r="XL8" s="77"/>
      <c r="XM8" s="77"/>
      <c r="XN8" s="77"/>
      <c r="XO8" s="77"/>
      <c r="XP8" s="77"/>
      <c r="XQ8" s="77"/>
      <c r="XR8" s="77"/>
      <c r="XS8" s="77"/>
      <c r="XT8" s="77"/>
      <c r="XU8" s="77"/>
      <c r="XV8" s="77"/>
      <c r="XW8" s="77"/>
      <c r="XX8" s="77"/>
      <c r="XY8" s="77"/>
      <c r="XZ8" s="77"/>
      <c r="YA8" s="77"/>
      <c r="YB8" s="77"/>
      <c r="YC8" s="77"/>
      <c r="YD8" s="77"/>
      <c r="YE8" s="77"/>
      <c r="YF8" s="77"/>
      <c r="YG8" s="77"/>
      <c r="YH8" s="77"/>
      <c r="YI8" s="77"/>
      <c r="YJ8" s="77"/>
      <c r="YK8" s="77"/>
      <c r="YL8" s="77"/>
      <c r="YM8" s="77"/>
      <c r="YN8" s="77"/>
      <c r="YO8" s="77"/>
      <c r="YP8" s="77"/>
      <c r="YQ8" s="77"/>
      <c r="YR8" s="77"/>
      <c r="YS8" s="77"/>
      <c r="YT8" s="77"/>
      <c r="YU8" s="77"/>
      <c r="YV8" s="77"/>
      <c r="YW8" s="77"/>
      <c r="YX8" s="77"/>
      <c r="YY8" s="77"/>
      <c r="YZ8" s="77"/>
      <c r="ZA8" s="77"/>
      <c r="ZB8" s="77"/>
      <c r="ZC8" s="77"/>
      <c r="ZD8" s="77"/>
      <c r="ZE8" s="77"/>
      <c r="ZF8" s="77"/>
      <c r="ZG8" s="77"/>
      <c r="ZH8" s="77"/>
      <c r="ZI8" s="77"/>
      <c r="ZJ8" s="77"/>
      <c r="ZK8" s="77"/>
      <c r="ZL8" s="77"/>
      <c r="ZM8" s="77"/>
      <c r="ZN8" s="77"/>
      <c r="ZO8" s="77"/>
      <c r="ZP8" s="77"/>
      <c r="ZQ8" s="77"/>
      <c r="ZR8" s="77"/>
      <c r="ZS8" s="77"/>
      <c r="ZT8" s="77"/>
      <c r="ZU8" s="672" t="s">
        <v>147</v>
      </c>
      <c r="ZV8" s="672"/>
      <c r="ZW8" s="672"/>
      <c r="ZX8" s="672"/>
      <c r="ZY8" s="675" t="s">
        <v>371</v>
      </c>
      <c r="ZZ8" s="675"/>
      <c r="AAA8" s="675"/>
      <c r="AAB8" s="675"/>
      <c r="AAC8" s="675"/>
      <c r="AAD8" s="675"/>
      <c r="AAE8" s="675"/>
      <c r="AAF8" s="675"/>
      <c r="AAG8" s="675"/>
      <c r="AAH8" s="675"/>
      <c r="AAI8" s="675"/>
      <c r="AAJ8" s="676" t="s">
        <v>184</v>
      </c>
      <c r="AAK8" s="676"/>
      <c r="AAL8" s="676"/>
      <c r="AAM8" s="684" t="s">
        <v>660</v>
      </c>
      <c r="AAN8" s="684"/>
      <c r="AAO8" s="684"/>
      <c r="AAP8" s="684"/>
      <c r="AAQ8" s="684"/>
      <c r="AAR8" s="684"/>
      <c r="AAS8" s="674" t="s">
        <v>194</v>
      </c>
      <c r="AAT8" s="674"/>
      <c r="AAU8" s="674"/>
      <c r="AAV8" s="674"/>
      <c r="AAW8" s="675" t="s">
        <v>376</v>
      </c>
      <c r="AAX8" s="675"/>
      <c r="AAY8" s="675"/>
      <c r="AAZ8" s="675"/>
      <c r="ABA8" s="675"/>
      <c r="ABB8" s="675"/>
      <c r="ABC8" s="674" t="s">
        <v>209</v>
      </c>
      <c r="ABD8" s="674"/>
      <c r="ABE8" s="674"/>
      <c r="ABF8" s="674"/>
      <c r="ABG8" s="685" t="s">
        <v>379</v>
      </c>
      <c r="ABH8" s="685"/>
      <c r="ABI8" s="685"/>
      <c r="ABJ8" s="685"/>
      <c r="ABK8" s="685"/>
      <c r="ABL8" s="685"/>
      <c r="ABM8" s="685"/>
      <c r="ABN8" s="685"/>
      <c r="ABO8" s="685"/>
      <c r="ABP8" s="685"/>
      <c r="ABQ8" s="685"/>
      <c r="ABR8" s="685"/>
      <c r="ABS8" s="685"/>
      <c r="ABT8" s="685"/>
      <c r="ABU8" s="685"/>
      <c r="ABV8" s="685"/>
      <c r="ABW8" s="685"/>
      <c r="ABX8" s="685"/>
      <c r="ABY8" s="685"/>
      <c r="ABZ8" s="675" t="s">
        <v>501</v>
      </c>
      <c r="ACA8" s="675"/>
      <c r="ACB8" s="675"/>
      <c r="ACC8" s="675"/>
      <c r="ACD8" s="675"/>
      <c r="ACE8" s="675"/>
      <c r="ACF8" s="681" t="s">
        <v>594</v>
      </c>
      <c r="ACG8" s="681"/>
      <c r="ACH8" s="681"/>
      <c r="ACI8" s="681"/>
      <c r="ACJ8" s="681"/>
      <c r="ACK8" s="681"/>
      <c r="ACL8" s="681"/>
      <c r="ACM8" s="681"/>
      <c r="ACN8" s="77"/>
      <c r="ACO8" s="77"/>
      <c r="ACP8" s="77"/>
      <c r="ACQ8" s="77"/>
      <c r="ACR8" s="77"/>
      <c r="ACS8" s="77"/>
      <c r="ACT8" s="77"/>
      <c r="ACU8" s="77"/>
      <c r="ACV8" s="77"/>
      <c r="ACW8" s="77"/>
      <c r="ACX8" s="77"/>
      <c r="ACY8" s="77"/>
      <c r="ACZ8" s="77"/>
      <c r="ADA8" s="77"/>
      <c r="ADB8" s="77"/>
      <c r="ADC8" s="77"/>
      <c r="ADD8" s="77"/>
      <c r="ADE8" s="77"/>
      <c r="ADF8" s="77"/>
      <c r="ADG8" s="77"/>
      <c r="ADH8" s="77"/>
      <c r="ADI8" s="77"/>
      <c r="ADJ8" s="77"/>
      <c r="ADK8" s="77"/>
      <c r="ADL8" s="77"/>
      <c r="ADM8" s="77"/>
      <c r="ADN8" s="77"/>
      <c r="ADO8" s="77"/>
      <c r="ADP8" s="77"/>
      <c r="ADQ8" s="77"/>
      <c r="ADR8" s="77"/>
      <c r="ADS8" s="77"/>
      <c r="ADT8" s="77"/>
      <c r="ADU8" s="77"/>
      <c r="ADV8" s="77"/>
      <c r="ADW8" s="77"/>
      <c r="ADX8" s="77"/>
      <c r="ADY8" s="77"/>
      <c r="ADZ8" s="77"/>
      <c r="AEA8" s="77"/>
      <c r="AEB8" s="77"/>
      <c r="AEC8" s="77"/>
      <c r="AED8" s="77"/>
      <c r="AEE8" s="77"/>
      <c r="AEF8" s="77"/>
      <c r="AEG8" s="77"/>
      <c r="AEH8" s="77"/>
      <c r="AEI8" s="77"/>
      <c r="AEJ8" s="77"/>
      <c r="AEK8" s="77"/>
      <c r="AEL8" s="77"/>
      <c r="AEM8" s="77"/>
      <c r="AEN8" s="77"/>
      <c r="AEO8" s="77"/>
      <c r="AEP8" s="77"/>
      <c r="AEQ8" s="77"/>
      <c r="AER8" s="77"/>
      <c r="AES8" s="77"/>
      <c r="AET8" s="77"/>
      <c r="AEU8" s="77"/>
      <c r="AEV8" s="77"/>
      <c r="AEW8" s="77"/>
      <c r="AEX8" s="77"/>
      <c r="AEY8" s="77"/>
      <c r="AEZ8" s="77"/>
      <c r="AFA8" s="77"/>
      <c r="AFB8" s="77"/>
      <c r="AFC8" s="77"/>
      <c r="AFD8" s="77"/>
      <c r="AFE8" s="77"/>
      <c r="AFF8" s="77"/>
      <c r="AFG8" s="77"/>
      <c r="AFH8" s="77"/>
      <c r="AFI8" s="77"/>
      <c r="AFJ8" s="77"/>
      <c r="AFK8" s="77"/>
      <c r="AFL8" s="77"/>
      <c r="AFM8" s="77"/>
      <c r="AFN8" s="77"/>
      <c r="AFO8" s="77"/>
      <c r="AFP8" s="77"/>
      <c r="AFQ8" s="77"/>
      <c r="AFR8" s="77"/>
      <c r="AFS8" s="77"/>
      <c r="AFT8" s="77"/>
      <c r="AFU8" s="77"/>
      <c r="AFV8" s="77"/>
      <c r="AFW8" s="77"/>
      <c r="AFX8" s="77"/>
      <c r="AFY8" s="77"/>
      <c r="AFZ8" s="77"/>
      <c r="AGA8" s="77"/>
      <c r="AGB8" s="77"/>
      <c r="AGC8" s="77"/>
      <c r="AGD8" s="77"/>
      <c r="AGE8" s="77"/>
      <c r="AGF8" s="77"/>
      <c r="AGG8" s="77"/>
      <c r="AGH8" s="77"/>
      <c r="AGI8" s="77"/>
      <c r="AGJ8" s="77"/>
      <c r="AGK8" s="77"/>
      <c r="AGL8" s="77"/>
      <c r="AGM8" s="77"/>
      <c r="AGN8" s="77"/>
      <c r="AGO8" s="77"/>
      <c r="AGP8" s="77"/>
      <c r="AGQ8" s="77"/>
      <c r="AGR8" s="77"/>
      <c r="AGS8" s="77"/>
      <c r="AGT8" s="77"/>
      <c r="AGU8" s="77"/>
      <c r="AGV8" s="77"/>
      <c r="AGW8" s="77"/>
      <c r="AGX8" s="77"/>
      <c r="AGY8" s="77"/>
      <c r="AGZ8" s="77"/>
      <c r="AHA8" s="77"/>
      <c r="AHB8" s="77"/>
      <c r="AHC8" s="77"/>
      <c r="AHD8" s="77"/>
      <c r="AHE8" s="77"/>
      <c r="AHF8" s="77"/>
      <c r="AHG8" s="77"/>
      <c r="AHH8" s="77"/>
      <c r="AHI8" s="77"/>
      <c r="AHJ8" s="77"/>
      <c r="AHK8" s="77"/>
      <c r="AHL8" s="77"/>
      <c r="AHM8" s="77"/>
      <c r="AHN8" s="77"/>
      <c r="AHO8" s="77"/>
      <c r="AHP8" s="77"/>
      <c r="AHQ8" s="77"/>
      <c r="AHR8" s="77"/>
      <c r="AHS8" s="77"/>
      <c r="AHT8" s="77"/>
      <c r="AHU8" s="77"/>
      <c r="AHV8" s="77"/>
      <c r="AHW8" s="77"/>
      <c r="AHX8" s="77"/>
      <c r="AHY8" s="77"/>
      <c r="AHZ8" s="77"/>
      <c r="AIA8" s="77"/>
      <c r="AIB8" s="77"/>
      <c r="AIC8" s="77"/>
      <c r="AID8" s="77"/>
      <c r="AIE8" s="77"/>
      <c r="AIF8" s="77"/>
      <c r="AIG8" s="77"/>
      <c r="AIH8" s="77"/>
      <c r="AII8" s="77"/>
      <c r="AIJ8" s="77"/>
      <c r="AIK8" s="77"/>
      <c r="AIL8" s="77"/>
      <c r="AIM8" s="77"/>
      <c r="AIN8" s="77"/>
      <c r="AIO8" s="77"/>
      <c r="AIP8" s="77"/>
      <c r="AIQ8" s="77"/>
      <c r="AIR8" s="77"/>
      <c r="AIS8" s="77"/>
      <c r="AIT8" s="77"/>
      <c r="AIU8" s="77"/>
      <c r="AIV8" s="77"/>
      <c r="AIW8" s="77"/>
      <c r="AIX8" s="77"/>
      <c r="AIY8" s="77"/>
      <c r="AIZ8" s="77"/>
      <c r="AJA8" s="77"/>
      <c r="AJB8" s="77"/>
      <c r="AJC8" s="77"/>
      <c r="AJD8" s="77"/>
      <c r="AJE8" s="77"/>
      <c r="AJF8" s="77"/>
      <c r="AJG8" s="77"/>
      <c r="AJH8" s="77"/>
      <c r="AJI8" s="77"/>
      <c r="AJJ8" s="77"/>
      <c r="AJK8" s="77"/>
      <c r="AJL8" s="77"/>
      <c r="AJM8" s="77"/>
      <c r="AJN8" s="77"/>
      <c r="AJO8" s="77"/>
      <c r="AJP8" s="77"/>
      <c r="AJQ8" s="77"/>
      <c r="AJR8" s="77"/>
      <c r="AJS8" s="77"/>
      <c r="AJT8" s="77"/>
      <c r="AJU8" s="77"/>
      <c r="AJV8" s="77"/>
      <c r="AJW8" s="77"/>
      <c r="AJX8" s="77"/>
      <c r="AJY8" s="77"/>
      <c r="AJZ8" s="77"/>
      <c r="AKA8" s="77"/>
      <c r="AKB8" s="77"/>
      <c r="AKC8" s="77"/>
      <c r="AKD8" s="77"/>
      <c r="AKE8" s="77"/>
      <c r="AKF8" s="77"/>
      <c r="AKG8" s="77"/>
      <c r="AKH8" s="77"/>
      <c r="AKI8" s="77"/>
      <c r="AKJ8" s="77"/>
      <c r="AKK8" s="77"/>
      <c r="AKL8" s="77"/>
      <c r="AKM8" s="77"/>
      <c r="AKN8" s="77"/>
      <c r="AKO8" s="77"/>
      <c r="AKP8" s="77"/>
      <c r="AKQ8" s="77"/>
      <c r="AKR8" s="77"/>
      <c r="AKS8" s="77"/>
      <c r="AKT8" s="77"/>
      <c r="AKU8" s="77"/>
      <c r="AKV8" s="77"/>
      <c r="AKW8" s="77"/>
      <c r="AKX8" s="77"/>
      <c r="AKY8" s="77"/>
      <c r="AKZ8" s="77"/>
      <c r="ALA8" s="77"/>
      <c r="ALB8" s="77"/>
      <c r="ALC8" s="77"/>
      <c r="ALD8" s="77"/>
      <c r="ALE8" s="77"/>
      <c r="ALF8" s="77"/>
      <c r="ALG8" s="77"/>
      <c r="ALH8" s="77"/>
      <c r="ALI8" s="77"/>
      <c r="ALJ8" s="77"/>
      <c r="ALK8" s="77"/>
      <c r="ALL8" s="77"/>
      <c r="ALM8" s="77"/>
      <c r="ALN8" s="77"/>
      <c r="ALO8" s="77"/>
      <c r="ALP8" s="77"/>
      <c r="ALQ8" s="77"/>
      <c r="ALR8" s="77"/>
      <c r="ALS8" s="77"/>
      <c r="ALT8" s="77"/>
      <c r="ALU8" s="77"/>
      <c r="ALV8" s="77"/>
      <c r="ALW8" s="77"/>
      <c r="ALX8" s="77"/>
      <c r="ALY8" s="77"/>
      <c r="ALZ8" s="77"/>
      <c r="AMA8" s="77"/>
      <c r="AMB8" s="77"/>
      <c r="AMC8" s="77"/>
      <c r="AMD8" s="77"/>
      <c r="AME8" s="77"/>
      <c r="AMF8" s="77"/>
      <c r="AMG8" s="77"/>
      <c r="AMH8" s="77"/>
      <c r="AMI8" s="77"/>
      <c r="AMJ8" s="77"/>
      <c r="AMK8" s="77"/>
      <c r="AML8" s="77"/>
      <c r="AMM8" s="77"/>
      <c r="AMN8" s="77"/>
      <c r="AMO8" s="77"/>
      <c r="AMP8" s="77"/>
      <c r="AMQ8" s="77"/>
      <c r="AMR8" s="77"/>
      <c r="AMS8" s="77"/>
      <c r="AMT8" s="77"/>
      <c r="AMU8" s="77"/>
      <c r="AMV8" s="77"/>
      <c r="AMW8" s="77"/>
      <c r="AMX8" s="77"/>
      <c r="AMY8" s="77"/>
      <c r="AMZ8" s="77"/>
      <c r="ANA8" s="77"/>
      <c r="ANB8" s="77"/>
      <c r="ANC8" s="77"/>
      <c r="AND8" s="77"/>
      <c r="ANE8" s="77"/>
      <c r="ANF8" s="77"/>
      <c r="ANG8" s="77"/>
      <c r="ANH8" s="77"/>
      <c r="ANI8" s="77"/>
      <c r="ANJ8" s="77"/>
      <c r="ANK8" s="77"/>
      <c r="ANL8" s="77"/>
      <c r="ANM8" s="77"/>
      <c r="ANN8" s="77"/>
      <c r="ANO8" s="77"/>
      <c r="ANP8" s="77"/>
      <c r="ANQ8" s="77"/>
      <c r="ANR8" s="77"/>
      <c r="ANS8" s="77"/>
    </row>
    <row r="9" spans="1:1059" s="74" customFormat="1" ht="147.75" customHeight="1" thickTop="1" thickBot="1">
      <c r="A9" s="59" t="s">
        <v>614</v>
      </c>
      <c r="B9" s="59" t="s">
        <v>682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77"/>
      <c r="DM9" s="77"/>
      <c r="DN9" s="77"/>
      <c r="DO9" s="77"/>
      <c r="DP9" s="77"/>
      <c r="DQ9" s="77"/>
      <c r="DR9" s="77"/>
      <c r="DS9" s="77"/>
      <c r="DT9" s="77"/>
      <c r="DU9" s="77"/>
      <c r="DV9" s="77"/>
      <c r="DW9" s="77"/>
      <c r="DX9" s="77"/>
      <c r="DY9" s="77"/>
      <c r="DZ9" s="77"/>
      <c r="EA9" s="77"/>
      <c r="EB9" s="77"/>
      <c r="EC9" s="77"/>
      <c r="ED9" s="77"/>
      <c r="EE9" s="77"/>
      <c r="EF9" s="77"/>
      <c r="EG9" s="77"/>
      <c r="EH9" s="77"/>
      <c r="EI9" s="77"/>
      <c r="EJ9" s="77"/>
      <c r="EK9" s="77"/>
      <c r="EL9" s="77"/>
      <c r="EM9" s="77"/>
      <c r="EN9" s="77"/>
      <c r="EO9" s="77"/>
      <c r="EP9" s="77"/>
      <c r="EQ9" s="77"/>
      <c r="ER9" s="77"/>
      <c r="ES9" s="77"/>
      <c r="ET9" s="77"/>
      <c r="EU9" s="77"/>
      <c r="EV9" s="77"/>
      <c r="EW9" s="77"/>
      <c r="EX9" s="77"/>
      <c r="EY9" s="77"/>
      <c r="EZ9" s="77"/>
      <c r="FA9" s="77"/>
      <c r="FB9" s="77"/>
      <c r="FC9" s="77"/>
      <c r="FD9" s="77"/>
      <c r="FE9" s="77"/>
      <c r="FF9" s="77"/>
      <c r="FG9" s="77"/>
      <c r="FH9" s="77"/>
      <c r="FI9" s="77"/>
      <c r="FJ9" s="77"/>
      <c r="FK9" s="77"/>
      <c r="FL9" s="77"/>
      <c r="FM9" s="77"/>
      <c r="FN9" s="77"/>
      <c r="FO9" s="77"/>
      <c r="FP9" s="77"/>
      <c r="FQ9" s="77"/>
      <c r="FR9" s="77"/>
      <c r="FS9" s="77"/>
      <c r="FT9" s="77"/>
      <c r="FU9" s="77"/>
      <c r="FV9" s="77"/>
      <c r="FW9" s="77"/>
      <c r="FX9" s="77"/>
      <c r="FY9" s="77"/>
      <c r="FZ9" s="77"/>
      <c r="GA9" s="77"/>
      <c r="GB9" s="77"/>
      <c r="GC9" s="77"/>
      <c r="GD9" s="77"/>
      <c r="GE9" s="77"/>
      <c r="GF9" s="77"/>
      <c r="GG9" s="77"/>
      <c r="GH9" s="77"/>
      <c r="GI9" s="77"/>
      <c r="GJ9" s="77"/>
      <c r="GK9" s="77"/>
      <c r="GL9" s="77"/>
      <c r="GM9" s="77"/>
      <c r="GN9" s="77"/>
      <c r="GO9" s="77"/>
      <c r="GP9" s="77"/>
      <c r="GQ9" s="77"/>
      <c r="GR9" s="77"/>
      <c r="GS9" s="77"/>
      <c r="GT9" s="77"/>
      <c r="GU9" s="77"/>
      <c r="GV9" s="77"/>
      <c r="GW9" s="77"/>
      <c r="GX9" s="77"/>
      <c r="GY9" s="77"/>
      <c r="GZ9" s="77"/>
      <c r="HA9" s="77"/>
      <c r="HB9" s="77"/>
      <c r="HC9" s="77"/>
      <c r="HD9" s="77"/>
      <c r="HE9" s="77"/>
      <c r="HF9" s="77"/>
      <c r="HG9" s="77"/>
      <c r="HH9" s="77"/>
      <c r="HI9" s="77"/>
      <c r="HJ9" s="77"/>
      <c r="HK9" s="77"/>
      <c r="HL9" s="77"/>
      <c r="HM9" s="77"/>
      <c r="HN9" s="77"/>
      <c r="HO9" s="77"/>
      <c r="HP9" s="77"/>
      <c r="HQ9" s="77"/>
      <c r="HR9" s="77"/>
      <c r="HS9" s="77"/>
      <c r="HT9" s="77"/>
      <c r="HU9" s="77"/>
      <c r="HV9" s="77"/>
      <c r="HW9" s="77"/>
      <c r="HX9" s="77"/>
      <c r="HY9" s="77"/>
      <c r="HZ9" s="77"/>
      <c r="IA9" s="77"/>
      <c r="IB9" s="77"/>
      <c r="IC9" s="77"/>
      <c r="ID9" s="77"/>
      <c r="IE9" s="77"/>
      <c r="IF9" s="77"/>
      <c r="IG9" s="77"/>
      <c r="IH9" s="77"/>
      <c r="II9" s="77"/>
      <c r="IJ9" s="77"/>
      <c r="IK9" s="77"/>
      <c r="IL9" s="77"/>
      <c r="IM9" s="77"/>
      <c r="IN9" s="77"/>
      <c r="IO9" s="77"/>
      <c r="IP9" s="77"/>
      <c r="IQ9" s="77"/>
      <c r="IR9" s="77"/>
      <c r="IS9" s="77"/>
      <c r="IT9" s="77"/>
      <c r="IU9" s="77"/>
      <c r="IV9" s="77"/>
      <c r="IW9" s="77"/>
      <c r="IX9" s="77"/>
      <c r="IY9" s="77"/>
      <c r="IZ9" s="77"/>
      <c r="JA9" s="77"/>
      <c r="JB9" s="77"/>
      <c r="JC9" s="77"/>
      <c r="JD9" s="77"/>
      <c r="JE9" s="77"/>
      <c r="JF9" s="77"/>
      <c r="JG9" s="77"/>
      <c r="JH9" s="77"/>
      <c r="JI9" s="77"/>
      <c r="JJ9" s="77"/>
      <c r="JK9" s="77"/>
      <c r="JL9" s="77"/>
      <c r="JM9" s="77"/>
      <c r="JN9" s="77"/>
      <c r="JO9" s="77"/>
      <c r="JP9" s="77"/>
      <c r="JQ9" s="77"/>
      <c r="JR9" s="77"/>
      <c r="JS9" s="77"/>
      <c r="JT9" s="77"/>
      <c r="JU9" s="77"/>
      <c r="JV9" s="77"/>
      <c r="JW9" s="77"/>
      <c r="JX9" s="77"/>
      <c r="JY9" s="77"/>
      <c r="JZ9" s="77"/>
      <c r="KA9" s="77"/>
      <c r="KB9" s="77"/>
      <c r="KC9" s="77"/>
      <c r="KD9" s="77"/>
      <c r="KE9" s="77"/>
      <c r="KF9" s="77"/>
      <c r="KG9" s="77"/>
      <c r="KH9" s="77"/>
      <c r="KI9" s="77"/>
      <c r="KJ9" s="77"/>
      <c r="KK9" s="77"/>
      <c r="KL9" s="77"/>
      <c r="KM9" s="77"/>
      <c r="KN9" s="77"/>
      <c r="KO9" s="77"/>
      <c r="KP9" s="77"/>
      <c r="KQ9" s="77"/>
      <c r="KR9" s="77"/>
      <c r="KS9" s="77"/>
      <c r="KT9" s="77"/>
      <c r="KU9" s="77"/>
      <c r="KV9" s="77"/>
      <c r="KW9" s="77"/>
      <c r="KX9" s="77"/>
      <c r="KY9" s="77"/>
      <c r="KZ9" s="77"/>
      <c r="LA9" s="77"/>
      <c r="LB9" s="77"/>
      <c r="LC9" s="77"/>
      <c r="LD9" s="77"/>
      <c r="LE9" s="77"/>
      <c r="LF9" s="77"/>
      <c r="LG9" s="77"/>
      <c r="LH9" s="77"/>
      <c r="LI9" s="77"/>
      <c r="LJ9" s="77"/>
      <c r="LK9" s="77"/>
      <c r="LL9" s="77"/>
      <c r="LM9" s="77"/>
      <c r="LN9" s="77"/>
      <c r="LO9" s="77"/>
      <c r="LP9" s="77"/>
      <c r="LQ9" s="77"/>
      <c r="LR9" s="77"/>
      <c r="LS9" s="77"/>
      <c r="LT9" s="77"/>
      <c r="LU9" s="77"/>
      <c r="LV9" s="77"/>
      <c r="LW9" s="77"/>
      <c r="LX9" s="77"/>
      <c r="LY9" s="77"/>
      <c r="LZ9" s="77"/>
      <c r="MA9" s="77"/>
      <c r="MB9" s="77"/>
      <c r="MC9" s="77"/>
      <c r="MD9" s="77"/>
      <c r="ME9" s="77"/>
      <c r="MF9" s="77"/>
      <c r="MG9" s="77"/>
      <c r="MH9" s="77"/>
      <c r="MI9" s="77"/>
      <c r="MJ9" s="77"/>
      <c r="MK9" s="77"/>
      <c r="ML9" s="77"/>
      <c r="MM9" s="77"/>
      <c r="MN9" s="77"/>
      <c r="MO9" s="77"/>
      <c r="MP9" s="77"/>
      <c r="MQ9" s="77"/>
      <c r="MR9" s="77"/>
      <c r="MS9" s="77"/>
      <c r="MT9" s="77"/>
      <c r="MU9" s="77"/>
      <c r="MV9" s="77"/>
      <c r="MW9" s="77"/>
      <c r="MX9" s="77"/>
      <c r="MY9" s="77"/>
      <c r="MZ9" s="77"/>
      <c r="NA9" s="77"/>
      <c r="NB9" s="77"/>
      <c r="NC9" s="77"/>
      <c r="ND9" s="77"/>
      <c r="NE9" s="77"/>
      <c r="NF9" s="77"/>
      <c r="NG9" s="77"/>
      <c r="NH9" s="77"/>
      <c r="NI9" s="77"/>
      <c r="NJ9" s="77"/>
      <c r="NK9" s="77"/>
      <c r="NL9" s="77"/>
      <c r="NM9" s="77"/>
      <c r="NN9" s="77"/>
      <c r="NO9" s="77"/>
      <c r="NP9" s="77"/>
      <c r="NQ9" s="77"/>
      <c r="NR9" s="77"/>
      <c r="NS9" s="77"/>
      <c r="NT9" s="77"/>
      <c r="NU9" s="77"/>
      <c r="NV9" s="77"/>
      <c r="NW9" s="77"/>
      <c r="NX9" s="77"/>
      <c r="NY9" s="77"/>
      <c r="NZ9" s="77"/>
      <c r="OA9" s="77"/>
      <c r="OB9" s="77"/>
      <c r="OC9" s="77"/>
      <c r="OD9" s="77"/>
      <c r="OE9" s="77"/>
      <c r="OF9" s="77"/>
      <c r="OG9" s="77"/>
      <c r="OH9" s="77"/>
      <c r="OI9" s="77"/>
      <c r="OJ9" s="77"/>
      <c r="OK9" s="77"/>
      <c r="OL9" s="77"/>
      <c r="OM9" s="77"/>
      <c r="ON9" s="77"/>
      <c r="OO9" s="77"/>
      <c r="OP9" s="77"/>
      <c r="OQ9" s="77"/>
      <c r="OR9" s="77"/>
      <c r="OS9" s="77"/>
      <c r="OT9" s="77"/>
      <c r="OU9" s="77"/>
      <c r="OV9" s="77"/>
      <c r="OW9" s="77"/>
      <c r="OX9" s="77"/>
      <c r="OY9" s="77"/>
      <c r="OZ9" s="77"/>
      <c r="PA9" s="77"/>
      <c r="PB9" s="77"/>
      <c r="PC9" s="77"/>
      <c r="PD9" s="77"/>
      <c r="PE9" s="77"/>
      <c r="PF9" s="77"/>
      <c r="PG9" s="77"/>
      <c r="PH9" s="77"/>
      <c r="PI9" s="77"/>
      <c r="PJ9" s="77"/>
      <c r="PK9" s="77"/>
      <c r="PL9" s="77"/>
      <c r="PM9" s="77"/>
      <c r="PN9" s="77"/>
      <c r="PO9" s="77"/>
      <c r="PP9" s="77"/>
      <c r="PQ9" s="77"/>
      <c r="PR9" s="77"/>
      <c r="PS9" s="77"/>
      <c r="PT9" s="77"/>
      <c r="PU9" s="77"/>
      <c r="PV9" s="77"/>
      <c r="PW9" s="77"/>
      <c r="PX9" s="77"/>
      <c r="PY9" s="77"/>
      <c r="PZ9" s="77"/>
      <c r="QA9" s="77"/>
      <c r="QB9" s="77"/>
      <c r="QC9" s="77"/>
      <c r="QD9" s="77"/>
      <c r="QE9" s="77"/>
      <c r="QF9" s="77"/>
      <c r="QG9" s="77"/>
      <c r="QH9" s="77"/>
      <c r="QI9" s="77"/>
      <c r="QJ9" s="77"/>
      <c r="QK9" s="77"/>
      <c r="QL9" s="77"/>
      <c r="QM9" s="77"/>
      <c r="QN9" s="77"/>
      <c r="QO9" s="77"/>
      <c r="QP9" s="77"/>
      <c r="QQ9" s="77"/>
      <c r="QR9" s="77"/>
      <c r="QS9" s="77"/>
      <c r="QT9" s="77"/>
      <c r="QU9" s="77"/>
      <c r="QV9" s="77"/>
      <c r="QW9" s="77"/>
      <c r="QX9" s="77"/>
      <c r="QY9" s="77"/>
      <c r="QZ9" s="77"/>
      <c r="RA9" s="77"/>
      <c r="RB9" s="77"/>
      <c r="RC9" s="77"/>
      <c r="RD9" s="77"/>
      <c r="RE9" s="77"/>
      <c r="RF9" s="77"/>
      <c r="RG9" s="77"/>
      <c r="RH9" s="77"/>
      <c r="RI9" s="77"/>
      <c r="RJ9" s="77"/>
      <c r="RK9" s="77"/>
      <c r="RL9" s="77"/>
      <c r="RM9" s="77"/>
      <c r="RN9" s="77"/>
      <c r="RO9" s="77"/>
      <c r="RP9" s="77"/>
      <c r="RQ9" s="77"/>
      <c r="RR9" s="77"/>
      <c r="RS9" s="77"/>
      <c r="RT9" s="77"/>
      <c r="RU9" s="77"/>
      <c r="RV9" s="77"/>
      <c r="RW9" s="77"/>
      <c r="RX9" s="77"/>
      <c r="RY9" s="77"/>
      <c r="RZ9" s="77"/>
      <c r="SA9" s="77"/>
      <c r="SB9" s="77"/>
      <c r="SC9" s="77"/>
      <c r="SD9" s="77"/>
      <c r="SE9" s="77"/>
      <c r="SF9" s="77"/>
      <c r="SG9" s="77"/>
      <c r="SH9" s="77"/>
      <c r="SI9" s="77"/>
      <c r="SJ9" s="77"/>
      <c r="SK9" s="77"/>
      <c r="SL9" s="77"/>
      <c r="SM9" s="77"/>
      <c r="SN9" s="77"/>
      <c r="SO9" s="77"/>
      <c r="SP9" s="77"/>
      <c r="SQ9" s="77"/>
      <c r="SR9" s="77"/>
      <c r="SS9" s="77"/>
      <c r="ST9" s="77"/>
      <c r="SU9" s="77"/>
      <c r="SV9" s="77"/>
      <c r="SW9" s="77"/>
      <c r="SX9" s="77"/>
      <c r="SY9" s="77"/>
      <c r="SZ9" s="77"/>
      <c r="TA9" s="77"/>
      <c r="TB9" s="77"/>
      <c r="TC9" s="77"/>
      <c r="TD9" s="77"/>
      <c r="TE9" s="77"/>
      <c r="TF9" s="77"/>
      <c r="TG9" s="77"/>
      <c r="TH9" s="77"/>
      <c r="TI9" s="77"/>
      <c r="TJ9" s="77"/>
      <c r="TK9" s="77"/>
      <c r="TL9" s="77"/>
      <c r="TM9" s="77"/>
      <c r="TN9" s="77"/>
      <c r="TO9" s="77"/>
      <c r="TP9" s="77"/>
      <c r="TQ9" s="77"/>
      <c r="TR9" s="77"/>
      <c r="TS9" s="77"/>
      <c r="TT9" s="77"/>
      <c r="TU9" s="77"/>
      <c r="TV9" s="77"/>
      <c r="TW9" s="77"/>
      <c r="TX9" s="77"/>
      <c r="TY9" s="77"/>
      <c r="TZ9" s="77"/>
      <c r="UA9" s="77"/>
      <c r="UB9" s="77"/>
      <c r="UC9" s="77"/>
      <c r="UD9" s="77"/>
      <c r="UE9" s="77"/>
      <c r="UF9" s="77"/>
      <c r="UG9" s="77"/>
      <c r="UH9" s="77"/>
      <c r="UI9" s="77"/>
      <c r="UJ9" s="77"/>
      <c r="UK9" s="77"/>
      <c r="UL9" s="77"/>
      <c r="UM9" s="77"/>
      <c r="UN9" s="77"/>
      <c r="UO9" s="77"/>
      <c r="UP9" s="77"/>
      <c r="UQ9" s="77"/>
      <c r="UR9" s="77"/>
      <c r="US9" s="77"/>
      <c r="UT9" s="77"/>
      <c r="UU9" s="77"/>
      <c r="UV9" s="77"/>
      <c r="UW9" s="77"/>
      <c r="UX9" s="77"/>
      <c r="UY9" s="77"/>
      <c r="UZ9" s="77"/>
      <c r="VA9" s="77"/>
      <c r="VB9" s="77"/>
      <c r="VC9" s="77"/>
      <c r="VD9" s="77"/>
      <c r="VE9" s="77"/>
      <c r="VF9" s="77"/>
      <c r="VG9" s="77"/>
      <c r="VH9" s="77"/>
      <c r="VI9" s="77"/>
      <c r="VJ9" s="77"/>
      <c r="VK9" s="77"/>
      <c r="VL9" s="77"/>
      <c r="VM9" s="77"/>
      <c r="VN9" s="77"/>
      <c r="VO9" s="77"/>
      <c r="VP9" s="77"/>
      <c r="VQ9" s="77"/>
      <c r="VR9" s="77"/>
      <c r="VS9" s="77"/>
      <c r="VT9" s="77"/>
      <c r="VU9" s="77"/>
      <c r="VV9" s="77"/>
      <c r="VW9" s="77"/>
      <c r="VX9" s="77"/>
      <c r="VY9" s="77"/>
      <c r="VZ9" s="77"/>
      <c r="WA9" s="77"/>
      <c r="WB9" s="77"/>
      <c r="WC9" s="77"/>
      <c r="WD9" s="77"/>
      <c r="WE9" s="77"/>
      <c r="WF9" s="77"/>
      <c r="WG9" s="77"/>
      <c r="WH9" s="77"/>
      <c r="WI9" s="77"/>
      <c r="WJ9" s="77"/>
      <c r="WK9" s="77"/>
      <c r="WL9" s="77"/>
      <c r="WM9" s="77"/>
      <c r="WN9" s="77"/>
      <c r="WO9" s="77"/>
      <c r="WP9" s="77"/>
      <c r="WQ9" s="77"/>
      <c r="WR9" s="77"/>
      <c r="WS9" s="77"/>
      <c r="WT9" s="77"/>
      <c r="WU9" s="77"/>
      <c r="WV9" s="77"/>
      <c r="WW9" s="77"/>
      <c r="WX9" s="77"/>
      <c r="WY9" s="77"/>
      <c r="WZ9" s="77"/>
      <c r="XA9" s="77"/>
      <c r="XB9" s="77"/>
      <c r="XC9" s="77"/>
      <c r="XD9" s="77"/>
      <c r="XE9" s="77"/>
      <c r="XF9" s="77"/>
      <c r="XG9" s="77"/>
      <c r="XH9" s="77"/>
      <c r="XI9" s="77"/>
      <c r="XJ9" s="77"/>
      <c r="XK9" s="77"/>
      <c r="XL9" s="77"/>
      <c r="XM9" s="77"/>
      <c r="XN9" s="77"/>
      <c r="XO9" s="77"/>
      <c r="XP9" s="77"/>
      <c r="XQ9" s="77"/>
      <c r="XR9" s="77"/>
      <c r="XS9" s="77"/>
      <c r="XT9" s="77"/>
      <c r="XU9" s="77"/>
      <c r="XV9" s="77"/>
      <c r="XW9" s="77"/>
      <c r="XX9" s="77"/>
      <c r="XY9" s="77"/>
      <c r="XZ9" s="77"/>
      <c r="YA9" s="77"/>
      <c r="YB9" s="77"/>
      <c r="YC9" s="77"/>
      <c r="YD9" s="77"/>
      <c r="YE9" s="77"/>
      <c r="YF9" s="77"/>
      <c r="YG9" s="77"/>
      <c r="YH9" s="77"/>
      <c r="YI9" s="77"/>
      <c r="YJ9" s="77"/>
      <c r="YK9" s="77"/>
      <c r="YL9" s="77"/>
      <c r="YM9" s="77"/>
      <c r="YN9" s="77"/>
      <c r="YO9" s="77"/>
      <c r="YP9" s="77"/>
      <c r="YQ9" s="77"/>
      <c r="YR9" s="77"/>
      <c r="YS9" s="77"/>
      <c r="YT9" s="77"/>
      <c r="YU9" s="77"/>
      <c r="YV9" s="77"/>
      <c r="YW9" s="77"/>
      <c r="YX9" s="77"/>
      <c r="YY9" s="77"/>
      <c r="YZ9" s="77"/>
      <c r="ZA9" s="77"/>
      <c r="ZB9" s="77"/>
      <c r="ZC9" s="77"/>
      <c r="ZD9" s="77"/>
      <c r="ZE9" s="77"/>
      <c r="ZF9" s="77"/>
      <c r="ZG9" s="77"/>
      <c r="ZH9" s="77"/>
      <c r="ZI9" s="77"/>
      <c r="ZJ9" s="77"/>
      <c r="ZK9" s="77"/>
      <c r="ZL9" s="77"/>
      <c r="ZM9" s="77"/>
      <c r="ZN9" s="77"/>
      <c r="ZO9" s="77"/>
      <c r="ZP9" s="77"/>
      <c r="ZQ9" s="77"/>
      <c r="ZR9" s="672" t="s">
        <v>147</v>
      </c>
      <c r="ZS9" s="672"/>
      <c r="ZT9" s="672"/>
      <c r="ZU9" s="672"/>
      <c r="ZV9" s="672"/>
      <c r="ZW9" s="672"/>
      <c r="ZX9" s="675" t="s">
        <v>417</v>
      </c>
      <c r="ZY9" s="675"/>
      <c r="ZZ9" s="675"/>
      <c r="AAA9" s="675"/>
      <c r="AAB9" s="675"/>
      <c r="AAC9" s="675"/>
      <c r="AAD9" s="681" t="s">
        <v>596</v>
      </c>
      <c r="AAE9" s="681"/>
      <c r="AAF9" s="681"/>
      <c r="AAG9" s="681"/>
      <c r="AAH9" s="681"/>
      <c r="AAI9" s="681"/>
      <c r="AAJ9" s="681"/>
      <c r="AAK9" s="681"/>
      <c r="AAL9" s="681"/>
      <c r="AAM9" s="681"/>
      <c r="AAN9" s="681"/>
      <c r="AAO9" s="681"/>
      <c r="AAP9" s="681"/>
      <c r="AAQ9" s="681"/>
      <c r="AAR9" s="681" t="s">
        <v>597</v>
      </c>
      <c r="AAS9" s="681"/>
      <c r="AAT9" s="681"/>
      <c r="AAU9" s="681"/>
      <c r="AAV9" s="681"/>
      <c r="AAW9" s="681"/>
      <c r="AAX9" s="681"/>
      <c r="AAY9" s="681"/>
      <c r="AAZ9" s="681"/>
      <c r="ABA9" s="681"/>
      <c r="ABB9" s="681"/>
      <c r="ABC9" s="681"/>
      <c r="ABD9" s="681"/>
      <c r="ABE9" s="681"/>
      <c r="ABF9" s="681"/>
      <c r="ABG9" s="681" t="s">
        <v>658</v>
      </c>
      <c r="ABH9" s="681"/>
      <c r="ABI9" s="681"/>
      <c r="ABJ9" s="681"/>
      <c r="ABK9" s="681"/>
      <c r="ABL9" s="681"/>
      <c r="ABM9" s="681"/>
      <c r="ABN9" s="681"/>
      <c r="ABO9" s="681"/>
      <c r="ABP9" s="681"/>
      <c r="ABQ9" s="681"/>
      <c r="ABR9" s="681"/>
      <c r="ABS9" s="681"/>
      <c r="ABT9" s="681"/>
      <c r="ABU9" s="681"/>
      <c r="ABV9" s="681"/>
      <c r="ABW9" s="681"/>
      <c r="ABX9" s="681"/>
      <c r="ABY9" s="681"/>
      <c r="ABZ9" s="681"/>
      <c r="ACA9" s="681"/>
      <c r="ACB9" s="681"/>
      <c r="ACC9" s="681"/>
      <c r="ACD9" s="681"/>
      <c r="ACE9" s="673" t="s">
        <v>595</v>
      </c>
      <c r="ACF9" s="673"/>
      <c r="ACG9" s="673"/>
      <c r="ACH9" s="673"/>
      <c r="ACI9" s="673"/>
      <c r="ACJ9" s="673"/>
      <c r="ACK9" s="673"/>
      <c r="ACL9" s="673"/>
      <c r="ACM9" s="673"/>
      <c r="ACN9" s="673"/>
      <c r="ACO9" s="673"/>
      <c r="ACP9" s="673"/>
      <c r="ACQ9" s="673"/>
      <c r="ACR9" s="673"/>
      <c r="ACS9" s="673"/>
      <c r="ACT9" s="673"/>
      <c r="ACU9" s="673"/>
      <c r="ACV9" s="673"/>
      <c r="ACW9" s="673"/>
      <c r="ACX9" s="673"/>
      <c r="ACY9" s="673"/>
      <c r="ACZ9" s="673"/>
      <c r="ADA9" s="673"/>
      <c r="ADB9" s="673"/>
      <c r="ADC9" s="673"/>
      <c r="ADD9" s="673"/>
      <c r="ADE9" s="691" t="s">
        <v>628</v>
      </c>
      <c r="ADF9" s="691"/>
      <c r="ADG9" s="691"/>
      <c r="ADH9" s="691"/>
      <c r="ADI9" s="691"/>
      <c r="ADJ9" s="691"/>
      <c r="ADK9" s="691"/>
      <c r="ADL9" s="681" t="s">
        <v>630</v>
      </c>
      <c r="ADM9" s="681"/>
      <c r="ADN9" s="681"/>
      <c r="ADO9" s="681"/>
      <c r="ADP9" s="77"/>
      <c r="ADQ9" s="77"/>
      <c r="ADR9" s="77"/>
      <c r="ADS9" s="77"/>
      <c r="ADT9" s="77"/>
      <c r="ADU9" s="77"/>
      <c r="ADV9" s="77"/>
      <c r="ADW9" s="77"/>
      <c r="ADX9" s="77"/>
      <c r="ADY9" s="77"/>
      <c r="ADZ9" s="77"/>
      <c r="AEA9" s="77"/>
      <c r="AEB9" s="77"/>
      <c r="AEC9" s="77"/>
      <c r="AED9" s="77"/>
      <c r="AEE9" s="77"/>
      <c r="AEF9" s="77"/>
      <c r="AEG9" s="77"/>
      <c r="AEH9" s="77"/>
      <c r="AEI9" s="77"/>
      <c r="AEJ9" s="77"/>
      <c r="AEK9" s="77"/>
      <c r="AEL9" s="77"/>
      <c r="AEM9" s="77"/>
      <c r="AEN9" s="77"/>
      <c r="AEO9" s="77"/>
      <c r="AEP9" s="77"/>
      <c r="AEQ9" s="77"/>
      <c r="AER9" s="77"/>
      <c r="AES9" s="77"/>
      <c r="AET9" s="77"/>
      <c r="AEU9" s="77"/>
      <c r="AEV9" s="77"/>
      <c r="AEW9" s="77"/>
      <c r="AEX9" s="77"/>
      <c r="AEY9" s="77"/>
      <c r="AEZ9" s="77"/>
      <c r="AFA9" s="77"/>
      <c r="AFB9" s="77"/>
      <c r="AFC9" s="77"/>
      <c r="AFD9" s="77"/>
      <c r="AFE9" s="77"/>
      <c r="AFF9" s="77"/>
      <c r="AFG9" s="77"/>
      <c r="AFH9" s="77"/>
      <c r="AFI9" s="77"/>
      <c r="AFJ9" s="77"/>
      <c r="AFK9" s="77"/>
      <c r="AFL9" s="77"/>
      <c r="AFM9" s="77"/>
      <c r="AFN9" s="77"/>
      <c r="AFO9" s="77"/>
      <c r="AFP9" s="77"/>
      <c r="AFQ9" s="77"/>
      <c r="AFR9" s="77"/>
      <c r="AFS9" s="77"/>
      <c r="AFT9" s="77"/>
      <c r="AFU9" s="77"/>
      <c r="AFV9" s="77"/>
      <c r="AFW9" s="77"/>
      <c r="AFX9" s="77"/>
      <c r="AFY9" s="77"/>
      <c r="AFZ9" s="77"/>
      <c r="AGA9" s="77"/>
      <c r="AGB9" s="77"/>
      <c r="AGC9" s="77"/>
      <c r="AGD9" s="77"/>
      <c r="AGE9" s="77"/>
      <c r="AGF9" s="77"/>
      <c r="AGG9" s="77"/>
      <c r="AGH9" s="77"/>
      <c r="AGI9" s="77"/>
      <c r="AGJ9" s="77"/>
      <c r="AGK9" s="77"/>
      <c r="AGL9" s="77"/>
      <c r="AGM9" s="77"/>
      <c r="AGN9" s="77"/>
      <c r="AGO9" s="77"/>
      <c r="AGP9" s="77"/>
      <c r="AGQ9" s="77"/>
      <c r="AGR9" s="77"/>
      <c r="AGS9" s="77"/>
      <c r="AGT9" s="77"/>
      <c r="AGU9" s="77"/>
      <c r="AGV9" s="77"/>
      <c r="AGW9" s="77"/>
      <c r="AGX9" s="77"/>
      <c r="AGY9" s="77"/>
      <c r="AGZ9" s="77"/>
      <c r="AHA9" s="77"/>
      <c r="AHB9" s="77"/>
      <c r="AHC9" s="77"/>
      <c r="AHD9" s="77"/>
      <c r="AHE9" s="77"/>
      <c r="AHF9" s="77"/>
      <c r="AHG9" s="77"/>
      <c r="AHH9" s="77"/>
      <c r="AHI9" s="77"/>
      <c r="AHJ9" s="77"/>
      <c r="AHK9" s="77"/>
      <c r="AHL9" s="77"/>
      <c r="AHM9" s="77"/>
      <c r="AHN9" s="77"/>
      <c r="AHO9" s="77"/>
      <c r="AHP9" s="77"/>
      <c r="AHQ9" s="77"/>
      <c r="AHR9" s="77"/>
      <c r="AHS9" s="77"/>
      <c r="AHT9" s="77"/>
      <c r="AHU9" s="77"/>
      <c r="AHV9" s="77"/>
      <c r="AHW9" s="77"/>
      <c r="AHX9" s="77"/>
      <c r="AHY9" s="77"/>
      <c r="AHZ9" s="77"/>
      <c r="AIA9" s="77"/>
      <c r="AIB9" s="77"/>
      <c r="AIC9" s="77"/>
      <c r="AID9" s="77"/>
      <c r="AIE9" s="77"/>
      <c r="AIF9" s="77"/>
      <c r="AIG9" s="77"/>
      <c r="AIH9" s="77"/>
      <c r="AII9" s="77"/>
      <c r="AIJ9" s="77"/>
      <c r="AIK9" s="77"/>
      <c r="AIL9" s="77"/>
      <c r="AIM9" s="77"/>
      <c r="AIN9" s="77"/>
      <c r="AIO9" s="77"/>
      <c r="AIP9" s="77"/>
      <c r="AIQ9" s="77"/>
      <c r="AIR9" s="77"/>
      <c r="AIS9" s="77"/>
      <c r="AIT9" s="77"/>
      <c r="AIU9" s="77"/>
      <c r="AIV9" s="77"/>
      <c r="AIW9" s="77"/>
      <c r="AIX9" s="77"/>
      <c r="AIY9" s="77"/>
      <c r="AIZ9" s="77"/>
      <c r="AJA9" s="77"/>
      <c r="AJB9" s="77"/>
      <c r="AJC9" s="77"/>
      <c r="AJD9" s="77"/>
      <c r="AJE9" s="77"/>
      <c r="AJF9" s="77"/>
      <c r="AJG9" s="77"/>
      <c r="AJH9" s="77"/>
      <c r="AJI9" s="77"/>
      <c r="AJJ9" s="77"/>
      <c r="AJK9" s="77"/>
      <c r="AJL9" s="77"/>
      <c r="AJM9" s="77"/>
      <c r="AJN9" s="77"/>
      <c r="AJO9" s="77"/>
      <c r="AJP9" s="77"/>
      <c r="AJQ9" s="77"/>
      <c r="AJR9" s="77"/>
      <c r="AJS9" s="77"/>
      <c r="AJT9" s="77"/>
      <c r="AJU9" s="77"/>
      <c r="AJV9" s="77"/>
      <c r="AJW9" s="77"/>
      <c r="AJX9" s="77"/>
      <c r="AJY9" s="77"/>
      <c r="AJZ9" s="77"/>
      <c r="AKA9" s="77"/>
      <c r="AKB9" s="77"/>
      <c r="AKC9" s="77"/>
      <c r="AKD9" s="77"/>
      <c r="AKE9" s="77"/>
      <c r="AKF9" s="77"/>
      <c r="AKG9" s="77"/>
      <c r="AKH9" s="77"/>
      <c r="AKI9" s="77"/>
      <c r="AKJ9" s="77"/>
      <c r="AKK9" s="77"/>
      <c r="AKL9" s="77"/>
      <c r="AKM9" s="77"/>
      <c r="AKN9" s="77"/>
      <c r="AKO9" s="77"/>
      <c r="AKP9" s="77"/>
      <c r="AKQ9" s="77"/>
      <c r="AKR9" s="77"/>
      <c r="AKS9" s="77"/>
      <c r="AKT9" s="77"/>
      <c r="AKU9" s="77"/>
      <c r="AKV9" s="77"/>
      <c r="AKW9" s="77"/>
      <c r="AKX9" s="77"/>
      <c r="AKY9" s="77"/>
      <c r="AKZ9" s="77"/>
      <c r="ALA9" s="77"/>
      <c r="ALB9" s="77"/>
      <c r="ALC9" s="77"/>
      <c r="ALD9" s="77"/>
      <c r="ALE9" s="77"/>
      <c r="ALF9" s="77"/>
      <c r="ALG9" s="77"/>
      <c r="ALH9" s="77"/>
      <c r="ALI9" s="77"/>
      <c r="ALJ9" s="77"/>
      <c r="ALK9" s="77"/>
      <c r="ALL9" s="77"/>
      <c r="ALM9" s="77"/>
      <c r="ALN9" s="77"/>
      <c r="ALO9" s="77"/>
      <c r="ALP9" s="77"/>
      <c r="ALQ9" s="77"/>
      <c r="ALR9" s="77"/>
      <c r="ALS9" s="77"/>
      <c r="ALT9" s="77"/>
      <c r="ALU9" s="77"/>
      <c r="ALV9" s="77"/>
      <c r="ALW9" s="77"/>
      <c r="ALX9" s="77"/>
      <c r="ALY9" s="77"/>
      <c r="ALZ9" s="77"/>
      <c r="AMA9" s="77"/>
      <c r="AMB9" s="77"/>
      <c r="AMC9" s="77"/>
      <c r="AMD9" s="77"/>
      <c r="AME9" s="77"/>
      <c r="AMF9" s="77"/>
      <c r="AMG9" s="77"/>
      <c r="AMH9" s="77"/>
      <c r="AMI9" s="77"/>
      <c r="AMJ9" s="77"/>
      <c r="AMK9" s="77"/>
      <c r="AML9" s="77"/>
      <c r="AMM9" s="77"/>
      <c r="AMN9" s="77"/>
      <c r="AMO9" s="77"/>
      <c r="AMP9" s="77"/>
      <c r="AMQ9" s="77"/>
      <c r="AMR9" s="77"/>
      <c r="AMS9" s="77"/>
      <c r="AMT9" s="77"/>
      <c r="AMU9" s="77"/>
      <c r="AMV9" s="77"/>
      <c r="AMW9" s="77"/>
      <c r="AMX9" s="77"/>
      <c r="AMY9" s="77"/>
      <c r="AMZ9" s="77"/>
      <c r="ANA9" s="77"/>
      <c r="ANB9" s="77"/>
      <c r="ANC9" s="77"/>
      <c r="AND9" s="77"/>
      <c r="ANE9" s="77"/>
      <c r="ANF9" s="77"/>
      <c r="ANG9" s="77"/>
      <c r="ANH9" s="77"/>
      <c r="ANI9" s="77"/>
      <c r="ANJ9" s="77"/>
      <c r="ANK9" s="77"/>
      <c r="ANL9" s="77"/>
      <c r="ANM9" s="77"/>
      <c r="ANN9" s="77"/>
      <c r="ANO9" s="77"/>
      <c r="ANP9" s="77"/>
      <c r="ANQ9" s="77"/>
      <c r="ANR9" s="77"/>
      <c r="ANS9" s="77"/>
    </row>
    <row r="10" spans="1:1059" s="74" customFormat="1" ht="147.75" customHeight="1" thickTop="1" thickBot="1">
      <c r="A10" s="59" t="s">
        <v>614</v>
      </c>
      <c r="B10" s="59" t="s">
        <v>683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77"/>
      <c r="DQ10" s="77"/>
      <c r="DR10" s="77"/>
      <c r="DS10" s="77"/>
      <c r="DT10" s="77"/>
      <c r="DU10" s="77"/>
      <c r="DV10" s="77"/>
      <c r="DW10" s="77"/>
      <c r="DX10" s="77"/>
      <c r="DY10" s="77"/>
      <c r="DZ10" s="77"/>
      <c r="EA10" s="77"/>
      <c r="EB10" s="77"/>
      <c r="EC10" s="77"/>
      <c r="ED10" s="77"/>
      <c r="EE10" s="77"/>
      <c r="EF10" s="77"/>
      <c r="EG10" s="77"/>
      <c r="EH10" s="77"/>
      <c r="EI10" s="77"/>
      <c r="EJ10" s="77"/>
      <c r="EK10" s="77"/>
      <c r="EL10" s="77"/>
      <c r="EM10" s="77"/>
      <c r="EN10" s="77"/>
      <c r="EO10" s="77"/>
      <c r="EP10" s="77"/>
      <c r="EQ10" s="77"/>
      <c r="ER10" s="77"/>
      <c r="ES10" s="77"/>
      <c r="ET10" s="77"/>
      <c r="EU10" s="77"/>
      <c r="EV10" s="77"/>
      <c r="EW10" s="77"/>
      <c r="EX10" s="77"/>
      <c r="EY10" s="77"/>
      <c r="EZ10" s="77"/>
      <c r="FA10" s="77"/>
      <c r="FB10" s="77"/>
      <c r="FC10" s="77"/>
      <c r="FD10" s="77"/>
      <c r="FE10" s="77"/>
      <c r="FF10" s="77"/>
      <c r="FG10" s="77"/>
      <c r="FH10" s="77"/>
      <c r="FI10" s="77"/>
      <c r="FJ10" s="77"/>
      <c r="FK10" s="77"/>
      <c r="FL10" s="77"/>
      <c r="FM10" s="77"/>
      <c r="FN10" s="77"/>
      <c r="FO10" s="77"/>
      <c r="FP10" s="77"/>
      <c r="FQ10" s="77"/>
      <c r="FR10" s="77"/>
      <c r="FS10" s="77"/>
      <c r="FT10" s="77"/>
      <c r="FU10" s="77"/>
      <c r="FV10" s="77"/>
      <c r="FW10" s="77"/>
      <c r="FX10" s="77"/>
      <c r="FY10" s="77"/>
      <c r="FZ10" s="77"/>
      <c r="GA10" s="77"/>
      <c r="GB10" s="77"/>
      <c r="GC10" s="77"/>
      <c r="GD10" s="77"/>
      <c r="GE10" s="77"/>
      <c r="GF10" s="77"/>
      <c r="GG10" s="77"/>
      <c r="GH10" s="77"/>
      <c r="GI10" s="77"/>
      <c r="GJ10" s="77"/>
      <c r="GK10" s="77"/>
      <c r="GL10" s="77"/>
      <c r="GM10" s="77"/>
      <c r="GN10" s="77"/>
      <c r="GO10" s="77"/>
      <c r="GP10" s="77"/>
      <c r="GQ10" s="77"/>
      <c r="GR10" s="77"/>
      <c r="GS10" s="77"/>
      <c r="GT10" s="77"/>
      <c r="GU10" s="77"/>
      <c r="GV10" s="77"/>
      <c r="GW10" s="77"/>
      <c r="GX10" s="77"/>
      <c r="GY10" s="77"/>
      <c r="GZ10" s="77"/>
      <c r="HA10" s="77"/>
      <c r="HB10" s="77"/>
      <c r="HC10" s="77"/>
      <c r="HD10" s="77"/>
      <c r="HE10" s="77"/>
      <c r="HF10" s="77"/>
      <c r="HG10" s="77"/>
      <c r="HH10" s="77"/>
      <c r="HI10" s="77"/>
      <c r="HJ10" s="77"/>
      <c r="HK10" s="77"/>
      <c r="HL10" s="77"/>
      <c r="HM10" s="77"/>
      <c r="HN10" s="77"/>
      <c r="HO10" s="77"/>
      <c r="HP10" s="77"/>
      <c r="HQ10" s="77"/>
      <c r="HR10" s="77"/>
      <c r="HS10" s="77"/>
      <c r="HT10" s="77"/>
      <c r="HU10" s="77"/>
      <c r="HV10" s="77"/>
      <c r="HW10" s="77"/>
      <c r="HX10" s="77"/>
      <c r="HY10" s="77"/>
      <c r="HZ10" s="77"/>
      <c r="IA10" s="77"/>
      <c r="IB10" s="77"/>
      <c r="IC10" s="77"/>
      <c r="ID10" s="77"/>
      <c r="IE10" s="77"/>
      <c r="IF10" s="77"/>
      <c r="IG10" s="77"/>
      <c r="IH10" s="77"/>
      <c r="II10" s="77"/>
      <c r="IJ10" s="77"/>
      <c r="IK10" s="77"/>
      <c r="IL10" s="77"/>
      <c r="IM10" s="77"/>
      <c r="IN10" s="77"/>
      <c r="IO10" s="77"/>
      <c r="IP10" s="77"/>
      <c r="IQ10" s="77"/>
      <c r="IR10" s="77"/>
      <c r="IS10" s="77"/>
      <c r="IT10" s="77"/>
      <c r="IU10" s="77"/>
      <c r="IV10" s="77"/>
      <c r="IW10" s="77"/>
      <c r="IX10" s="77"/>
      <c r="IY10" s="77"/>
      <c r="IZ10" s="77"/>
      <c r="JA10" s="77"/>
      <c r="JB10" s="77"/>
      <c r="JC10" s="77"/>
      <c r="JD10" s="77"/>
      <c r="JE10" s="77"/>
      <c r="JF10" s="77"/>
      <c r="JG10" s="77"/>
      <c r="JH10" s="77"/>
      <c r="JI10" s="77"/>
      <c r="JJ10" s="77"/>
      <c r="JK10" s="77"/>
      <c r="JL10" s="77"/>
      <c r="JM10" s="77"/>
      <c r="JN10" s="77"/>
      <c r="JO10" s="77"/>
      <c r="JP10" s="77"/>
      <c r="JQ10" s="77"/>
      <c r="JR10" s="77"/>
      <c r="JS10" s="77"/>
      <c r="JT10" s="77"/>
      <c r="JU10" s="77"/>
      <c r="JV10" s="77"/>
      <c r="JW10" s="77"/>
      <c r="JX10" s="77"/>
      <c r="JY10" s="77"/>
      <c r="JZ10" s="77"/>
      <c r="KA10" s="77"/>
      <c r="KB10" s="77"/>
      <c r="KC10" s="77"/>
      <c r="KD10" s="77"/>
      <c r="KE10" s="77"/>
      <c r="KF10" s="77"/>
      <c r="KG10" s="77"/>
      <c r="KH10" s="77"/>
      <c r="KI10" s="77"/>
      <c r="KJ10" s="77"/>
      <c r="KK10" s="77"/>
      <c r="KL10" s="77"/>
      <c r="KM10" s="77"/>
      <c r="KN10" s="77"/>
      <c r="KO10" s="77"/>
      <c r="KP10" s="77"/>
      <c r="KQ10" s="77"/>
      <c r="KR10" s="77"/>
      <c r="KS10" s="77"/>
      <c r="KT10" s="77"/>
      <c r="KU10" s="77"/>
      <c r="KV10" s="77"/>
      <c r="KW10" s="77"/>
      <c r="KX10" s="77"/>
      <c r="KY10" s="77"/>
      <c r="KZ10" s="77"/>
      <c r="LA10" s="77"/>
      <c r="LB10" s="77"/>
      <c r="LC10" s="77"/>
      <c r="LD10" s="77"/>
      <c r="LE10" s="77"/>
      <c r="LF10" s="77"/>
      <c r="LG10" s="77"/>
      <c r="LH10" s="77"/>
      <c r="LI10" s="77"/>
      <c r="LJ10" s="77"/>
      <c r="LK10" s="77"/>
      <c r="LL10" s="77"/>
      <c r="LM10" s="77"/>
      <c r="LN10" s="77"/>
      <c r="LO10" s="77"/>
      <c r="LP10" s="77"/>
      <c r="LQ10" s="77"/>
      <c r="LR10" s="77"/>
      <c r="LS10" s="77"/>
      <c r="LT10" s="77"/>
      <c r="LU10" s="77"/>
      <c r="LV10" s="77"/>
      <c r="LW10" s="77"/>
      <c r="LX10" s="77"/>
      <c r="LY10" s="77"/>
      <c r="LZ10" s="77"/>
      <c r="MA10" s="77"/>
      <c r="MB10" s="77"/>
      <c r="MC10" s="77"/>
      <c r="MD10" s="77"/>
      <c r="ME10" s="77"/>
      <c r="MF10" s="77"/>
      <c r="MG10" s="77"/>
      <c r="MH10" s="77"/>
      <c r="MI10" s="77"/>
      <c r="MJ10" s="77"/>
      <c r="MK10" s="77"/>
      <c r="ML10" s="77"/>
      <c r="MM10" s="77"/>
      <c r="MN10" s="77"/>
      <c r="MO10" s="77"/>
      <c r="MP10" s="77"/>
      <c r="MQ10" s="77"/>
      <c r="MR10" s="77"/>
      <c r="MS10" s="77"/>
      <c r="MT10" s="77"/>
      <c r="MU10" s="77"/>
      <c r="MV10" s="77"/>
      <c r="MW10" s="77"/>
      <c r="MX10" s="77"/>
      <c r="MY10" s="77"/>
      <c r="MZ10" s="77"/>
      <c r="NA10" s="77"/>
      <c r="NB10" s="77"/>
      <c r="NC10" s="77"/>
      <c r="ND10" s="77"/>
      <c r="NE10" s="77"/>
      <c r="NF10" s="77"/>
      <c r="NG10" s="77"/>
      <c r="NH10" s="77"/>
      <c r="NI10" s="77"/>
      <c r="NJ10" s="77"/>
      <c r="NK10" s="77"/>
      <c r="NL10" s="77"/>
      <c r="NM10" s="77"/>
      <c r="NN10" s="77"/>
      <c r="NO10" s="77"/>
      <c r="NP10" s="77"/>
      <c r="NQ10" s="77"/>
      <c r="NR10" s="77"/>
      <c r="NS10" s="77"/>
      <c r="NT10" s="77"/>
      <c r="NU10" s="77"/>
      <c r="NV10" s="77"/>
      <c r="NW10" s="77"/>
      <c r="NX10" s="77"/>
      <c r="NY10" s="77"/>
      <c r="NZ10" s="77"/>
      <c r="OA10" s="77"/>
      <c r="OB10" s="77"/>
      <c r="OC10" s="77"/>
      <c r="OD10" s="77"/>
      <c r="OE10" s="77"/>
      <c r="OF10" s="77"/>
      <c r="OG10" s="77"/>
      <c r="OH10" s="77"/>
      <c r="OI10" s="77"/>
      <c r="OJ10" s="77"/>
      <c r="OK10" s="77"/>
      <c r="OL10" s="77"/>
      <c r="OM10" s="77"/>
      <c r="ON10" s="77"/>
      <c r="OO10" s="77"/>
      <c r="OP10" s="77"/>
      <c r="OQ10" s="77"/>
      <c r="OR10" s="77"/>
      <c r="OS10" s="77"/>
      <c r="OT10" s="77"/>
      <c r="OU10" s="77"/>
      <c r="OV10" s="77"/>
      <c r="OW10" s="77"/>
      <c r="OX10" s="77"/>
      <c r="OY10" s="77"/>
      <c r="OZ10" s="77"/>
      <c r="PA10" s="77"/>
      <c r="PB10" s="77"/>
      <c r="PC10" s="77"/>
      <c r="PD10" s="77"/>
      <c r="PE10" s="77"/>
      <c r="PF10" s="77"/>
      <c r="PG10" s="77"/>
      <c r="PH10" s="77"/>
      <c r="PI10" s="77"/>
      <c r="PJ10" s="77"/>
      <c r="PK10" s="77"/>
      <c r="PL10" s="77"/>
      <c r="PM10" s="77"/>
      <c r="PN10" s="77"/>
      <c r="PO10" s="77"/>
      <c r="PP10" s="77"/>
      <c r="PQ10" s="77"/>
      <c r="PR10" s="77"/>
      <c r="PS10" s="77"/>
      <c r="PT10" s="77"/>
      <c r="PU10" s="77"/>
      <c r="PV10" s="77"/>
      <c r="PW10" s="77"/>
      <c r="PX10" s="77"/>
      <c r="PY10" s="77"/>
      <c r="PZ10" s="77"/>
      <c r="QA10" s="77"/>
      <c r="QB10" s="77"/>
      <c r="QC10" s="77"/>
      <c r="QD10" s="77"/>
      <c r="QE10" s="77"/>
      <c r="QF10" s="77"/>
      <c r="QG10" s="77"/>
      <c r="QH10" s="77"/>
      <c r="QI10" s="77"/>
      <c r="QJ10" s="77"/>
      <c r="QK10" s="77"/>
      <c r="QL10" s="77"/>
      <c r="QM10" s="77"/>
      <c r="QN10" s="77"/>
      <c r="QO10" s="77"/>
      <c r="QP10" s="77"/>
      <c r="QQ10" s="77"/>
      <c r="QR10" s="77"/>
      <c r="QS10" s="77"/>
      <c r="QT10" s="77"/>
      <c r="QU10" s="77"/>
      <c r="QV10" s="77"/>
      <c r="QW10" s="77"/>
      <c r="QX10" s="77"/>
      <c r="QY10" s="77"/>
      <c r="QZ10" s="77"/>
      <c r="RA10" s="77"/>
      <c r="RB10" s="77"/>
      <c r="RC10" s="77"/>
      <c r="RD10" s="77"/>
      <c r="RE10" s="77"/>
      <c r="RF10" s="77"/>
      <c r="RG10" s="77"/>
      <c r="RH10" s="77"/>
      <c r="RI10" s="77"/>
      <c r="RJ10" s="77"/>
      <c r="RK10" s="77"/>
      <c r="RL10" s="77"/>
      <c r="RM10" s="77"/>
      <c r="RN10" s="77"/>
      <c r="RO10" s="77"/>
      <c r="RP10" s="77"/>
      <c r="RQ10" s="77"/>
      <c r="RR10" s="77"/>
      <c r="RS10" s="77"/>
      <c r="RT10" s="77"/>
      <c r="RU10" s="77"/>
      <c r="RV10" s="77"/>
      <c r="RW10" s="77"/>
      <c r="RX10" s="77"/>
      <c r="RY10" s="77"/>
      <c r="RZ10" s="77"/>
      <c r="SA10" s="77"/>
      <c r="SB10" s="77"/>
      <c r="SC10" s="77"/>
      <c r="SD10" s="77"/>
      <c r="SE10" s="77"/>
      <c r="SF10" s="77"/>
      <c r="SG10" s="77"/>
      <c r="SH10" s="77"/>
      <c r="SI10" s="77"/>
      <c r="SJ10" s="77"/>
      <c r="SK10" s="77"/>
      <c r="SL10" s="77"/>
      <c r="SM10" s="77"/>
      <c r="SN10" s="77"/>
      <c r="SO10" s="77"/>
      <c r="SP10" s="77"/>
      <c r="SQ10" s="77"/>
      <c r="SR10" s="77"/>
      <c r="SS10" s="77"/>
      <c r="ST10" s="77"/>
      <c r="SU10" s="77"/>
      <c r="SV10" s="77"/>
      <c r="SW10" s="77"/>
      <c r="SX10" s="77"/>
      <c r="SY10" s="77"/>
      <c r="SZ10" s="77"/>
      <c r="TA10" s="77"/>
      <c r="TB10" s="77"/>
      <c r="TC10" s="77"/>
      <c r="TD10" s="77"/>
      <c r="TE10" s="77"/>
      <c r="TF10" s="77"/>
      <c r="TG10" s="77"/>
      <c r="TH10" s="77"/>
      <c r="TI10" s="77"/>
      <c r="TJ10" s="77"/>
      <c r="TK10" s="77"/>
      <c r="TL10" s="77"/>
      <c r="TM10" s="77"/>
      <c r="TN10" s="77"/>
      <c r="TO10" s="77"/>
      <c r="TP10" s="77"/>
      <c r="TQ10" s="77"/>
      <c r="TR10" s="77"/>
      <c r="TS10" s="77"/>
      <c r="TT10" s="77"/>
      <c r="TU10" s="77"/>
      <c r="TV10" s="77"/>
      <c r="TW10" s="77"/>
      <c r="TX10" s="77"/>
      <c r="TY10" s="77"/>
      <c r="TZ10" s="77"/>
      <c r="UA10" s="77"/>
      <c r="UB10" s="77"/>
      <c r="UC10" s="77"/>
      <c r="UD10" s="77"/>
      <c r="UE10" s="77"/>
      <c r="UF10" s="77"/>
      <c r="UG10" s="77"/>
      <c r="UH10" s="77"/>
      <c r="UI10" s="77"/>
      <c r="UJ10" s="77"/>
      <c r="UK10" s="77"/>
      <c r="UL10" s="77"/>
      <c r="UM10" s="77"/>
      <c r="UN10" s="77"/>
      <c r="UO10" s="77"/>
      <c r="UP10" s="77"/>
      <c r="UQ10" s="77"/>
      <c r="UR10" s="77"/>
      <c r="US10" s="77"/>
      <c r="UT10" s="77"/>
      <c r="UU10" s="77"/>
      <c r="UV10" s="77"/>
      <c r="UW10" s="77"/>
      <c r="UX10" s="77"/>
      <c r="UY10" s="77"/>
      <c r="UZ10" s="77"/>
      <c r="VA10" s="77"/>
      <c r="VB10" s="77"/>
      <c r="VC10" s="77"/>
      <c r="VD10" s="77"/>
      <c r="VE10" s="77"/>
      <c r="VF10" s="77"/>
      <c r="VG10" s="77"/>
      <c r="VH10" s="77"/>
      <c r="VI10" s="77"/>
      <c r="VJ10" s="77"/>
      <c r="VK10" s="77"/>
      <c r="VL10" s="77"/>
      <c r="VM10" s="77"/>
      <c r="VN10" s="77"/>
      <c r="VO10" s="77"/>
      <c r="VP10" s="77"/>
      <c r="VQ10" s="77"/>
      <c r="VR10" s="77"/>
      <c r="VS10" s="77"/>
      <c r="VT10" s="77"/>
      <c r="VU10" s="77"/>
      <c r="VV10" s="77"/>
      <c r="VW10" s="77"/>
      <c r="VX10" s="77"/>
      <c r="VY10" s="77"/>
      <c r="VZ10" s="77"/>
      <c r="WA10" s="77"/>
      <c r="WB10" s="77"/>
      <c r="WC10" s="77"/>
      <c r="WD10" s="77"/>
      <c r="WE10" s="77"/>
      <c r="WF10" s="77"/>
      <c r="WG10" s="77"/>
      <c r="WH10" s="77"/>
      <c r="WI10" s="77"/>
      <c r="WJ10" s="77"/>
      <c r="WK10" s="77"/>
      <c r="WL10" s="77"/>
      <c r="WM10" s="77"/>
      <c r="WN10" s="77"/>
      <c r="WO10" s="77"/>
      <c r="WP10" s="77"/>
      <c r="WQ10" s="77"/>
      <c r="WR10" s="77"/>
      <c r="WS10" s="77"/>
      <c r="WT10" s="77"/>
      <c r="WU10" s="77"/>
      <c r="WV10" s="77"/>
      <c r="WW10" s="77"/>
      <c r="WX10" s="77"/>
      <c r="WY10" s="77"/>
      <c r="WZ10" s="77"/>
      <c r="XA10" s="77"/>
      <c r="XB10" s="77"/>
      <c r="XC10" s="77"/>
      <c r="XD10" s="77"/>
      <c r="XE10" s="77"/>
      <c r="XF10" s="77"/>
      <c r="XG10" s="77"/>
      <c r="XH10" s="77"/>
      <c r="XI10" s="77"/>
      <c r="XJ10" s="77"/>
      <c r="XK10" s="77"/>
      <c r="XL10" s="77"/>
      <c r="XM10" s="77"/>
      <c r="XN10" s="77"/>
      <c r="XO10" s="77"/>
      <c r="XP10" s="77"/>
      <c r="XQ10" s="77"/>
      <c r="XR10" s="77"/>
      <c r="XS10" s="77"/>
      <c r="XT10" s="77"/>
      <c r="XU10" s="77"/>
      <c r="XV10" s="77"/>
      <c r="XW10" s="77"/>
      <c r="XX10" s="77"/>
      <c r="XY10" s="77"/>
      <c r="XZ10" s="77"/>
      <c r="YA10" s="77"/>
      <c r="YB10" s="77"/>
      <c r="YC10" s="77"/>
      <c r="YD10" s="77"/>
      <c r="YE10" s="77"/>
      <c r="YF10" s="77"/>
      <c r="YG10" s="77"/>
      <c r="YH10" s="77"/>
      <c r="YI10" s="77"/>
      <c r="YJ10" s="77"/>
      <c r="YK10" s="77"/>
      <c r="YL10" s="77"/>
      <c r="YM10" s="77"/>
      <c r="YN10" s="77"/>
      <c r="YO10" s="77"/>
      <c r="YP10" s="77"/>
      <c r="YQ10" s="77"/>
      <c r="YR10" s="77"/>
      <c r="YS10" s="77"/>
      <c r="YT10" s="77"/>
      <c r="YU10" s="77"/>
      <c r="YV10" s="77"/>
      <c r="YW10" s="77"/>
      <c r="YX10" s="77"/>
      <c r="YY10" s="77"/>
      <c r="YZ10" s="77"/>
      <c r="ZA10" s="77"/>
      <c r="ZB10" s="77"/>
      <c r="ZC10" s="77"/>
      <c r="ZD10" s="77"/>
      <c r="ZE10" s="77"/>
      <c r="ZF10" s="77"/>
      <c r="ZG10" s="77"/>
      <c r="ZH10" s="77"/>
      <c r="ZI10" s="77"/>
      <c r="ZJ10" s="77"/>
      <c r="ZK10" s="77"/>
      <c r="ZL10" s="77"/>
      <c r="ZM10" s="77"/>
      <c r="ZN10" s="77"/>
      <c r="ZO10" s="77"/>
      <c r="ZP10" s="77"/>
      <c r="ZQ10" s="77"/>
      <c r="ZR10" s="77"/>
      <c r="ZS10" s="77"/>
      <c r="ZT10" s="77"/>
      <c r="ZU10" s="77"/>
      <c r="ZV10" s="77"/>
      <c r="ZW10" s="77"/>
      <c r="ZX10" s="77"/>
      <c r="ZY10" s="77"/>
      <c r="ZZ10" s="77"/>
      <c r="AAA10" s="77"/>
      <c r="AAB10" s="77"/>
      <c r="AAC10" s="77"/>
      <c r="AAD10" s="77"/>
      <c r="AAE10" s="77"/>
      <c r="AAF10" s="77"/>
      <c r="AAG10" s="77"/>
      <c r="AAH10" s="77"/>
      <c r="AAI10" s="77"/>
      <c r="AAJ10" s="77"/>
      <c r="AAK10" s="77"/>
      <c r="AAL10" s="77"/>
      <c r="AAM10" s="77"/>
      <c r="AAN10" s="77"/>
      <c r="AAO10" s="77"/>
      <c r="AAP10" s="77"/>
      <c r="AAQ10" s="77"/>
      <c r="AAR10" s="77"/>
      <c r="AAS10" s="77"/>
      <c r="AAT10" s="77"/>
      <c r="AAU10" s="77"/>
      <c r="AAV10" s="77"/>
      <c r="AAW10" s="77"/>
      <c r="AAX10" s="77"/>
      <c r="AAY10" s="77"/>
      <c r="AAZ10" s="77"/>
      <c r="ABA10" s="77"/>
      <c r="ABB10" s="77"/>
      <c r="ABC10" s="77"/>
      <c r="ABD10" s="77"/>
      <c r="ABE10" s="77"/>
      <c r="ABF10" s="77"/>
      <c r="ABG10" s="77"/>
      <c r="ABH10" s="77"/>
      <c r="ABI10" s="77"/>
      <c r="ABJ10" s="77"/>
      <c r="ABK10" s="77"/>
      <c r="ABL10" s="77"/>
      <c r="ABM10" s="77"/>
      <c r="ABN10" s="77"/>
      <c r="ABO10" s="77"/>
      <c r="ABP10" s="77"/>
      <c r="ABQ10" s="77"/>
      <c r="ABR10" s="77"/>
      <c r="ABS10" s="77"/>
      <c r="ABT10" s="77"/>
      <c r="ABU10" s="77"/>
      <c r="ABV10" s="77"/>
      <c r="ABW10" s="77"/>
      <c r="ABX10" s="77"/>
      <c r="ABY10" s="77"/>
      <c r="ABZ10" s="77"/>
      <c r="ACA10" s="77"/>
      <c r="ACB10" s="77"/>
      <c r="ACC10" s="77"/>
      <c r="ACD10" s="77"/>
      <c r="ACE10" s="77"/>
      <c r="ACF10" s="77"/>
      <c r="ACG10" s="672" t="s">
        <v>147</v>
      </c>
      <c r="ACH10" s="672"/>
      <c r="ACI10" s="672"/>
      <c r="ACJ10" s="672"/>
      <c r="ACK10" s="672"/>
      <c r="ACL10" s="672"/>
      <c r="ACM10" s="676" t="s">
        <v>600</v>
      </c>
      <c r="ACN10" s="676"/>
      <c r="ACO10" s="676"/>
      <c r="ACP10" s="676"/>
      <c r="ACQ10" s="676"/>
      <c r="ACR10" s="676"/>
      <c r="ACS10" s="676"/>
      <c r="ACT10" s="682" t="s">
        <v>603</v>
      </c>
      <c r="ACU10" s="682"/>
      <c r="ACV10" s="682"/>
      <c r="ACW10" s="682"/>
      <c r="ACX10" s="682"/>
      <c r="ACY10" s="682"/>
      <c r="ACZ10" s="682"/>
      <c r="ADA10" s="682"/>
      <c r="ADB10" s="682"/>
      <c r="ADC10" s="682"/>
      <c r="ADD10" s="682"/>
      <c r="ADE10" s="682"/>
      <c r="ADF10" s="682"/>
      <c r="ADG10" s="682"/>
      <c r="ADH10" s="682"/>
      <c r="ADI10" s="682"/>
      <c r="ADJ10" s="682"/>
      <c r="ADK10" s="682"/>
      <c r="ADL10" s="682"/>
      <c r="ADM10" s="682"/>
      <c r="ADN10" s="682"/>
      <c r="ADO10" s="682"/>
      <c r="ADP10" s="682"/>
      <c r="ADQ10" s="682"/>
      <c r="ADR10" s="682"/>
      <c r="ADS10" s="682"/>
      <c r="ADT10" s="682"/>
      <c r="ADU10" s="682"/>
      <c r="ADV10" s="682"/>
      <c r="ADW10" s="682"/>
      <c r="ADX10" s="682"/>
      <c r="ADY10" s="682"/>
      <c r="ADZ10" s="682"/>
      <c r="AEA10" s="682"/>
      <c r="AEB10" s="682"/>
      <c r="AEC10" s="682"/>
      <c r="AED10" s="682"/>
      <c r="AEE10" s="682"/>
      <c r="AEF10" s="682"/>
      <c r="AEG10" s="682"/>
      <c r="AEH10" s="682"/>
      <c r="AEI10" s="682"/>
      <c r="AEJ10" s="682"/>
      <c r="AEK10" s="682"/>
      <c r="AEL10" s="682"/>
      <c r="AEM10" s="682"/>
      <c r="AEN10" s="682"/>
      <c r="AEO10" s="682"/>
      <c r="AEP10" s="682"/>
      <c r="AEQ10" s="682"/>
      <c r="AER10" s="682"/>
      <c r="AES10" s="682"/>
      <c r="AET10" s="682"/>
      <c r="AEU10" s="682"/>
      <c r="AEV10" s="682"/>
      <c r="AEW10" s="682"/>
      <c r="AEX10" s="682"/>
      <c r="AEY10" s="682"/>
      <c r="AEZ10" s="682"/>
      <c r="AFA10" s="682"/>
      <c r="AFB10" s="682"/>
      <c r="AFC10" s="682"/>
      <c r="AFD10" s="682"/>
      <c r="AFE10" s="682"/>
      <c r="AFF10" s="682"/>
      <c r="AFG10" s="682"/>
      <c r="AFH10" s="682"/>
      <c r="AFI10" s="682" t="s">
        <v>602</v>
      </c>
      <c r="AFJ10" s="682"/>
      <c r="AFK10" s="682"/>
      <c r="AFL10" s="682"/>
      <c r="AFM10" s="682"/>
      <c r="AFN10" s="682"/>
      <c r="AFO10" s="682"/>
      <c r="AFP10" s="682"/>
      <c r="AFQ10" s="682"/>
      <c r="AFR10" s="682"/>
      <c r="AFS10" s="682"/>
      <c r="AFT10" s="682"/>
      <c r="AFU10" s="682"/>
      <c r="AFV10" s="682"/>
      <c r="AFW10" s="682"/>
      <c r="AFX10" s="682"/>
      <c r="AFY10" s="682"/>
      <c r="AFZ10" s="682"/>
      <c r="AGA10" s="682"/>
      <c r="AGB10" s="682"/>
      <c r="AGC10" s="682"/>
      <c r="AGD10" s="682"/>
      <c r="AGE10" s="682"/>
      <c r="AGF10" s="682"/>
      <c r="AGG10" s="682"/>
      <c r="AGH10" s="682"/>
      <c r="AGI10" s="682"/>
      <c r="AGJ10" s="682"/>
      <c r="AGK10" s="682"/>
      <c r="AGL10" s="682"/>
      <c r="AGM10" s="682"/>
      <c r="AGN10" s="682"/>
      <c r="AGO10" s="682"/>
      <c r="AGP10" s="682"/>
      <c r="AGQ10" s="682"/>
      <c r="AGR10" s="682"/>
      <c r="AGS10" s="682"/>
      <c r="AGT10" s="682"/>
      <c r="AGU10" s="682"/>
      <c r="AGV10" s="682"/>
      <c r="AGW10" s="682"/>
      <c r="AGX10" s="682"/>
      <c r="AGY10" s="682"/>
      <c r="AGZ10" s="682"/>
      <c r="AHA10" s="682"/>
      <c r="AHB10" s="682"/>
      <c r="AHC10" s="682"/>
      <c r="AHD10" s="682"/>
      <c r="AHE10" s="682"/>
      <c r="AHF10" s="682"/>
      <c r="AHG10" s="682"/>
      <c r="AHH10" s="682"/>
      <c r="AHI10" s="682"/>
      <c r="AHJ10" s="682"/>
      <c r="AHK10" s="682"/>
      <c r="AHL10" s="682"/>
      <c r="AHM10" s="682"/>
      <c r="AHN10" s="682"/>
      <c r="AHO10" s="682"/>
      <c r="AHP10" s="682"/>
      <c r="AHQ10" s="682"/>
      <c r="AHR10" s="682"/>
      <c r="AHS10" s="682"/>
      <c r="AHT10" s="682"/>
      <c r="AHU10" s="682"/>
      <c r="AHV10" s="682"/>
      <c r="AHW10" s="682"/>
      <c r="AHX10" s="682" t="s">
        <v>601</v>
      </c>
      <c r="AHY10" s="682"/>
      <c r="AHZ10" s="682"/>
      <c r="AIA10" s="682"/>
      <c r="AIB10" s="682"/>
      <c r="AIC10" s="682"/>
      <c r="AID10" s="682"/>
      <c r="AIE10" s="682"/>
      <c r="AIF10" s="682"/>
      <c r="AIG10" s="682"/>
      <c r="AIH10" s="682"/>
      <c r="AII10" s="682"/>
      <c r="AIJ10" s="682"/>
      <c r="AIK10" s="682"/>
      <c r="AIL10" s="682"/>
      <c r="AIM10" s="682"/>
      <c r="AIN10" s="682"/>
      <c r="AIO10" s="682"/>
      <c r="AIP10" s="682"/>
      <c r="AIQ10" s="682"/>
      <c r="AIR10" s="682"/>
      <c r="AIS10" s="682"/>
      <c r="AIT10" s="682"/>
      <c r="AIU10" s="682"/>
      <c r="AIV10" s="682"/>
      <c r="AIW10" s="682"/>
      <c r="AIX10" s="682"/>
      <c r="AIY10" s="682"/>
      <c r="AIZ10" s="682"/>
      <c r="AJA10" s="682"/>
      <c r="AJB10" s="682"/>
      <c r="AJC10" s="682"/>
      <c r="AJD10" s="682"/>
      <c r="AJE10" s="682"/>
      <c r="AJF10" s="682"/>
      <c r="AJG10" s="682"/>
      <c r="AJH10" s="682"/>
      <c r="AJI10" s="682"/>
      <c r="AJJ10" s="682"/>
      <c r="AJK10" s="682"/>
      <c r="AJL10" s="682"/>
      <c r="AJM10" s="682"/>
      <c r="AJN10" s="682"/>
      <c r="AJO10" s="682"/>
      <c r="AJP10" s="682"/>
      <c r="AJQ10" s="682"/>
      <c r="AJR10" s="682"/>
      <c r="AJS10" s="682"/>
      <c r="AJT10" s="682"/>
      <c r="AJU10" s="682"/>
      <c r="AJV10" s="682"/>
      <c r="AJW10" s="682"/>
      <c r="AJX10" s="682"/>
      <c r="AJY10" s="682"/>
      <c r="AJZ10" s="682"/>
      <c r="AKA10" s="682"/>
      <c r="AKB10" s="682"/>
      <c r="AKC10" s="682"/>
      <c r="AKD10" s="682"/>
      <c r="AKE10" s="682"/>
      <c r="AKF10" s="682"/>
      <c r="AKG10" s="682"/>
      <c r="AKH10" s="682"/>
      <c r="AKI10" s="682"/>
      <c r="AKJ10" s="682"/>
      <c r="AKK10" s="682"/>
      <c r="AKL10" s="682"/>
      <c r="AKM10" s="77"/>
      <c r="AKN10" s="77"/>
      <c r="AKO10" s="77"/>
      <c r="AKP10" s="77"/>
      <c r="AKQ10" s="77"/>
      <c r="AKR10" s="77"/>
      <c r="AKS10" s="77"/>
      <c r="AKT10" s="77"/>
      <c r="AKU10" s="77"/>
      <c r="AKV10" s="77"/>
      <c r="AKW10" s="77"/>
      <c r="AKX10" s="77"/>
      <c r="AKY10" s="77"/>
      <c r="AKZ10" s="77"/>
      <c r="ALA10" s="77"/>
      <c r="ALB10" s="77"/>
      <c r="ALC10" s="77"/>
      <c r="ALD10" s="77"/>
      <c r="ALE10" s="77"/>
      <c r="ALF10" s="77"/>
      <c r="ALG10" s="77"/>
      <c r="ALH10" s="77"/>
      <c r="ALI10" s="77"/>
      <c r="ALJ10" s="77"/>
      <c r="ALK10" s="77"/>
      <c r="ALL10" s="77"/>
      <c r="ALM10" s="77"/>
      <c r="ALN10" s="77"/>
      <c r="ALO10" s="77"/>
      <c r="ALP10" s="77"/>
      <c r="ALQ10" s="77"/>
      <c r="ALR10" s="77"/>
      <c r="ALS10" s="77"/>
      <c r="ALT10" s="77"/>
      <c r="ALU10" s="77"/>
      <c r="ALV10" s="77"/>
      <c r="ALW10" s="77"/>
      <c r="ALX10" s="77"/>
      <c r="ALY10" s="77"/>
      <c r="ALZ10" s="77"/>
      <c r="AMA10" s="77"/>
      <c r="AMB10" s="77"/>
      <c r="AMC10" s="77"/>
      <c r="AMD10" s="77"/>
      <c r="AME10" s="77"/>
      <c r="AMF10" s="77"/>
      <c r="AMG10" s="77"/>
      <c r="AMH10" s="77"/>
      <c r="AMI10" s="77"/>
      <c r="AMJ10" s="77"/>
      <c r="AMK10" s="77"/>
      <c r="AML10" s="77"/>
      <c r="AMM10" s="77"/>
      <c r="AMN10" s="77"/>
      <c r="AMO10" s="77"/>
      <c r="AMP10" s="77"/>
      <c r="AMQ10" s="77"/>
      <c r="AMR10" s="77"/>
      <c r="AMS10" s="77"/>
      <c r="AMT10" s="77"/>
      <c r="AMU10" s="77"/>
      <c r="AMV10" s="77"/>
      <c r="AMW10" s="77"/>
      <c r="AMX10" s="77"/>
      <c r="AMY10" s="77"/>
      <c r="AMZ10" s="77"/>
      <c r="ANA10" s="77"/>
      <c r="ANB10" s="77"/>
      <c r="ANC10" s="77"/>
      <c r="AND10" s="77"/>
      <c r="ANE10" s="77"/>
      <c r="ANF10" s="77"/>
      <c r="ANG10" s="77"/>
      <c r="ANH10" s="77"/>
      <c r="ANI10" s="77"/>
      <c r="ANJ10" s="77"/>
      <c r="ANK10" s="77"/>
      <c r="ANL10" s="77"/>
      <c r="ANM10" s="77"/>
      <c r="ANN10" s="77"/>
      <c r="ANO10" s="77"/>
      <c r="ANP10" s="77"/>
      <c r="ANQ10" s="77"/>
      <c r="ANR10" s="77"/>
      <c r="ANS10" s="77"/>
    </row>
    <row r="11" spans="1:1059" ht="15" thickTop="1"/>
  </sheetData>
  <mergeCells count="215">
    <mergeCell ref="ADE9:ADK9"/>
    <mergeCell ref="ADL9:ADO9"/>
    <mergeCell ref="ACG10:ACL10"/>
    <mergeCell ref="ACM10:ACS10"/>
    <mergeCell ref="ACT10:AFH10"/>
    <mergeCell ref="AFI10:AHW10"/>
    <mergeCell ref="AHX10:AKL10"/>
    <mergeCell ref="ABC8:ABF8"/>
    <mergeCell ref="ABG8:ABY8"/>
    <mergeCell ref="ABZ8:ACE8"/>
    <mergeCell ref="ACF8:ACM8"/>
    <mergeCell ref="AAR9:ABF9"/>
    <mergeCell ref="ABG9:ACD9"/>
    <mergeCell ref="ACE9:ADD9"/>
    <mergeCell ref="AAS8:AAV8"/>
    <mergeCell ref="AAW8:ABB8"/>
    <mergeCell ref="PV7:PY7"/>
    <mergeCell ref="PZ7:QB7"/>
    <mergeCell ref="QC7:QF7"/>
    <mergeCell ref="QG7:QL7"/>
    <mergeCell ref="QM7:QT7"/>
    <mergeCell ref="QU7:RG7"/>
    <mergeCell ref="RI7:RQ7"/>
    <mergeCell ref="RR7:RW7"/>
    <mergeCell ref="RX7:SA7"/>
    <mergeCell ref="RJ6:SG6"/>
    <mergeCell ref="SH6:SJ6"/>
    <mergeCell ref="SK6:SP6"/>
    <mergeCell ref="SQ6:TJ6"/>
    <mergeCell ref="TK6:TY6"/>
    <mergeCell ref="TZ6:WN6"/>
    <mergeCell ref="ZR9:ZW9"/>
    <mergeCell ref="ZX9:AAC9"/>
    <mergeCell ref="AAD9:AAQ9"/>
    <mergeCell ref="WF7:XM7"/>
    <mergeCell ref="ZU8:ZX8"/>
    <mergeCell ref="ZY8:AAI8"/>
    <mergeCell ref="AAJ8:AAL8"/>
    <mergeCell ref="AAM8:AAR8"/>
    <mergeCell ref="SB7:SZ7"/>
    <mergeCell ref="TA7:TC7"/>
    <mergeCell ref="TD7:TK7"/>
    <mergeCell ref="TL7:TQ7"/>
    <mergeCell ref="TR7:TZ7"/>
    <mergeCell ref="UA7:UC7"/>
    <mergeCell ref="UD7:UZ7"/>
    <mergeCell ref="VA7:VH7"/>
    <mergeCell ref="VI7:WE7"/>
    <mergeCell ref="OM6:OZ6"/>
    <mergeCell ref="PA6:PK6"/>
    <mergeCell ref="PL6:PP6"/>
    <mergeCell ref="PQ6:PS6"/>
    <mergeCell ref="PT6:PW6"/>
    <mergeCell ref="PX6:QP6"/>
    <mergeCell ref="QQ6:QV6"/>
    <mergeCell ref="QW6:QZ6"/>
    <mergeCell ref="RA6:RI6"/>
    <mergeCell ref="CI1:CO1"/>
    <mergeCell ref="CP1:CV1"/>
    <mergeCell ref="CW1:DC1"/>
    <mergeCell ref="TC4:WG4"/>
    <mergeCell ref="AAD4:AFW4"/>
    <mergeCell ref="CC5:CN5"/>
    <mergeCell ref="CR5:CT5"/>
    <mergeCell ref="CU5:DO5"/>
    <mergeCell ref="DR5:EC5"/>
    <mergeCell ref="EF5:EH5"/>
    <mergeCell ref="DY1:EE1"/>
    <mergeCell ref="EF1:EL1"/>
    <mergeCell ref="EM1:ES1"/>
    <mergeCell ref="ET1:EZ1"/>
    <mergeCell ref="FA1:FG1"/>
    <mergeCell ref="FH1:FN1"/>
    <mergeCell ref="DD1:DJ1"/>
    <mergeCell ref="DK1:DQ1"/>
    <mergeCell ref="DR1:DX1"/>
    <mergeCell ref="HE1:HK1"/>
    <mergeCell ref="HL1:HR1"/>
    <mergeCell ref="HS1:HY1"/>
    <mergeCell ref="HZ1:IF1"/>
    <mergeCell ref="IG1:IM1"/>
    <mergeCell ref="AS1:AY1"/>
    <mergeCell ref="AZ1:BF1"/>
    <mergeCell ref="BG1:BM1"/>
    <mergeCell ref="BN1:BT1"/>
    <mergeCell ref="BU1:CA1"/>
    <mergeCell ref="CB1:CH1"/>
    <mergeCell ref="C1:I1"/>
    <mergeCell ref="J1:P1"/>
    <mergeCell ref="Q1:W1"/>
    <mergeCell ref="X1:AD1"/>
    <mergeCell ref="AE1:AK1"/>
    <mergeCell ref="AL1:AR1"/>
    <mergeCell ref="IN1:IT1"/>
    <mergeCell ref="FO1:FU1"/>
    <mergeCell ref="FV1:GB1"/>
    <mergeCell ref="GC1:GI1"/>
    <mergeCell ref="GJ1:GP1"/>
    <mergeCell ref="GQ1:GW1"/>
    <mergeCell ref="GX1:HD1"/>
    <mergeCell ref="KK1:KQ1"/>
    <mergeCell ref="KR1:KX1"/>
    <mergeCell ref="KY1:LE1"/>
    <mergeCell ref="LF1:LL1"/>
    <mergeCell ref="LM1:LS1"/>
    <mergeCell ref="LT1:LZ1"/>
    <mergeCell ref="IU1:JA1"/>
    <mergeCell ref="JB1:JH1"/>
    <mergeCell ref="JI1:JO1"/>
    <mergeCell ref="JP1:JV1"/>
    <mergeCell ref="JW1:KC1"/>
    <mergeCell ref="KD1:KJ1"/>
    <mergeCell ref="NQ1:NW1"/>
    <mergeCell ref="NX1:OD1"/>
    <mergeCell ref="OE1:OK1"/>
    <mergeCell ref="OL1:OR1"/>
    <mergeCell ref="OS1:OY1"/>
    <mergeCell ref="OZ1:PF1"/>
    <mergeCell ref="MA1:MG1"/>
    <mergeCell ref="MH1:MN1"/>
    <mergeCell ref="MO1:MU1"/>
    <mergeCell ref="MV1:NB1"/>
    <mergeCell ref="NC1:NI1"/>
    <mergeCell ref="NJ1:NP1"/>
    <mergeCell ref="QW1:RC1"/>
    <mergeCell ref="RD1:RJ1"/>
    <mergeCell ref="RK1:RQ1"/>
    <mergeCell ref="RR1:RX1"/>
    <mergeCell ref="RY1:SE1"/>
    <mergeCell ref="SF1:SL1"/>
    <mergeCell ref="PG1:PM1"/>
    <mergeCell ref="PN1:PT1"/>
    <mergeCell ref="PU1:QA1"/>
    <mergeCell ref="QB1:QH1"/>
    <mergeCell ref="QI1:QO1"/>
    <mergeCell ref="QP1:QV1"/>
    <mergeCell ref="UC1:UI1"/>
    <mergeCell ref="UJ1:UP1"/>
    <mergeCell ref="UQ1:UW1"/>
    <mergeCell ref="UX1:VD1"/>
    <mergeCell ref="VE1:VK1"/>
    <mergeCell ref="VL1:VR1"/>
    <mergeCell ref="SM1:SS1"/>
    <mergeCell ref="ST1:SZ1"/>
    <mergeCell ref="TA1:TG1"/>
    <mergeCell ref="TH1:TN1"/>
    <mergeCell ref="TO1:TU1"/>
    <mergeCell ref="TV1:UB1"/>
    <mergeCell ref="XI1:XO1"/>
    <mergeCell ref="XP1:XV1"/>
    <mergeCell ref="XW1:YC1"/>
    <mergeCell ref="YD1:YJ1"/>
    <mergeCell ref="YK1:YQ1"/>
    <mergeCell ref="YR1:YX1"/>
    <mergeCell ref="VS1:VY1"/>
    <mergeCell ref="VZ1:WF1"/>
    <mergeCell ref="WG1:WM1"/>
    <mergeCell ref="WN1:WT1"/>
    <mergeCell ref="WU1:XA1"/>
    <mergeCell ref="XB1:XH1"/>
    <mergeCell ref="AAO1:AAU1"/>
    <mergeCell ref="AAV1:ABB1"/>
    <mergeCell ref="ABC1:ABI1"/>
    <mergeCell ref="ABJ1:ABP1"/>
    <mergeCell ref="ABQ1:ABW1"/>
    <mergeCell ref="ABX1:ACD1"/>
    <mergeCell ref="YY1:ZE1"/>
    <mergeCell ref="ZF1:ZL1"/>
    <mergeCell ref="ZM1:ZS1"/>
    <mergeCell ref="ZT1:ZZ1"/>
    <mergeCell ref="AAA1:AAG1"/>
    <mergeCell ref="AAH1:AAN1"/>
    <mergeCell ref="ADU1:AEA1"/>
    <mergeCell ref="AEB1:AEH1"/>
    <mergeCell ref="AEI1:AEO1"/>
    <mergeCell ref="AEP1:AEV1"/>
    <mergeCell ref="AEW1:AFC1"/>
    <mergeCell ref="AFD1:AFJ1"/>
    <mergeCell ref="ACE1:ACK1"/>
    <mergeCell ref="ACL1:ACR1"/>
    <mergeCell ref="ACS1:ACY1"/>
    <mergeCell ref="ACZ1:ADF1"/>
    <mergeCell ref="ADG1:ADM1"/>
    <mergeCell ref="ADN1:ADT1"/>
    <mergeCell ref="AJS1:AJY1"/>
    <mergeCell ref="AJZ1:AKF1"/>
    <mergeCell ref="AHA1:AHG1"/>
    <mergeCell ref="AHH1:AHN1"/>
    <mergeCell ref="AHO1:AHU1"/>
    <mergeCell ref="AHV1:AIB1"/>
    <mergeCell ref="AIC1:AII1"/>
    <mergeCell ref="AIJ1:AIP1"/>
    <mergeCell ref="AFK1:AFQ1"/>
    <mergeCell ref="AFR1:AFX1"/>
    <mergeCell ref="AFY1:AGE1"/>
    <mergeCell ref="AGF1:AGL1"/>
    <mergeCell ref="AGM1:AGS1"/>
    <mergeCell ref="AGT1:AGZ1"/>
    <mergeCell ref="AIQ1:AIW1"/>
    <mergeCell ref="AIX1:AJD1"/>
    <mergeCell ref="AJE1:AJK1"/>
    <mergeCell ref="AJL1:AJR1"/>
    <mergeCell ref="ANM1:ANS1"/>
    <mergeCell ref="ALW1:AMC1"/>
    <mergeCell ref="AMD1:AMJ1"/>
    <mergeCell ref="AMK1:AMQ1"/>
    <mergeCell ref="AMR1:AMX1"/>
    <mergeCell ref="AMY1:ANE1"/>
    <mergeCell ref="ANF1:ANL1"/>
    <mergeCell ref="AKG1:AKM1"/>
    <mergeCell ref="AKN1:AKT1"/>
    <mergeCell ref="AKU1:ALA1"/>
    <mergeCell ref="ALB1:ALH1"/>
    <mergeCell ref="ALI1:ALO1"/>
    <mergeCell ref="ALP1:ALV1"/>
  </mergeCells>
  <pageMargins left="0.7" right="0.7" top="0.75" bottom="0.75" header="0.3" footer="0.3"/>
  <pageSetup paperSize="267" scale="65" orientation="landscape" r:id="rId1"/>
  <headerFooter>
    <oddFooter>&amp;L&amp;1#&amp;"Calibri"&amp;10&amp;K737373Caterpillar: Confidential Green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C5A1-1474-4C55-B094-C06CE8F37B22}">
  <dimension ref="A1:ALA9"/>
  <sheetViews>
    <sheetView topLeftCell="A4" zoomScale="79" zoomScaleNormal="79" workbookViewId="0">
      <selection activeCell="ZV7" sqref="ZV7:AAA7"/>
    </sheetView>
  </sheetViews>
  <sheetFormatPr defaultColWidth="14.6640625" defaultRowHeight="14.4"/>
  <sheetData>
    <row r="1" spans="1:989" s="72" customFormat="1" ht="31.2" customHeight="1" thickTop="1" thickBot="1">
      <c r="A1" s="71" t="s">
        <v>610</v>
      </c>
      <c r="B1" s="71" t="s">
        <v>611</v>
      </c>
      <c r="C1" s="702">
        <v>43516</v>
      </c>
      <c r="D1" s="702"/>
      <c r="E1" s="702"/>
      <c r="F1" s="702"/>
      <c r="G1" s="702"/>
      <c r="H1" s="702"/>
      <c r="I1" s="702"/>
      <c r="J1" s="702">
        <v>43523</v>
      </c>
      <c r="K1" s="702"/>
      <c r="L1" s="702"/>
      <c r="M1" s="702"/>
      <c r="N1" s="702"/>
      <c r="O1" s="702"/>
      <c r="P1" s="702"/>
      <c r="Q1" s="702">
        <v>43530</v>
      </c>
      <c r="R1" s="702"/>
      <c r="S1" s="702"/>
      <c r="T1" s="702"/>
      <c r="U1" s="702"/>
      <c r="V1" s="702"/>
      <c r="W1" s="702"/>
      <c r="X1" s="702">
        <v>43537</v>
      </c>
      <c r="Y1" s="702"/>
      <c r="Z1" s="702"/>
      <c r="AA1" s="702"/>
      <c r="AB1" s="702"/>
      <c r="AC1" s="702"/>
      <c r="AD1" s="702"/>
      <c r="AE1" s="702">
        <v>43544</v>
      </c>
      <c r="AF1" s="702"/>
      <c r="AG1" s="702"/>
      <c r="AH1" s="702"/>
      <c r="AI1" s="702"/>
      <c r="AJ1" s="702"/>
      <c r="AK1" s="702"/>
      <c r="AL1" s="702">
        <v>43551</v>
      </c>
      <c r="AM1" s="702"/>
      <c r="AN1" s="702"/>
      <c r="AO1" s="702"/>
      <c r="AP1" s="702"/>
      <c r="AQ1" s="702"/>
      <c r="AR1" s="702"/>
      <c r="AS1" s="702">
        <v>43558</v>
      </c>
      <c r="AT1" s="702"/>
      <c r="AU1" s="702"/>
      <c r="AV1" s="702"/>
      <c r="AW1" s="702"/>
      <c r="AX1" s="702"/>
      <c r="AY1" s="702"/>
      <c r="AZ1" s="702">
        <v>43565</v>
      </c>
      <c r="BA1" s="702"/>
      <c r="BB1" s="702"/>
      <c r="BC1" s="702"/>
      <c r="BD1" s="702"/>
      <c r="BE1" s="702"/>
      <c r="BF1" s="702"/>
      <c r="BG1" s="702">
        <v>43572</v>
      </c>
      <c r="BH1" s="702"/>
      <c r="BI1" s="702"/>
      <c r="BJ1" s="702"/>
      <c r="BK1" s="702"/>
      <c r="BL1" s="702"/>
      <c r="BM1" s="702"/>
      <c r="BN1" s="702">
        <v>43579</v>
      </c>
      <c r="BO1" s="702"/>
      <c r="BP1" s="702"/>
      <c r="BQ1" s="702"/>
      <c r="BR1" s="702"/>
      <c r="BS1" s="702"/>
      <c r="BT1" s="702"/>
      <c r="BU1" s="702">
        <v>43586</v>
      </c>
      <c r="BV1" s="702"/>
      <c r="BW1" s="702"/>
      <c r="BX1" s="702"/>
      <c r="BY1" s="702"/>
      <c r="BZ1" s="702"/>
      <c r="CA1" s="702"/>
      <c r="CB1" s="702">
        <v>43593</v>
      </c>
      <c r="CC1" s="702"/>
      <c r="CD1" s="702"/>
      <c r="CE1" s="702"/>
      <c r="CF1" s="702"/>
      <c r="CG1" s="702"/>
      <c r="CH1" s="702"/>
      <c r="CI1" s="702">
        <v>43600</v>
      </c>
      <c r="CJ1" s="702"/>
      <c r="CK1" s="702"/>
      <c r="CL1" s="702"/>
      <c r="CM1" s="702"/>
      <c r="CN1" s="702"/>
      <c r="CO1" s="702"/>
      <c r="CP1" s="702">
        <v>43607</v>
      </c>
      <c r="CQ1" s="702"/>
      <c r="CR1" s="702"/>
      <c r="CS1" s="702"/>
      <c r="CT1" s="702"/>
      <c r="CU1" s="702"/>
      <c r="CV1" s="702"/>
      <c r="CW1" s="702">
        <v>43614</v>
      </c>
      <c r="CX1" s="702"/>
      <c r="CY1" s="702"/>
      <c r="CZ1" s="702"/>
      <c r="DA1" s="702"/>
      <c r="DB1" s="702"/>
      <c r="DC1" s="702"/>
      <c r="DD1" s="702">
        <v>43621</v>
      </c>
      <c r="DE1" s="702"/>
      <c r="DF1" s="702"/>
      <c r="DG1" s="702"/>
      <c r="DH1" s="702"/>
      <c r="DI1" s="702"/>
      <c r="DJ1" s="702"/>
      <c r="DK1" s="702">
        <v>43628</v>
      </c>
      <c r="DL1" s="702"/>
      <c r="DM1" s="702"/>
      <c r="DN1" s="702"/>
      <c r="DO1" s="702"/>
      <c r="DP1" s="702"/>
      <c r="DQ1" s="702"/>
      <c r="DR1" s="702">
        <v>43635</v>
      </c>
      <c r="DS1" s="702"/>
      <c r="DT1" s="702"/>
      <c r="DU1" s="702"/>
      <c r="DV1" s="702"/>
      <c r="DW1" s="702"/>
      <c r="DX1" s="702"/>
      <c r="DY1" s="702">
        <v>43642</v>
      </c>
      <c r="DZ1" s="702"/>
      <c r="EA1" s="702"/>
      <c r="EB1" s="702"/>
      <c r="EC1" s="702"/>
      <c r="ED1" s="702"/>
      <c r="EE1" s="702"/>
      <c r="EF1" s="702">
        <v>43649</v>
      </c>
      <c r="EG1" s="702"/>
      <c r="EH1" s="702"/>
      <c r="EI1" s="702"/>
      <c r="EJ1" s="702"/>
      <c r="EK1" s="702"/>
      <c r="EL1" s="702"/>
      <c r="EM1" s="702">
        <v>43656</v>
      </c>
      <c r="EN1" s="702"/>
      <c r="EO1" s="702"/>
      <c r="EP1" s="702"/>
      <c r="EQ1" s="702"/>
      <c r="ER1" s="702"/>
      <c r="ES1" s="702"/>
      <c r="ET1" s="702">
        <v>43663</v>
      </c>
      <c r="EU1" s="702"/>
      <c r="EV1" s="702"/>
      <c r="EW1" s="702"/>
      <c r="EX1" s="702"/>
      <c r="EY1" s="702"/>
      <c r="EZ1" s="702"/>
      <c r="FA1" s="702">
        <v>43670</v>
      </c>
      <c r="FB1" s="702"/>
      <c r="FC1" s="702"/>
      <c r="FD1" s="702"/>
      <c r="FE1" s="702"/>
      <c r="FF1" s="702"/>
      <c r="FG1" s="702"/>
      <c r="FH1" s="702">
        <v>43677</v>
      </c>
      <c r="FI1" s="702"/>
      <c r="FJ1" s="702"/>
      <c r="FK1" s="702"/>
      <c r="FL1" s="702"/>
      <c r="FM1" s="702"/>
      <c r="FN1" s="702"/>
      <c r="FO1" s="702">
        <v>43684</v>
      </c>
      <c r="FP1" s="702"/>
      <c r="FQ1" s="702"/>
      <c r="FR1" s="702"/>
      <c r="FS1" s="702"/>
      <c r="FT1" s="702"/>
      <c r="FU1" s="702"/>
      <c r="FV1" s="702">
        <v>43691</v>
      </c>
      <c r="FW1" s="702"/>
      <c r="FX1" s="702"/>
      <c r="FY1" s="702"/>
      <c r="FZ1" s="702"/>
      <c r="GA1" s="702"/>
      <c r="GB1" s="702"/>
      <c r="GC1" s="702">
        <v>43698</v>
      </c>
      <c r="GD1" s="702"/>
      <c r="GE1" s="702"/>
      <c r="GF1" s="702"/>
      <c r="GG1" s="702"/>
      <c r="GH1" s="702"/>
      <c r="GI1" s="702"/>
      <c r="GJ1" s="702">
        <v>43705</v>
      </c>
      <c r="GK1" s="702"/>
      <c r="GL1" s="702"/>
      <c r="GM1" s="702"/>
      <c r="GN1" s="702"/>
      <c r="GO1" s="702"/>
      <c r="GP1" s="702"/>
      <c r="GQ1" s="702">
        <v>43712</v>
      </c>
      <c r="GR1" s="702"/>
      <c r="GS1" s="702"/>
      <c r="GT1" s="702"/>
      <c r="GU1" s="702"/>
      <c r="GV1" s="702"/>
      <c r="GW1" s="702"/>
      <c r="GX1" s="702">
        <v>43719</v>
      </c>
      <c r="GY1" s="702"/>
      <c r="GZ1" s="702"/>
      <c r="HA1" s="702"/>
      <c r="HB1" s="702"/>
      <c r="HC1" s="702"/>
      <c r="HD1" s="702"/>
      <c r="HE1" s="702">
        <v>43726</v>
      </c>
      <c r="HF1" s="702"/>
      <c r="HG1" s="702"/>
      <c r="HH1" s="702"/>
      <c r="HI1" s="702"/>
      <c r="HJ1" s="702"/>
      <c r="HK1" s="702"/>
      <c r="HL1" s="702">
        <v>43733</v>
      </c>
      <c r="HM1" s="702"/>
      <c r="HN1" s="702"/>
      <c r="HO1" s="702"/>
      <c r="HP1" s="702"/>
      <c r="HQ1" s="702"/>
      <c r="HR1" s="702"/>
      <c r="HS1" s="702">
        <v>43740</v>
      </c>
      <c r="HT1" s="702"/>
      <c r="HU1" s="702"/>
      <c r="HV1" s="702"/>
      <c r="HW1" s="702"/>
      <c r="HX1" s="702"/>
      <c r="HY1" s="702"/>
      <c r="HZ1" s="702">
        <v>43747</v>
      </c>
      <c r="IA1" s="702"/>
      <c r="IB1" s="702"/>
      <c r="IC1" s="702"/>
      <c r="ID1" s="702"/>
      <c r="IE1" s="702"/>
      <c r="IF1" s="702"/>
      <c r="IG1" s="702">
        <v>43754</v>
      </c>
      <c r="IH1" s="702"/>
      <c r="II1" s="702"/>
      <c r="IJ1" s="702"/>
      <c r="IK1" s="702"/>
      <c r="IL1" s="702"/>
      <c r="IM1" s="702"/>
      <c r="IN1" s="702">
        <v>43761</v>
      </c>
      <c r="IO1" s="702"/>
      <c r="IP1" s="702"/>
      <c r="IQ1" s="702"/>
      <c r="IR1" s="702"/>
      <c r="IS1" s="702"/>
      <c r="IT1" s="702"/>
      <c r="IU1" s="702">
        <v>43768</v>
      </c>
      <c r="IV1" s="702"/>
      <c r="IW1" s="702"/>
      <c r="IX1" s="702"/>
      <c r="IY1" s="702"/>
      <c r="IZ1" s="702"/>
      <c r="JA1" s="702"/>
      <c r="JB1" s="702">
        <v>43775</v>
      </c>
      <c r="JC1" s="702"/>
      <c r="JD1" s="702"/>
      <c r="JE1" s="702"/>
      <c r="JF1" s="702"/>
      <c r="JG1" s="702"/>
      <c r="JH1" s="702"/>
      <c r="JI1" s="702">
        <v>43782</v>
      </c>
      <c r="JJ1" s="702"/>
      <c r="JK1" s="702"/>
      <c r="JL1" s="702"/>
      <c r="JM1" s="702"/>
      <c r="JN1" s="702"/>
      <c r="JO1" s="702"/>
      <c r="JP1" s="702">
        <v>43789</v>
      </c>
      <c r="JQ1" s="702"/>
      <c r="JR1" s="702"/>
      <c r="JS1" s="702"/>
      <c r="JT1" s="702"/>
      <c r="JU1" s="702"/>
      <c r="JV1" s="702"/>
      <c r="JW1" s="702">
        <v>43796</v>
      </c>
      <c r="JX1" s="702"/>
      <c r="JY1" s="702"/>
      <c r="JZ1" s="702"/>
      <c r="KA1" s="702"/>
      <c r="KB1" s="702"/>
      <c r="KC1" s="702"/>
      <c r="KD1" s="702">
        <v>43803</v>
      </c>
      <c r="KE1" s="702"/>
      <c r="KF1" s="702"/>
      <c r="KG1" s="702"/>
      <c r="KH1" s="702"/>
      <c r="KI1" s="702"/>
      <c r="KJ1" s="702"/>
      <c r="KK1" s="702">
        <v>43810</v>
      </c>
      <c r="KL1" s="702"/>
      <c r="KM1" s="702"/>
      <c r="KN1" s="702"/>
      <c r="KO1" s="702"/>
      <c r="KP1" s="702"/>
      <c r="KQ1" s="702"/>
      <c r="KR1" s="702">
        <v>43817</v>
      </c>
      <c r="KS1" s="702"/>
      <c r="KT1" s="702"/>
      <c r="KU1" s="702"/>
      <c r="KV1" s="702"/>
      <c r="KW1" s="702"/>
      <c r="KX1" s="702"/>
      <c r="KY1" s="702">
        <v>43824</v>
      </c>
      <c r="KZ1" s="702"/>
      <c r="LA1" s="702"/>
      <c r="LB1" s="702"/>
      <c r="LC1" s="702"/>
      <c r="LD1" s="702"/>
      <c r="LE1" s="702"/>
      <c r="LF1" s="702">
        <v>43831</v>
      </c>
      <c r="LG1" s="702"/>
      <c r="LH1" s="702"/>
      <c r="LI1" s="702"/>
      <c r="LJ1" s="702"/>
      <c r="LK1" s="702"/>
      <c r="LL1" s="702"/>
      <c r="LM1" s="702">
        <v>43838</v>
      </c>
      <c r="LN1" s="702"/>
      <c r="LO1" s="702"/>
      <c r="LP1" s="702"/>
      <c r="LQ1" s="702"/>
      <c r="LR1" s="702"/>
      <c r="LS1" s="702"/>
      <c r="LT1" s="702">
        <v>43845</v>
      </c>
      <c r="LU1" s="702"/>
      <c r="LV1" s="702"/>
      <c r="LW1" s="702"/>
      <c r="LX1" s="702"/>
      <c r="LY1" s="702"/>
      <c r="LZ1" s="702"/>
      <c r="MA1" s="702">
        <v>43852</v>
      </c>
      <c r="MB1" s="702"/>
      <c r="MC1" s="702"/>
      <c r="MD1" s="702"/>
      <c r="ME1" s="702"/>
      <c r="MF1" s="702"/>
      <c r="MG1" s="702"/>
      <c r="MH1" s="702">
        <v>43859</v>
      </c>
      <c r="MI1" s="702"/>
      <c r="MJ1" s="702"/>
      <c r="MK1" s="702"/>
      <c r="ML1" s="702"/>
      <c r="MM1" s="702"/>
      <c r="MN1" s="702"/>
      <c r="MO1" s="702">
        <v>43866</v>
      </c>
      <c r="MP1" s="702"/>
      <c r="MQ1" s="702"/>
      <c r="MR1" s="702"/>
      <c r="MS1" s="702"/>
      <c r="MT1" s="702"/>
      <c r="MU1" s="702"/>
      <c r="MV1" s="702">
        <v>43873</v>
      </c>
      <c r="MW1" s="702"/>
      <c r="MX1" s="702"/>
      <c r="MY1" s="702"/>
      <c r="MZ1" s="702"/>
      <c r="NA1" s="702"/>
      <c r="NB1" s="702"/>
      <c r="NC1" s="702">
        <v>43880</v>
      </c>
      <c r="ND1" s="702"/>
      <c r="NE1" s="702"/>
      <c r="NF1" s="702"/>
      <c r="NG1" s="702"/>
      <c r="NH1" s="702"/>
      <c r="NI1" s="702"/>
      <c r="NJ1" s="702">
        <v>43887</v>
      </c>
      <c r="NK1" s="702"/>
      <c r="NL1" s="702"/>
      <c r="NM1" s="702"/>
      <c r="NN1" s="702"/>
      <c r="NO1" s="702"/>
      <c r="NP1" s="702"/>
      <c r="NQ1" s="702">
        <v>43894</v>
      </c>
      <c r="NR1" s="702"/>
      <c r="NS1" s="702"/>
      <c r="NT1" s="702"/>
      <c r="NU1" s="702"/>
      <c r="NV1" s="702"/>
      <c r="NW1" s="702"/>
      <c r="NX1" s="702">
        <v>43901</v>
      </c>
      <c r="NY1" s="702"/>
      <c r="NZ1" s="702"/>
      <c r="OA1" s="702"/>
      <c r="OB1" s="702"/>
      <c r="OC1" s="702"/>
      <c r="OD1" s="702"/>
      <c r="OE1" s="702">
        <v>43908</v>
      </c>
      <c r="OF1" s="702"/>
      <c r="OG1" s="702"/>
      <c r="OH1" s="702"/>
      <c r="OI1" s="702"/>
      <c r="OJ1" s="702"/>
      <c r="OK1" s="702"/>
      <c r="OL1" s="702">
        <v>43915</v>
      </c>
      <c r="OM1" s="702"/>
      <c r="ON1" s="702"/>
      <c r="OO1" s="702"/>
      <c r="OP1" s="702"/>
      <c r="OQ1" s="702"/>
      <c r="OR1" s="702"/>
      <c r="OS1" s="702">
        <v>43922</v>
      </c>
      <c r="OT1" s="702"/>
      <c r="OU1" s="702"/>
      <c r="OV1" s="702"/>
      <c r="OW1" s="702"/>
      <c r="OX1" s="702"/>
      <c r="OY1" s="702"/>
      <c r="OZ1" s="702">
        <v>43929</v>
      </c>
      <c r="PA1" s="702"/>
      <c r="PB1" s="702"/>
      <c r="PC1" s="702"/>
      <c r="PD1" s="702"/>
      <c r="PE1" s="702"/>
      <c r="PF1" s="702"/>
      <c r="PG1" s="702">
        <v>43936</v>
      </c>
      <c r="PH1" s="702"/>
      <c r="PI1" s="702"/>
      <c r="PJ1" s="702"/>
      <c r="PK1" s="702"/>
      <c r="PL1" s="702"/>
      <c r="PM1" s="702"/>
      <c r="PN1" s="702">
        <v>43943</v>
      </c>
      <c r="PO1" s="702"/>
      <c r="PP1" s="702"/>
      <c r="PQ1" s="702"/>
      <c r="PR1" s="702"/>
      <c r="PS1" s="702"/>
      <c r="PT1" s="702"/>
      <c r="PU1" s="702">
        <v>43950</v>
      </c>
      <c r="PV1" s="702"/>
      <c r="PW1" s="702"/>
      <c r="PX1" s="702"/>
      <c r="PY1" s="702"/>
      <c r="PZ1" s="702"/>
      <c r="QA1" s="702"/>
      <c r="QB1" s="702">
        <v>43957</v>
      </c>
      <c r="QC1" s="702"/>
      <c r="QD1" s="702"/>
      <c r="QE1" s="702"/>
      <c r="QF1" s="702"/>
      <c r="QG1" s="702"/>
      <c r="QH1" s="702"/>
      <c r="QI1" s="702">
        <v>43964</v>
      </c>
      <c r="QJ1" s="702"/>
      <c r="QK1" s="702"/>
      <c r="QL1" s="702"/>
      <c r="QM1" s="702"/>
      <c r="QN1" s="702"/>
      <c r="QO1" s="702"/>
      <c r="QP1" s="702">
        <v>43971</v>
      </c>
      <c r="QQ1" s="702"/>
      <c r="QR1" s="702"/>
      <c r="QS1" s="702"/>
      <c r="QT1" s="702"/>
      <c r="QU1" s="702"/>
      <c r="QV1" s="702"/>
      <c r="QW1" s="702">
        <v>43978</v>
      </c>
      <c r="QX1" s="702"/>
      <c r="QY1" s="702"/>
      <c r="QZ1" s="702"/>
      <c r="RA1" s="702"/>
      <c r="RB1" s="702"/>
      <c r="RC1" s="702"/>
      <c r="RD1" s="702">
        <v>43985</v>
      </c>
      <c r="RE1" s="702"/>
      <c r="RF1" s="702"/>
      <c r="RG1" s="702"/>
      <c r="RH1" s="702"/>
      <c r="RI1" s="702"/>
      <c r="RJ1" s="702"/>
      <c r="RK1" s="702">
        <v>43992</v>
      </c>
      <c r="RL1" s="702"/>
      <c r="RM1" s="702"/>
      <c r="RN1" s="702"/>
      <c r="RO1" s="702"/>
      <c r="RP1" s="702"/>
      <c r="RQ1" s="702"/>
      <c r="RR1" s="702">
        <v>43999</v>
      </c>
      <c r="RS1" s="702"/>
      <c r="RT1" s="702"/>
      <c r="RU1" s="702"/>
      <c r="RV1" s="702"/>
      <c r="RW1" s="702"/>
      <c r="RX1" s="702"/>
      <c r="RY1" s="702">
        <v>44006</v>
      </c>
      <c r="RZ1" s="702"/>
      <c r="SA1" s="702"/>
      <c r="SB1" s="702"/>
      <c r="SC1" s="702"/>
      <c r="SD1" s="702"/>
      <c r="SE1" s="702"/>
      <c r="SF1" s="702">
        <v>44013</v>
      </c>
      <c r="SG1" s="702"/>
      <c r="SH1" s="702"/>
      <c r="SI1" s="702"/>
      <c r="SJ1" s="702"/>
      <c r="SK1" s="702"/>
      <c r="SL1" s="702"/>
      <c r="SM1" s="702">
        <v>44020</v>
      </c>
      <c r="SN1" s="702"/>
      <c r="SO1" s="702"/>
      <c r="SP1" s="702"/>
      <c r="SQ1" s="702"/>
      <c r="SR1" s="702"/>
      <c r="SS1" s="702"/>
      <c r="ST1" s="702">
        <v>44027</v>
      </c>
      <c r="SU1" s="702"/>
      <c r="SV1" s="702"/>
      <c r="SW1" s="702"/>
      <c r="SX1" s="702"/>
      <c r="SY1" s="702"/>
      <c r="SZ1" s="702"/>
      <c r="TA1" s="702">
        <v>44034</v>
      </c>
      <c r="TB1" s="702"/>
      <c r="TC1" s="702"/>
      <c r="TD1" s="702"/>
      <c r="TE1" s="702"/>
      <c r="TF1" s="702"/>
      <c r="TG1" s="702"/>
      <c r="TH1" s="702">
        <v>44041</v>
      </c>
      <c r="TI1" s="702"/>
      <c r="TJ1" s="702"/>
      <c r="TK1" s="702"/>
      <c r="TL1" s="702"/>
      <c r="TM1" s="702"/>
      <c r="TN1" s="702"/>
      <c r="TO1" s="702">
        <v>44048</v>
      </c>
      <c r="TP1" s="702"/>
      <c r="TQ1" s="702"/>
      <c r="TR1" s="702"/>
      <c r="TS1" s="702"/>
      <c r="TT1" s="702"/>
      <c r="TU1" s="702"/>
      <c r="TV1" s="702">
        <v>44055</v>
      </c>
      <c r="TW1" s="702"/>
      <c r="TX1" s="702"/>
      <c r="TY1" s="702"/>
      <c r="TZ1" s="702"/>
      <c r="UA1" s="702"/>
      <c r="UB1" s="702"/>
      <c r="UC1" s="702">
        <v>44062</v>
      </c>
      <c r="UD1" s="702"/>
      <c r="UE1" s="702"/>
      <c r="UF1" s="702"/>
      <c r="UG1" s="702"/>
      <c r="UH1" s="702"/>
      <c r="UI1" s="702"/>
      <c r="UJ1" s="702">
        <v>44069</v>
      </c>
      <c r="UK1" s="702"/>
      <c r="UL1" s="702"/>
      <c r="UM1" s="702"/>
      <c r="UN1" s="702"/>
      <c r="UO1" s="702"/>
      <c r="UP1" s="702"/>
      <c r="UQ1" s="702">
        <v>44076</v>
      </c>
      <c r="UR1" s="702"/>
      <c r="US1" s="702"/>
      <c r="UT1" s="702"/>
      <c r="UU1" s="702"/>
      <c r="UV1" s="702"/>
      <c r="UW1" s="702"/>
      <c r="UX1" s="702">
        <v>44083</v>
      </c>
      <c r="UY1" s="702"/>
      <c r="UZ1" s="702"/>
      <c r="VA1" s="702"/>
      <c r="VB1" s="702"/>
      <c r="VC1" s="702"/>
      <c r="VD1" s="702"/>
      <c r="VE1" s="702">
        <v>44090</v>
      </c>
      <c r="VF1" s="702"/>
      <c r="VG1" s="702"/>
      <c r="VH1" s="702"/>
      <c r="VI1" s="702"/>
      <c r="VJ1" s="702"/>
      <c r="VK1" s="702"/>
      <c r="VL1" s="702">
        <v>44097</v>
      </c>
      <c r="VM1" s="702"/>
      <c r="VN1" s="702"/>
      <c r="VO1" s="702"/>
      <c r="VP1" s="702"/>
      <c r="VQ1" s="702"/>
      <c r="VR1" s="702"/>
      <c r="VS1" s="702">
        <v>44104</v>
      </c>
      <c r="VT1" s="702"/>
      <c r="VU1" s="702"/>
      <c r="VV1" s="702"/>
      <c r="VW1" s="702"/>
      <c r="VX1" s="702"/>
      <c r="VY1" s="702"/>
      <c r="VZ1" s="702">
        <v>44111</v>
      </c>
      <c r="WA1" s="702"/>
      <c r="WB1" s="702"/>
      <c r="WC1" s="702"/>
      <c r="WD1" s="702"/>
      <c r="WE1" s="702"/>
      <c r="WF1" s="702"/>
      <c r="WG1" s="702">
        <v>44118</v>
      </c>
      <c r="WH1" s="702"/>
      <c r="WI1" s="702"/>
      <c r="WJ1" s="702"/>
      <c r="WK1" s="702"/>
      <c r="WL1" s="702"/>
      <c r="WM1" s="702"/>
      <c r="WN1" s="702">
        <v>44125</v>
      </c>
      <c r="WO1" s="702"/>
      <c r="WP1" s="702"/>
      <c r="WQ1" s="702"/>
      <c r="WR1" s="702"/>
      <c r="WS1" s="702"/>
      <c r="WT1" s="702"/>
      <c r="WU1" s="702">
        <v>44132</v>
      </c>
      <c r="WV1" s="702"/>
      <c r="WW1" s="702"/>
      <c r="WX1" s="702"/>
      <c r="WY1" s="702"/>
      <c r="WZ1" s="702"/>
      <c r="XA1" s="702"/>
      <c r="XB1" s="702">
        <v>44139</v>
      </c>
      <c r="XC1" s="702"/>
      <c r="XD1" s="702"/>
      <c r="XE1" s="702"/>
      <c r="XF1" s="702"/>
      <c r="XG1" s="702"/>
      <c r="XH1" s="702"/>
      <c r="XI1" s="702">
        <v>44146</v>
      </c>
      <c r="XJ1" s="702"/>
      <c r="XK1" s="702"/>
      <c r="XL1" s="702"/>
      <c r="XM1" s="702"/>
      <c r="XN1" s="702"/>
      <c r="XO1" s="702"/>
      <c r="XP1" s="702">
        <v>44153</v>
      </c>
      <c r="XQ1" s="702"/>
      <c r="XR1" s="702"/>
      <c r="XS1" s="702"/>
      <c r="XT1" s="702"/>
      <c r="XU1" s="702"/>
      <c r="XV1" s="702"/>
      <c r="XW1" s="702">
        <v>44160</v>
      </c>
      <c r="XX1" s="702"/>
      <c r="XY1" s="702"/>
      <c r="XZ1" s="702"/>
      <c r="YA1" s="702"/>
      <c r="YB1" s="702"/>
      <c r="YC1" s="702"/>
      <c r="YD1" s="702">
        <v>44167</v>
      </c>
      <c r="YE1" s="702"/>
      <c r="YF1" s="702"/>
      <c r="YG1" s="702"/>
      <c r="YH1" s="702"/>
      <c r="YI1" s="702"/>
      <c r="YJ1" s="702"/>
      <c r="YK1" s="702">
        <v>44174</v>
      </c>
      <c r="YL1" s="702"/>
      <c r="YM1" s="702"/>
      <c r="YN1" s="702"/>
      <c r="YO1" s="702"/>
      <c r="YP1" s="702"/>
      <c r="YQ1" s="702"/>
      <c r="YR1" s="702">
        <v>44181</v>
      </c>
      <c r="YS1" s="702"/>
      <c r="YT1" s="702"/>
      <c r="YU1" s="702"/>
      <c r="YV1" s="702"/>
      <c r="YW1" s="702"/>
      <c r="YX1" s="702"/>
      <c r="YY1" s="702">
        <v>44188</v>
      </c>
      <c r="YZ1" s="702"/>
      <c r="ZA1" s="702"/>
      <c r="ZB1" s="702"/>
      <c r="ZC1" s="702"/>
      <c r="ZD1" s="702"/>
      <c r="ZE1" s="702"/>
      <c r="ZF1" s="702">
        <v>44195</v>
      </c>
      <c r="ZG1" s="702"/>
      <c r="ZH1" s="702"/>
      <c r="ZI1" s="702"/>
      <c r="ZJ1" s="702"/>
      <c r="ZK1" s="702"/>
      <c r="ZL1" s="702"/>
      <c r="ZM1" s="702">
        <v>44202</v>
      </c>
      <c r="ZN1" s="702"/>
      <c r="ZO1" s="702"/>
      <c r="ZP1" s="702"/>
      <c r="ZQ1" s="702"/>
      <c r="ZR1" s="702"/>
      <c r="ZS1" s="702"/>
      <c r="ZT1" s="702">
        <v>44209</v>
      </c>
      <c r="ZU1" s="702"/>
      <c r="ZV1" s="702"/>
      <c r="ZW1" s="702"/>
      <c r="ZX1" s="702"/>
      <c r="ZY1" s="702"/>
      <c r="ZZ1" s="702"/>
      <c r="AAA1" s="702">
        <v>44216</v>
      </c>
      <c r="AAB1" s="702"/>
      <c r="AAC1" s="702"/>
      <c r="AAD1" s="702"/>
      <c r="AAE1" s="702"/>
      <c r="AAF1" s="702"/>
      <c r="AAG1" s="702"/>
      <c r="AAH1" s="702">
        <v>44223</v>
      </c>
      <c r="AAI1" s="702"/>
      <c r="AAJ1" s="702"/>
      <c r="AAK1" s="702"/>
      <c r="AAL1" s="702"/>
      <c r="AAM1" s="702"/>
      <c r="AAN1" s="702"/>
      <c r="AAO1" s="702">
        <v>44230</v>
      </c>
      <c r="AAP1" s="702"/>
      <c r="AAQ1" s="702"/>
      <c r="AAR1" s="702"/>
      <c r="AAS1" s="702"/>
      <c r="AAT1" s="702"/>
      <c r="AAU1" s="702"/>
      <c r="AAV1" s="702">
        <v>44237</v>
      </c>
      <c r="AAW1" s="702"/>
      <c r="AAX1" s="702"/>
      <c r="AAY1" s="702"/>
      <c r="AAZ1" s="702"/>
      <c r="ABA1" s="702"/>
      <c r="ABB1" s="702"/>
      <c r="ABC1" s="702">
        <v>44244</v>
      </c>
      <c r="ABD1" s="702"/>
      <c r="ABE1" s="702"/>
      <c r="ABF1" s="702"/>
      <c r="ABG1" s="702"/>
      <c r="ABH1" s="702"/>
      <c r="ABI1" s="702"/>
      <c r="ABJ1" s="702">
        <v>44251</v>
      </c>
      <c r="ABK1" s="702"/>
      <c r="ABL1" s="702"/>
      <c r="ABM1" s="702"/>
      <c r="ABN1" s="702"/>
      <c r="ABO1" s="702"/>
      <c r="ABP1" s="702"/>
      <c r="ABQ1" s="702">
        <v>44258</v>
      </c>
      <c r="ABR1" s="702"/>
      <c r="ABS1" s="702"/>
      <c r="ABT1" s="702"/>
      <c r="ABU1" s="702"/>
      <c r="ABV1" s="702"/>
      <c r="ABW1" s="702"/>
      <c r="ABX1" s="702">
        <v>44265</v>
      </c>
      <c r="ABY1" s="702"/>
      <c r="ABZ1" s="702"/>
      <c r="ACA1" s="702"/>
      <c r="ACB1" s="702"/>
      <c r="ACC1" s="702"/>
      <c r="ACD1" s="702"/>
      <c r="ACE1" s="702">
        <v>44272</v>
      </c>
      <c r="ACF1" s="702"/>
      <c r="ACG1" s="702"/>
      <c r="ACH1" s="702"/>
      <c r="ACI1" s="702"/>
      <c r="ACJ1" s="702"/>
      <c r="ACK1" s="702"/>
      <c r="ACL1" s="702">
        <v>44279</v>
      </c>
      <c r="ACM1" s="702"/>
      <c r="ACN1" s="702"/>
      <c r="ACO1" s="702"/>
      <c r="ACP1" s="702"/>
      <c r="ACQ1" s="702"/>
      <c r="ACR1" s="702"/>
      <c r="ACS1" s="702">
        <v>44286</v>
      </c>
      <c r="ACT1" s="702"/>
      <c r="ACU1" s="702"/>
      <c r="ACV1" s="702"/>
      <c r="ACW1" s="702"/>
      <c r="ACX1" s="702"/>
      <c r="ACY1" s="702"/>
      <c r="ACZ1" s="702">
        <v>44293</v>
      </c>
      <c r="ADA1" s="702"/>
      <c r="ADB1" s="702"/>
      <c r="ADC1" s="702"/>
      <c r="ADD1" s="702"/>
      <c r="ADE1" s="702"/>
      <c r="ADF1" s="702"/>
      <c r="ADG1" s="702">
        <v>44300</v>
      </c>
      <c r="ADH1" s="702"/>
      <c r="ADI1" s="702"/>
      <c r="ADJ1" s="702"/>
      <c r="ADK1" s="702"/>
      <c r="ADL1" s="702"/>
      <c r="ADM1" s="702"/>
      <c r="ADN1" s="702">
        <v>44307</v>
      </c>
      <c r="ADO1" s="702"/>
      <c r="ADP1" s="702"/>
      <c r="ADQ1" s="702"/>
      <c r="ADR1" s="702"/>
      <c r="ADS1" s="702"/>
      <c r="ADT1" s="702"/>
      <c r="ADU1" s="702">
        <v>44314</v>
      </c>
      <c r="ADV1" s="702"/>
      <c r="ADW1" s="702"/>
      <c r="ADX1" s="702"/>
      <c r="ADY1" s="702"/>
      <c r="ADZ1" s="702"/>
      <c r="AEA1" s="702"/>
      <c r="AEB1" s="702">
        <v>44321</v>
      </c>
      <c r="AEC1" s="702"/>
      <c r="AED1" s="702"/>
      <c r="AEE1" s="702"/>
      <c r="AEF1" s="702"/>
      <c r="AEG1" s="702"/>
      <c r="AEH1" s="702"/>
      <c r="AEI1" s="702">
        <v>44328</v>
      </c>
      <c r="AEJ1" s="702"/>
      <c r="AEK1" s="702"/>
      <c r="AEL1" s="702"/>
      <c r="AEM1" s="702"/>
      <c r="AEN1" s="702"/>
      <c r="AEO1" s="702"/>
      <c r="AEP1" s="702">
        <v>44335</v>
      </c>
      <c r="AEQ1" s="702"/>
      <c r="AER1" s="702"/>
      <c r="AES1" s="702"/>
      <c r="AET1" s="702"/>
      <c r="AEU1" s="702"/>
      <c r="AEV1" s="702"/>
      <c r="AEW1" s="702">
        <v>44342</v>
      </c>
      <c r="AEX1" s="702"/>
      <c r="AEY1" s="702"/>
      <c r="AEZ1" s="702"/>
      <c r="AFA1" s="702"/>
      <c r="AFB1" s="702"/>
      <c r="AFC1" s="702"/>
      <c r="AFD1" s="702">
        <v>44349</v>
      </c>
      <c r="AFE1" s="702"/>
      <c r="AFF1" s="702"/>
      <c r="AFG1" s="702"/>
      <c r="AFH1" s="702"/>
      <c r="AFI1" s="702"/>
      <c r="AFJ1" s="702"/>
      <c r="AFK1" s="702">
        <v>44356</v>
      </c>
      <c r="AFL1" s="702"/>
      <c r="AFM1" s="702"/>
      <c r="AFN1" s="702"/>
      <c r="AFO1" s="702"/>
      <c r="AFP1" s="702"/>
      <c r="AFQ1" s="702"/>
      <c r="AFR1" s="702">
        <v>44363</v>
      </c>
      <c r="AFS1" s="702"/>
      <c r="AFT1" s="702"/>
      <c r="AFU1" s="702"/>
      <c r="AFV1" s="702"/>
      <c r="AFW1" s="702"/>
      <c r="AFX1" s="702"/>
      <c r="AFY1" s="702">
        <v>44370</v>
      </c>
      <c r="AFZ1" s="702"/>
      <c r="AGA1" s="702"/>
      <c r="AGB1" s="702"/>
      <c r="AGC1" s="702"/>
      <c r="AGD1" s="702"/>
      <c r="AGE1" s="702"/>
      <c r="AGF1" s="702">
        <v>44377</v>
      </c>
      <c r="AGG1" s="702"/>
      <c r="AGH1" s="702"/>
      <c r="AGI1" s="702"/>
      <c r="AGJ1" s="702"/>
      <c r="AGK1" s="702"/>
      <c r="AGL1" s="702"/>
      <c r="AGM1" s="702">
        <v>44384</v>
      </c>
      <c r="AGN1" s="702"/>
      <c r="AGO1" s="702"/>
      <c r="AGP1" s="702"/>
      <c r="AGQ1" s="702"/>
      <c r="AGR1" s="702"/>
      <c r="AGS1" s="702"/>
      <c r="AGT1" s="702">
        <v>44391</v>
      </c>
      <c r="AGU1" s="702"/>
      <c r="AGV1" s="702"/>
      <c r="AGW1" s="702"/>
      <c r="AGX1" s="702"/>
      <c r="AGY1" s="702"/>
      <c r="AGZ1" s="702"/>
      <c r="AHA1" s="702">
        <v>44398</v>
      </c>
      <c r="AHB1" s="702"/>
      <c r="AHC1" s="702"/>
      <c r="AHD1" s="702"/>
      <c r="AHE1" s="702"/>
      <c r="AHF1" s="702"/>
      <c r="AHG1" s="702"/>
      <c r="AHH1" s="702">
        <v>44405</v>
      </c>
      <c r="AHI1" s="702"/>
      <c r="AHJ1" s="702"/>
      <c r="AHK1" s="702"/>
      <c r="AHL1" s="702"/>
      <c r="AHM1" s="702"/>
      <c r="AHN1" s="702"/>
      <c r="AHO1" s="702">
        <v>44412</v>
      </c>
      <c r="AHP1" s="702"/>
      <c r="AHQ1" s="702"/>
      <c r="AHR1" s="702"/>
      <c r="AHS1" s="702"/>
      <c r="AHT1" s="702"/>
      <c r="AHU1" s="702"/>
      <c r="AHV1" s="702">
        <v>44419</v>
      </c>
      <c r="AHW1" s="702"/>
      <c r="AHX1" s="702"/>
      <c r="AHY1" s="702"/>
      <c r="AHZ1" s="702"/>
      <c r="AIA1" s="702"/>
      <c r="AIB1" s="702"/>
      <c r="AIC1" s="702">
        <v>44426</v>
      </c>
      <c r="AID1" s="702"/>
      <c r="AIE1" s="702"/>
      <c r="AIF1" s="702"/>
      <c r="AIG1" s="702"/>
      <c r="AIH1" s="702"/>
      <c r="AII1" s="702"/>
      <c r="AIJ1" s="702">
        <v>44433</v>
      </c>
      <c r="AIK1" s="702"/>
      <c r="AIL1" s="702"/>
      <c r="AIM1" s="702"/>
      <c r="AIN1" s="702"/>
      <c r="AIO1" s="702"/>
      <c r="AIP1" s="702"/>
      <c r="AIQ1" s="702">
        <v>44440</v>
      </c>
      <c r="AIR1" s="702"/>
      <c r="AIS1" s="702"/>
      <c r="AIT1" s="702"/>
      <c r="AIU1" s="702"/>
      <c r="AIV1" s="702"/>
      <c r="AIW1" s="702"/>
      <c r="AIX1" s="702">
        <v>44447</v>
      </c>
      <c r="AIY1" s="702"/>
      <c r="AIZ1" s="702"/>
      <c r="AJA1" s="702"/>
      <c r="AJB1" s="702"/>
      <c r="AJC1" s="702"/>
      <c r="AJD1" s="702"/>
      <c r="AJE1" s="702">
        <v>44454</v>
      </c>
      <c r="AJF1" s="702"/>
      <c r="AJG1" s="702"/>
      <c r="AJH1" s="702"/>
      <c r="AJI1" s="702"/>
      <c r="AJJ1" s="702"/>
      <c r="AJK1" s="702"/>
      <c r="AJL1" s="702">
        <v>44461</v>
      </c>
      <c r="AJM1" s="702"/>
      <c r="AJN1" s="702"/>
      <c r="AJO1" s="702"/>
      <c r="AJP1" s="702"/>
      <c r="AJQ1" s="702"/>
      <c r="AJR1" s="702"/>
      <c r="AJS1" s="702">
        <v>44468</v>
      </c>
      <c r="AJT1" s="702"/>
      <c r="AJU1" s="702"/>
      <c r="AJV1" s="702"/>
      <c r="AJW1" s="702"/>
      <c r="AJX1" s="702"/>
      <c r="AJY1" s="702"/>
      <c r="AJZ1" s="702">
        <v>44475</v>
      </c>
      <c r="AKA1" s="702"/>
      <c r="AKB1" s="702"/>
      <c r="AKC1" s="702"/>
      <c r="AKD1" s="702"/>
      <c r="AKE1" s="702"/>
      <c r="AKF1" s="702"/>
      <c r="AKG1" s="702">
        <v>44482</v>
      </c>
      <c r="AKH1" s="702"/>
      <c r="AKI1" s="702"/>
      <c r="AKJ1" s="702"/>
      <c r="AKK1" s="702"/>
      <c r="AKL1" s="702"/>
      <c r="AKM1" s="702"/>
      <c r="AKN1" s="702">
        <v>44489</v>
      </c>
      <c r="AKO1" s="702"/>
      <c r="AKP1" s="702"/>
      <c r="AKQ1" s="702"/>
      <c r="AKR1" s="702"/>
      <c r="AKS1" s="702"/>
      <c r="AKT1" s="702"/>
      <c r="AKU1" s="702">
        <v>44496</v>
      </c>
      <c r="AKV1" s="702"/>
      <c r="AKW1" s="702"/>
      <c r="AKX1" s="702"/>
      <c r="AKY1" s="702"/>
      <c r="AKZ1" s="702"/>
      <c r="ALA1" s="702"/>
    </row>
    <row r="2" spans="1:989" s="65" customFormat="1" ht="127.2" customHeight="1" thickTop="1" thickBot="1">
      <c r="A2" s="64" t="s">
        <v>629</v>
      </c>
      <c r="B2" s="64" t="s">
        <v>629</v>
      </c>
      <c r="K2" s="66" t="s">
        <v>627</v>
      </c>
      <c r="DN2" s="69" t="s">
        <v>632</v>
      </c>
      <c r="ER2" s="70" t="s">
        <v>633</v>
      </c>
      <c r="FO2" s="69" t="s">
        <v>634</v>
      </c>
      <c r="GV2" s="73" t="s">
        <v>635</v>
      </c>
    </row>
    <row r="3" spans="1:989" s="65" customFormat="1" ht="127.2" customHeight="1" thickTop="1" thickBot="1">
      <c r="A3" s="64" t="s">
        <v>612</v>
      </c>
      <c r="B3" s="64" t="s">
        <v>613</v>
      </c>
      <c r="BE3" s="703" t="s">
        <v>142</v>
      </c>
      <c r="BF3" s="703"/>
      <c r="BG3" s="703"/>
      <c r="BH3" s="703"/>
      <c r="BI3" s="703"/>
      <c r="BJ3" s="703"/>
      <c r="BK3" s="703"/>
      <c r="BL3" s="703"/>
      <c r="BM3" s="703"/>
      <c r="BN3" s="703"/>
      <c r="BO3" s="703"/>
      <c r="BP3" s="703"/>
      <c r="BS3" s="704" t="s">
        <v>147</v>
      </c>
      <c r="BT3" s="704"/>
      <c r="BU3" s="704"/>
      <c r="BV3" s="705" t="s">
        <v>487</v>
      </c>
      <c r="BW3" s="705"/>
      <c r="BX3" s="705"/>
      <c r="BY3" s="705"/>
      <c r="BZ3" s="705"/>
      <c r="CA3" s="705"/>
      <c r="CB3" s="705"/>
      <c r="CC3" s="705"/>
      <c r="CD3" s="705"/>
      <c r="CE3" s="705"/>
      <c r="CF3" s="705"/>
      <c r="CG3" s="705"/>
      <c r="CH3" s="705"/>
      <c r="CI3" s="705"/>
      <c r="CJ3" s="705"/>
      <c r="CK3" s="705"/>
      <c r="CL3" s="705"/>
      <c r="CM3" s="705"/>
      <c r="CN3" s="705"/>
      <c r="CO3" s="705"/>
      <c r="CP3" s="705"/>
      <c r="CS3" s="705" t="s">
        <v>150</v>
      </c>
      <c r="CT3" s="705"/>
      <c r="CU3" s="705"/>
      <c r="CV3" s="705"/>
      <c r="CW3" s="705"/>
      <c r="CX3" s="705"/>
      <c r="CY3" s="705"/>
      <c r="CZ3" s="705"/>
      <c r="DA3" s="705"/>
      <c r="DB3" s="705"/>
      <c r="DC3" s="705"/>
      <c r="DD3" s="705"/>
      <c r="DE3" s="705" t="s">
        <v>631</v>
      </c>
      <c r="DF3" s="705"/>
      <c r="DG3" s="705"/>
      <c r="DH3" s="705"/>
      <c r="DI3" s="705"/>
      <c r="DJ3" s="705"/>
      <c r="DM3" s="696" t="s">
        <v>154</v>
      </c>
      <c r="DN3" s="696"/>
      <c r="DO3" s="696"/>
      <c r="DP3" s="706" t="s">
        <v>120</v>
      </c>
      <c r="DQ3" s="706"/>
      <c r="DR3" s="706"/>
      <c r="DS3" s="706"/>
      <c r="DT3" s="706"/>
      <c r="DU3" s="706"/>
      <c r="DV3" s="706"/>
      <c r="DW3" s="706"/>
      <c r="DX3" s="706"/>
      <c r="DY3" s="706"/>
      <c r="DZ3" s="706"/>
      <c r="EA3" s="706"/>
      <c r="EB3" s="706"/>
      <c r="EC3" s="706"/>
      <c r="ED3" s="706"/>
      <c r="EE3" s="706"/>
    </row>
    <row r="4" spans="1:989" s="65" customFormat="1" ht="127.2" customHeight="1" thickTop="1" thickBot="1">
      <c r="A4" s="64" t="s">
        <v>614</v>
      </c>
      <c r="B4" s="64" t="s">
        <v>615</v>
      </c>
      <c r="OB4" s="704" t="s">
        <v>147</v>
      </c>
      <c r="OC4" s="704"/>
      <c r="OD4" s="704"/>
      <c r="OE4" s="704"/>
      <c r="OF4" s="704"/>
      <c r="OG4" s="704"/>
      <c r="OH4" s="704"/>
      <c r="OI4" s="704"/>
      <c r="OJ4" s="704"/>
      <c r="OK4" s="704"/>
      <c r="OL4" s="704"/>
      <c r="OM4" s="704"/>
      <c r="ON4" s="704"/>
      <c r="OO4" s="704"/>
      <c r="OP4" s="695" t="s">
        <v>179</v>
      </c>
      <c r="OQ4" s="695"/>
      <c r="OR4" s="695"/>
      <c r="OS4" s="695"/>
      <c r="OT4" s="695"/>
      <c r="OU4" s="695"/>
      <c r="OV4" s="695"/>
      <c r="OW4" s="695"/>
      <c r="OX4" s="695"/>
      <c r="OY4" s="695"/>
      <c r="OZ4" s="695"/>
      <c r="PA4" s="707" t="s">
        <v>493</v>
      </c>
      <c r="PB4" s="707"/>
      <c r="PC4" s="707"/>
      <c r="PD4" s="707"/>
      <c r="PE4" s="707"/>
      <c r="PF4" s="708" t="s">
        <v>191</v>
      </c>
      <c r="PG4" s="708"/>
      <c r="PH4" s="708"/>
      <c r="PI4" s="696" t="s">
        <v>194</v>
      </c>
      <c r="PJ4" s="696"/>
      <c r="PK4" s="696"/>
      <c r="PL4" s="696"/>
      <c r="PM4" s="705" t="s">
        <v>196</v>
      </c>
      <c r="PN4" s="705"/>
      <c r="PO4" s="705"/>
      <c r="PP4" s="705"/>
      <c r="PQ4" s="705"/>
      <c r="PR4" s="705"/>
      <c r="PS4" s="705"/>
      <c r="PT4" s="705"/>
      <c r="PU4" s="705"/>
      <c r="PV4" s="705"/>
      <c r="PW4" s="705"/>
      <c r="PX4" s="705"/>
      <c r="PY4" s="705"/>
      <c r="PZ4" s="705"/>
      <c r="QA4" s="705"/>
      <c r="QB4" s="705"/>
      <c r="QC4" s="705"/>
      <c r="QD4" s="705"/>
      <c r="QE4" s="705"/>
      <c r="QF4" s="695" t="s">
        <v>205</v>
      </c>
      <c r="QG4" s="695"/>
      <c r="QH4" s="695"/>
      <c r="QI4" s="695"/>
      <c r="QJ4" s="695"/>
      <c r="QK4" s="695"/>
      <c r="QL4" s="696" t="s">
        <v>209</v>
      </c>
      <c r="QM4" s="696"/>
      <c r="QN4" s="696"/>
      <c r="QO4" s="696"/>
      <c r="QP4" s="701" t="s">
        <v>211</v>
      </c>
      <c r="QQ4" s="701"/>
      <c r="QR4" s="701"/>
      <c r="QS4" s="701"/>
      <c r="QT4" s="701"/>
      <c r="QU4" s="694" t="s">
        <v>646</v>
      </c>
      <c r="QV4" s="694"/>
      <c r="QW4" s="694"/>
      <c r="QX4" s="694"/>
      <c r="QY4" s="694"/>
      <c r="QZ4" s="694"/>
      <c r="RA4" s="694"/>
      <c r="RB4" s="694"/>
      <c r="RC4" s="694"/>
      <c r="RD4" s="694"/>
      <c r="RE4" s="694"/>
      <c r="RF4" s="694"/>
      <c r="RG4" s="694"/>
      <c r="RH4" s="694"/>
      <c r="RI4" s="694"/>
      <c r="RJ4" s="694"/>
      <c r="RK4" s="694"/>
      <c r="RL4" s="694"/>
      <c r="RM4" s="694"/>
      <c r="RN4" s="692" t="s">
        <v>224</v>
      </c>
      <c r="RO4" s="692"/>
      <c r="RP4" s="692"/>
      <c r="RQ4" s="695" t="s">
        <v>236</v>
      </c>
      <c r="RR4" s="695"/>
      <c r="RS4" s="695"/>
      <c r="RT4" s="695"/>
      <c r="RU4" s="695"/>
      <c r="RV4" s="695"/>
      <c r="RW4" s="699" t="s">
        <v>637</v>
      </c>
      <c r="RX4" s="699"/>
      <c r="RY4" s="699"/>
      <c r="RZ4" s="699"/>
      <c r="SA4" s="699"/>
      <c r="SB4" s="699"/>
      <c r="SC4" s="699"/>
      <c r="SD4" s="699"/>
      <c r="SE4" s="699"/>
      <c r="SF4" s="699"/>
      <c r="SG4" s="699"/>
      <c r="SH4" s="699"/>
      <c r="SI4" s="699"/>
      <c r="SJ4" s="699"/>
      <c r="SK4" s="699"/>
      <c r="SL4" s="699"/>
      <c r="SM4" s="699"/>
      <c r="SN4" s="699"/>
      <c r="SO4" s="699"/>
      <c r="SP4" s="699"/>
      <c r="SQ4" s="699" t="s">
        <v>636</v>
      </c>
      <c r="SR4" s="699"/>
      <c r="SS4" s="699"/>
      <c r="ST4" s="699"/>
      <c r="SU4" s="699"/>
      <c r="SV4" s="699"/>
      <c r="SW4" s="699"/>
      <c r="SX4" s="699"/>
      <c r="SY4" s="699"/>
      <c r="SZ4" s="699"/>
      <c r="TA4" s="699"/>
      <c r="TB4" s="699"/>
      <c r="TC4" s="699"/>
      <c r="TD4" s="699"/>
      <c r="TE4" s="699"/>
      <c r="TF4" s="710" t="s">
        <v>499</v>
      </c>
      <c r="TG4" s="710"/>
      <c r="TH4" s="710"/>
      <c r="TI4" s="710"/>
      <c r="TJ4" s="710"/>
      <c r="TK4" s="710"/>
      <c r="TL4" s="710"/>
      <c r="TM4" s="710"/>
      <c r="TN4" s="710"/>
      <c r="TO4" s="710"/>
      <c r="TP4" s="710"/>
      <c r="TQ4" s="710"/>
      <c r="TR4" s="710"/>
      <c r="TS4" s="710"/>
      <c r="TT4" s="710"/>
      <c r="TU4" s="710"/>
      <c r="TV4" s="710"/>
      <c r="TW4" s="710"/>
      <c r="TX4" s="710"/>
      <c r="TY4" s="710"/>
      <c r="TZ4" s="710"/>
      <c r="UA4" s="710"/>
      <c r="UB4" s="710"/>
      <c r="UC4" s="710"/>
      <c r="UD4" s="710"/>
      <c r="UE4" s="710"/>
      <c r="UF4" s="710"/>
      <c r="UG4" s="710"/>
      <c r="UH4" s="710"/>
      <c r="UI4" s="710"/>
      <c r="UJ4" s="710"/>
      <c r="UK4" s="710"/>
      <c r="UL4" s="710"/>
      <c r="UM4" s="710"/>
      <c r="UN4" s="710"/>
      <c r="UO4" s="710"/>
      <c r="UP4" s="710"/>
      <c r="UQ4" s="710"/>
      <c r="UR4" s="710"/>
      <c r="US4" s="710"/>
      <c r="UT4" s="710"/>
      <c r="UU4" s="710"/>
      <c r="UV4" s="710"/>
      <c r="UW4" s="710"/>
      <c r="UX4" s="710"/>
      <c r="UY4" s="710"/>
      <c r="UZ4" s="710"/>
      <c r="VA4" s="710"/>
      <c r="VB4" s="710"/>
      <c r="VC4" s="710"/>
      <c r="VD4" s="710"/>
      <c r="VE4" s="710"/>
      <c r="VF4" s="710"/>
      <c r="VG4" s="710"/>
      <c r="VH4" s="710"/>
      <c r="VI4" s="710"/>
      <c r="VJ4" s="710"/>
      <c r="VK4" s="710"/>
      <c r="VL4" s="710"/>
      <c r="VM4" s="710"/>
      <c r="VN4" s="710"/>
      <c r="VO4" s="710"/>
      <c r="VP4" s="710"/>
      <c r="VQ4" s="710"/>
      <c r="VR4" s="710"/>
      <c r="VS4" s="710"/>
      <c r="VT4" s="710"/>
    </row>
    <row r="5" spans="1:989" s="65" customFormat="1" ht="127.2" customHeight="1" thickTop="1" thickBot="1">
      <c r="A5" s="64" t="s">
        <v>614</v>
      </c>
      <c r="B5" s="64" t="s">
        <v>616</v>
      </c>
      <c r="PU5" s="704" t="s">
        <v>147</v>
      </c>
      <c r="PV5" s="704"/>
      <c r="PW5" s="704"/>
      <c r="PX5" s="704"/>
      <c r="PY5" s="704"/>
      <c r="PZ5" s="704"/>
      <c r="QA5" s="704"/>
      <c r="QB5" s="704"/>
      <c r="QC5" s="704"/>
      <c r="QD5" s="704"/>
      <c r="QE5" s="704"/>
      <c r="QF5" s="711" t="s">
        <v>643</v>
      </c>
      <c r="QG5" s="711"/>
      <c r="QH5" s="711"/>
      <c r="QI5" s="696" t="s">
        <v>154</v>
      </c>
      <c r="QJ5" s="696"/>
      <c r="QK5" s="696"/>
      <c r="QL5" s="696"/>
      <c r="QM5" s="696"/>
      <c r="QN5" s="695" t="s">
        <v>641</v>
      </c>
      <c r="QO5" s="695"/>
      <c r="QP5" s="695"/>
      <c r="QQ5" s="695"/>
      <c r="QR5" s="695"/>
      <c r="QS5" s="695"/>
      <c r="QT5" s="695"/>
      <c r="QU5" s="697" t="s">
        <v>644</v>
      </c>
      <c r="QV5" s="698"/>
      <c r="QW5" s="698"/>
      <c r="QX5" s="698"/>
      <c r="QY5" s="698"/>
      <c r="QZ5" s="698"/>
      <c r="RA5" s="698"/>
      <c r="RB5" s="698"/>
      <c r="RC5" s="698"/>
      <c r="RD5" s="698"/>
      <c r="RE5" s="698"/>
      <c r="RF5" s="698"/>
      <c r="RG5" s="698"/>
      <c r="RH5" s="698"/>
      <c r="RI5" s="698"/>
      <c r="RJ5" s="698"/>
      <c r="RK5" s="698"/>
      <c r="RL5" s="698"/>
      <c r="RM5" s="692"/>
      <c r="RN5" s="692"/>
      <c r="RO5" s="692"/>
      <c r="RP5" s="692"/>
      <c r="RQ5" s="692"/>
      <c r="RR5" s="692"/>
      <c r="RS5" s="692"/>
      <c r="RT5" s="692"/>
      <c r="RU5" s="692"/>
      <c r="RV5" s="692"/>
      <c r="RW5" s="692"/>
      <c r="RX5" s="692"/>
      <c r="RY5" s="692"/>
      <c r="RZ5" s="692"/>
      <c r="SA5" s="692"/>
      <c r="SB5" s="692"/>
      <c r="SC5" s="692"/>
      <c r="SD5" s="692"/>
      <c r="SE5" s="692"/>
      <c r="SF5" s="692"/>
      <c r="SG5" s="692"/>
      <c r="SH5" s="692"/>
      <c r="SI5" s="692"/>
      <c r="SJ5" s="699" t="s">
        <v>642</v>
      </c>
      <c r="SK5" s="699"/>
      <c r="SL5" s="699"/>
      <c r="SM5" s="699"/>
      <c r="SN5" s="699" t="s">
        <v>500</v>
      </c>
      <c r="SO5" s="699"/>
      <c r="SP5" s="699"/>
      <c r="SQ5" s="699"/>
      <c r="SR5" s="699"/>
      <c r="SS5" s="699"/>
      <c r="ST5" s="699"/>
      <c r="SU5" s="699"/>
      <c r="SV5" s="699"/>
      <c r="SW5" s="700" t="s">
        <v>315</v>
      </c>
      <c r="SX5" s="700"/>
      <c r="SY5" s="700"/>
      <c r="SZ5" s="700"/>
      <c r="TA5" s="700"/>
      <c r="TB5" s="700"/>
      <c r="TC5" s="700"/>
      <c r="TD5" s="701" t="s">
        <v>638</v>
      </c>
      <c r="TE5" s="701"/>
      <c r="TF5" s="701"/>
      <c r="TG5" s="701"/>
      <c r="TH5" s="701"/>
      <c r="TI5" s="701"/>
      <c r="TJ5" s="701"/>
      <c r="TK5" s="700" t="s">
        <v>645</v>
      </c>
      <c r="TL5" s="700"/>
      <c r="TM5" s="700"/>
      <c r="TN5" s="694" t="s">
        <v>327</v>
      </c>
      <c r="TO5" s="694"/>
      <c r="TP5" s="694"/>
      <c r="TQ5" s="694"/>
      <c r="TR5" s="694"/>
      <c r="TS5" s="694"/>
      <c r="TT5" s="694"/>
      <c r="TU5" s="694"/>
      <c r="TV5" s="694"/>
      <c r="TW5" s="694"/>
      <c r="TX5" s="694"/>
      <c r="TY5" s="694"/>
      <c r="TZ5" s="694"/>
      <c r="UA5" s="694"/>
      <c r="UB5" s="694"/>
      <c r="UC5" s="694"/>
      <c r="UD5" s="694"/>
      <c r="UE5" s="694"/>
      <c r="UF5" s="694"/>
      <c r="UG5" s="694"/>
      <c r="UH5" s="694"/>
      <c r="UI5" s="694"/>
      <c r="UJ5" s="694"/>
      <c r="UK5" s="694"/>
      <c r="UL5" s="694"/>
      <c r="UM5" s="694"/>
      <c r="UN5" s="694"/>
      <c r="UO5" s="694"/>
      <c r="UP5" s="694"/>
      <c r="UQ5" s="694"/>
      <c r="UR5" s="692" t="s">
        <v>338</v>
      </c>
      <c r="US5" s="692"/>
      <c r="UT5" s="692"/>
      <c r="UU5" s="692"/>
      <c r="UV5" s="692"/>
      <c r="UW5" s="692"/>
      <c r="UX5" s="692"/>
      <c r="UY5" s="692"/>
      <c r="UZ5" s="692"/>
      <c r="VA5" s="692"/>
      <c r="VB5" s="692"/>
      <c r="VC5" s="693" t="s">
        <v>640</v>
      </c>
      <c r="VD5" s="693"/>
      <c r="VE5" s="693"/>
      <c r="VF5" s="693"/>
      <c r="VG5" s="693"/>
      <c r="VH5" s="693"/>
      <c r="VI5" s="693"/>
      <c r="VJ5" s="693"/>
      <c r="VK5" s="693"/>
      <c r="VL5" s="693"/>
      <c r="VM5" s="693"/>
      <c r="VN5" s="693"/>
      <c r="VO5" s="693"/>
      <c r="VP5" s="693"/>
      <c r="VQ5" s="693"/>
      <c r="VR5" s="693"/>
      <c r="VS5" s="693"/>
      <c r="VT5" s="693"/>
      <c r="VU5" s="693"/>
      <c r="VV5" s="693"/>
      <c r="VW5" s="693"/>
      <c r="VX5" s="693"/>
      <c r="VY5" s="693"/>
      <c r="VZ5" s="693"/>
      <c r="WA5" s="693"/>
      <c r="WB5" s="693"/>
      <c r="WC5" s="693"/>
      <c r="WD5" s="693"/>
      <c r="WE5" s="693"/>
      <c r="WF5" s="693"/>
      <c r="WG5" s="693"/>
      <c r="WH5" s="693"/>
      <c r="WI5" s="693"/>
      <c r="WJ5" s="693"/>
      <c r="WK5" s="693"/>
      <c r="WL5" s="693"/>
      <c r="WM5" s="709" t="s">
        <v>639</v>
      </c>
      <c r="WN5" s="709"/>
      <c r="WO5" s="709"/>
      <c r="WP5" s="709"/>
      <c r="WQ5" s="709"/>
      <c r="WR5" s="709"/>
      <c r="WS5" s="709"/>
      <c r="WT5" s="709"/>
      <c r="WU5" s="709"/>
      <c r="WV5" s="709"/>
      <c r="WW5" s="709"/>
      <c r="WX5" s="709"/>
      <c r="WY5" s="709"/>
      <c r="WZ5" s="709"/>
      <c r="XA5" s="709"/>
      <c r="XB5" s="709"/>
      <c r="XC5" s="709"/>
      <c r="XD5" s="709"/>
      <c r="XE5" s="709"/>
      <c r="XF5" s="709"/>
      <c r="XG5" s="709"/>
      <c r="XH5" s="709"/>
      <c r="XI5" s="709"/>
      <c r="XJ5" s="709"/>
      <c r="XK5" s="709"/>
    </row>
    <row r="6" spans="1:989" s="65" customFormat="1" ht="127.2" customHeight="1" thickTop="1" thickBot="1">
      <c r="A6" s="64" t="s">
        <v>614</v>
      </c>
      <c r="B6" s="64" t="s">
        <v>617</v>
      </c>
      <c r="AAX6" s="704" t="s">
        <v>147</v>
      </c>
      <c r="AAY6" s="704"/>
      <c r="AAZ6" s="704"/>
      <c r="ABA6" s="704"/>
      <c r="ABB6" s="695" t="s">
        <v>371</v>
      </c>
      <c r="ABC6" s="695"/>
      <c r="ABD6" s="695"/>
      <c r="ABE6" s="695"/>
      <c r="ABF6" s="695"/>
      <c r="ABG6" s="695"/>
      <c r="ABH6" s="695"/>
      <c r="ABI6" s="695"/>
      <c r="ABJ6" s="695"/>
      <c r="ABK6" s="695"/>
      <c r="ABL6" s="695"/>
      <c r="ABM6" s="707" t="s">
        <v>184</v>
      </c>
      <c r="ABN6" s="707"/>
      <c r="ABO6" s="707"/>
      <c r="ABP6" s="696" t="s">
        <v>194</v>
      </c>
      <c r="ABQ6" s="696"/>
      <c r="ABR6" s="696"/>
      <c r="ABS6" s="696"/>
      <c r="ABT6" s="695" t="s">
        <v>376</v>
      </c>
      <c r="ABU6" s="695"/>
      <c r="ABV6" s="695"/>
      <c r="ABW6" s="695"/>
      <c r="ABX6" s="695"/>
      <c r="ABY6" s="695"/>
      <c r="ABZ6" s="696" t="s">
        <v>209</v>
      </c>
      <c r="ACA6" s="696"/>
      <c r="ACB6" s="696"/>
      <c r="ACC6" s="696"/>
      <c r="ACD6" s="706" t="s">
        <v>379</v>
      </c>
      <c r="ACE6" s="706"/>
      <c r="ACF6" s="706"/>
      <c r="ACG6" s="706"/>
      <c r="ACH6" s="706"/>
      <c r="ACI6" s="706"/>
      <c r="ACJ6" s="706"/>
      <c r="ACK6" s="706"/>
      <c r="ACL6" s="706"/>
      <c r="ACM6" s="706"/>
      <c r="ACN6" s="706"/>
      <c r="ACO6" s="706"/>
      <c r="ACP6" s="706"/>
      <c r="ACQ6" s="706"/>
      <c r="ACR6" s="706"/>
      <c r="ACS6" s="706"/>
      <c r="ACT6" s="706"/>
      <c r="ACU6" s="706"/>
      <c r="ACV6" s="695" t="s">
        <v>501</v>
      </c>
      <c r="ACW6" s="695"/>
      <c r="ACX6" s="695"/>
      <c r="ACY6" s="695"/>
      <c r="ACZ6" s="695"/>
      <c r="ADA6" s="695"/>
      <c r="ADB6" s="699" t="s">
        <v>594</v>
      </c>
      <c r="ADC6" s="699"/>
      <c r="ADD6" s="699"/>
      <c r="ADE6" s="699"/>
      <c r="ADF6" s="699"/>
      <c r="ADG6" s="699"/>
      <c r="ADH6" s="699"/>
      <c r="ADI6" s="699"/>
      <c r="ADJ6" s="699" t="s">
        <v>630</v>
      </c>
      <c r="ADK6" s="699"/>
      <c r="ADL6" s="699"/>
      <c r="ADM6" s="699"/>
      <c r="ADN6" s="699"/>
      <c r="ADO6" s="699"/>
      <c r="ADP6" s="699"/>
    </row>
    <row r="7" spans="1:989" s="65" customFormat="1" ht="127.2" customHeight="1" thickTop="1" thickBot="1">
      <c r="A7" s="64" t="s">
        <v>614</v>
      </c>
      <c r="B7" s="64" t="s">
        <v>618</v>
      </c>
      <c r="ZV7" s="704" t="s">
        <v>147</v>
      </c>
      <c r="ZW7" s="704"/>
      <c r="ZX7" s="704"/>
      <c r="ZY7" s="704"/>
      <c r="ZZ7" s="704"/>
      <c r="AAA7" s="704"/>
      <c r="AAB7" s="695" t="s">
        <v>417</v>
      </c>
      <c r="AAC7" s="695"/>
      <c r="AAD7" s="695"/>
      <c r="AAE7" s="695"/>
      <c r="AAF7" s="695"/>
      <c r="AAG7" s="695"/>
      <c r="AAH7" s="699" t="s">
        <v>596</v>
      </c>
      <c r="AAI7" s="699"/>
      <c r="AAJ7" s="699"/>
      <c r="AAK7" s="699"/>
      <c r="AAL7" s="699"/>
      <c r="AAM7" s="699"/>
      <c r="AAN7" s="699"/>
      <c r="AAO7" s="699"/>
      <c r="AAP7" s="699"/>
      <c r="AAQ7" s="699"/>
      <c r="AAR7" s="699"/>
      <c r="AAS7" s="699"/>
      <c r="AAT7" s="699"/>
      <c r="AAU7" s="699"/>
      <c r="AAV7" s="699" t="s">
        <v>597</v>
      </c>
      <c r="AAW7" s="699"/>
      <c r="AAX7" s="699"/>
      <c r="AAY7" s="699"/>
      <c r="AAZ7" s="699"/>
      <c r="ABA7" s="699"/>
      <c r="ABB7" s="699"/>
      <c r="ABC7" s="699"/>
      <c r="ABD7" s="699"/>
      <c r="ABE7" s="699"/>
      <c r="ABF7" s="699"/>
      <c r="ABG7" s="699"/>
      <c r="ABH7" s="699"/>
      <c r="ABI7" s="699"/>
      <c r="ABJ7" s="699"/>
      <c r="ABK7" s="699" t="s">
        <v>609</v>
      </c>
      <c r="ABL7" s="699"/>
      <c r="ABM7" s="699"/>
      <c r="ABN7" s="699"/>
      <c r="ABO7" s="699"/>
      <c r="ABP7" s="699"/>
      <c r="ABQ7" s="699"/>
      <c r="ABR7" s="699"/>
      <c r="ABS7" s="699"/>
      <c r="ABT7" s="699"/>
      <c r="ABU7" s="699"/>
      <c r="ABV7" s="699"/>
      <c r="ABW7" s="699"/>
      <c r="ABX7" s="699"/>
      <c r="ABY7" s="699"/>
      <c r="ABZ7" s="699"/>
      <c r="ACA7" s="699"/>
      <c r="ACB7" s="699"/>
      <c r="ACC7" s="699"/>
      <c r="ACD7" s="699"/>
      <c r="ACE7" s="699"/>
      <c r="ACF7" s="699"/>
      <c r="ACG7" s="699"/>
      <c r="ACH7" s="699"/>
      <c r="ACI7" s="705" t="s">
        <v>595</v>
      </c>
      <c r="ACJ7" s="705"/>
      <c r="ACK7" s="705"/>
      <c r="ACL7" s="705"/>
      <c r="ACM7" s="705"/>
      <c r="ACN7" s="705"/>
      <c r="ACO7" s="705"/>
      <c r="ACP7" s="705"/>
      <c r="ACQ7" s="705"/>
      <c r="ACR7" s="705"/>
      <c r="ACS7" s="705"/>
      <c r="ACT7" s="705"/>
      <c r="ACU7" s="705"/>
      <c r="ACV7" s="705"/>
      <c r="ACW7" s="705"/>
      <c r="ACX7" s="705"/>
      <c r="ACY7" s="705"/>
      <c r="ACZ7" s="705"/>
      <c r="ADA7" s="705"/>
      <c r="ADB7" s="705"/>
      <c r="ADC7" s="705"/>
      <c r="ADD7" s="705"/>
      <c r="ADE7" s="705"/>
      <c r="ADF7" s="705"/>
      <c r="ADG7" s="705"/>
      <c r="ADH7" s="705"/>
      <c r="ADI7" s="712" t="s">
        <v>628</v>
      </c>
      <c r="ADJ7" s="712"/>
      <c r="ADK7" s="712"/>
      <c r="ADL7" s="712"/>
      <c r="ADM7" s="712"/>
      <c r="ADN7" s="712"/>
      <c r="ADO7" s="712"/>
    </row>
    <row r="8" spans="1:989" s="65" customFormat="1" ht="127.2" customHeight="1" thickTop="1" thickBot="1">
      <c r="A8" s="64" t="s">
        <v>614</v>
      </c>
      <c r="B8" s="64" t="s">
        <v>619</v>
      </c>
      <c r="ACK8" s="704" t="s">
        <v>147</v>
      </c>
      <c r="ACL8" s="704"/>
      <c r="ACM8" s="704"/>
      <c r="ACN8" s="704"/>
      <c r="ACO8" s="704"/>
      <c r="ACP8" s="704"/>
      <c r="ACQ8" s="707" t="s">
        <v>600</v>
      </c>
      <c r="ACR8" s="707"/>
      <c r="ACS8" s="707"/>
      <c r="ACT8" s="707"/>
      <c r="ACU8" s="707"/>
      <c r="ACV8" s="707"/>
      <c r="ACW8" s="707"/>
      <c r="ACX8" s="710" t="s">
        <v>603</v>
      </c>
      <c r="ACY8" s="710"/>
      <c r="ACZ8" s="710"/>
      <c r="ADA8" s="710"/>
      <c r="ADB8" s="710"/>
      <c r="ADC8" s="710"/>
      <c r="ADD8" s="710"/>
      <c r="ADE8" s="710"/>
      <c r="ADF8" s="710"/>
      <c r="ADG8" s="710"/>
      <c r="ADH8" s="710"/>
      <c r="ADI8" s="710"/>
      <c r="ADJ8" s="710"/>
      <c r="ADK8" s="710"/>
      <c r="ADL8" s="710"/>
      <c r="ADM8" s="710"/>
      <c r="ADN8" s="710"/>
      <c r="ADO8" s="710"/>
      <c r="ADP8" s="710"/>
      <c r="ADQ8" s="710"/>
      <c r="ADR8" s="710"/>
      <c r="ADS8" s="710"/>
      <c r="ADT8" s="710"/>
      <c r="ADU8" s="710"/>
      <c r="ADV8" s="710"/>
      <c r="ADW8" s="710"/>
      <c r="ADX8" s="710"/>
      <c r="ADY8" s="710"/>
      <c r="ADZ8" s="710"/>
      <c r="AEA8" s="710"/>
      <c r="AEB8" s="710"/>
      <c r="AEC8" s="710"/>
      <c r="AED8" s="710"/>
      <c r="AEE8" s="710"/>
      <c r="AEF8" s="710"/>
      <c r="AEG8" s="710"/>
      <c r="AEH8" s="710"/>
      <c r="AEI8" s="710"/>
      <c r="AEJ8" s="710"/>
      <c r="AEK8" s="710"/>
      <c r="AEL8" s="710"/>
      <c r="AEM8" s="710"/>
      <c r="AEN8" s="710"/>
      <c r="AEO8" s="710"/>
      <c r="AEP8" s="710"/>
      <c r="AEQ8" s="710"/>
      <c r="AER8" s="710"/>
      <c r="AES8" s="710"/>
      <c r="AET8" s="710"/>
      <c r="AEU8" s="710"/>
      <c r="AEV8" s="710"/>
      <c r="AEW8" s="710"/>
      <c r="AEX8" s="710"/>
      <c r="AEY8" s="710"/>
      <c r="AEZ8" s="710"/>
      <c r="AFA8" s="710"/>
      <c r="AFB8" s="710"/>
      <c r="AFC8" s="710"/>
      <c r="AFD8" s="710"/>
      <c r="AFE8" s="710"/>
      <c r="AFF8" s="710"/>
      <c r="AFG8" s="710"/>
      <c r="AFH8" s="710"/>
      <c r="AFI8" s="710"/>
      <c r="AFJ8" s="710"/>
      <c r="AFK8" s="710"/>
      <c r="AFL8" s="710"/>
      <c r="AFM8" s="710" t="s">
        <v>602</v>
      </c>
      <c r="AFN8" s="710"/>
      <c r="AFO8" s="710"/>
      <c r="AFP8" s="710"/>
      <c r="AFQ8" s="710"/>
      <c r="AFR8" s="710"/>
      <c r="AFS8" s="710"/>
      <c r="AFT8" s="710"/>
      <c r="AFU8" s="710"/>
      <c r="AFV8" s="710"/>
      <c r="AFW8" s="710"/>
      <c r="AFX8" s="710"/>
      <c r="AFY8" s="710"/>
      <c r="AFZ8" s="710"/>
      <c r="AGA8" s="710"/>
      <c r="AGB8" s="710"/>
      <c r="AGC8" s="710"/>
      <c r="AGD8" s="710"/>
      <c r="AGE8" s="710"/>
      <c r="AGF8" s="710"/>
      <c r="AGG8" s="710"/>
      <c r="AGH8" s="710"/>
      <c r="AGI8" s="710"/>
      <c r="AGJ8" s="710"/>
      <c r="AGK8" s="710"/>
      <c r="AGL8" s="710"/>
      <c r="AGM8" s="710"/>
      <c r="AGN8" s="710"/>
      <c r="AGO8" s="710"/>
      <c r="AGP8" s="710"/>
      <c r="AGQ8" s="710"/>
      <c r="AGR8" s="710"/>
      <c r="AGS8" s="710"/>
      <c r="AGT8" s="710"/>
      <c r="AGU8" s="710"/>
      <c r="AGV8" s="710"/>
      <c r="AGW8" s="710"/>
      <c r="AGX8" s="710"/>
      <c r="AGY8" s="710"/>
      <c r="AGZ8" s="710"/>
      <c r="AHA8" s="710"/>
      <c r="AHB8" s="710"/>
      <c r="AHC8" s="710"/>
      <c r="AHD8" s="710"/>
      <c r="AHE8" s="710"/>
      <c r="AHF8" s="710"/>
      <c r="AHG8" s="710"/>
      <c r="AHH8" s="710"/>
      <c r="AHI8" s="710"/>
      <c r="AHJ8" s="710"/>
      <c r="AHK8" s="710"/>
      <c r="AHL8" s="710"/>
      <c r="AHM8" s="710"/>
      <c r="AHN8" s="710"/>
      <c r="AHO8" s="710"/>
      <c r="AHP8" s="710"/>
      <c r="AHQ8" s="710"/>
      <c r="AHR8" s="710"/>
      <c r="AHS8" s="710"/>
      <c r="AHT8" s="710"/>
      <c r="AHU8" s="710"/>
      <c r="AHV8" s="710"/>
      <c r="AHW8" s="710"/>
      <c r="AHX8" s="710"/>
      <c r="AHY8" s="710"/>
      <c r="AHZ8" s="710"/>
      <c r="AIA8" s="710"/>
      <c r="AIB8" s="710" t="s">
        <v>601</v>
      </c>
      <c r="AIC8" s="710"/>
      <c r="AID8" s="710"/>
      <c r="AIE8" s="710"/>
      <c r="AIF8" s="710"/>
      <c r="AIG8" s="710"/>
      <c r="AIH8" s="710"/>
      <c r="AII8" s="710"/>
      <c r="AIJ8" s="710"/>
      <c r="AIK8" s="710"/>
      <c r="AIL8" s="710"/>
      <c r="AIM8" s="710"/>
      <c r="AIN8" s="710"/>
      <c r="AIO8" s="710"/>
      <c r="AIP8" s="710"/>
      <c r="AIQ8" s="710"/>
      <c r="AIR8" s="710"/>
      <c r="AIS8" s="710"/>
      <c r="AIT8" s="710"/>
      <c r="AIU8" s="710"/>
      <c r="AIV8" s="710"/>
      <c r="AIW8" s="710"/>
      <c r="AIX8" s="710"/>
      <c r="AIY8" s="710"/>
      <c r="AIZ8" s="710"/>
      <c r="AJA8" s="710"/>
      <c r="AJB8" s="710"/>
      <c r="AJC8" s="710"/>
      <c r="AJD8" s="710"/>
      <c r="AJE8" s="710"/>
      <c r="AJF8" s="710"/>
      <c r="AJG8" s="710"/>
      <c r="AJH8" s="710"/>
      <c r="AJI8" s="710"/>
      <c r="AJJ8" s="710"/>
      <c r="AJK8" s="710"/>
      <c r="AJL8" s="710"/>
      <c r="AJM8" s="710"/>
      <c r="AJN8" s="710"/>
      <c r="AJO8" s="710"/>
      <c r="AJP8" s="710"/>
      <c r="AJQ8" s="710"/>
      <c r="AJR8" s="710"/>
      <c r="AJS8" s="710"/>
      <c r="AJT8" s="710"/>
      <c r="AJU8" s="710"/>
      <c r="AJV8" s="710"/>
      <c r="AJW8" s="710"/>
      <c r="AJX8" s="710"/>
      <c r="AJY8" s="710"/>
      <c r="AJZ8" s="710"/>
      <c r="AKA8" s="710"/>
      <c r="AKB8" s="710"/>
      <c r="AKC8" s="710"/>
      <c r="AKD8" s="710"/>
      <c r="AKE8" s="710"/>
      <c r="AKF8" s="710"/>
      <c r="AKG8" s="710"/>
      <c r="AKH8" s="710"/>
      <c r="AKI8" s="710"/>
      <c r="AKJ8" s="710"/>
      <c r="AKK8" s="710"/>
      <c r="AKL8" s="710"/>
      <c r="AKM8" s="710"/>
      <c r="AKN8" s="710"/>
      <c r="AKO8" s="710"/>
      <c r="AKP8" s="710"/>
    </row>
    <row r="9" spans="1:989" ht="15" thickTop="1"/>
  </sheetData>
  <mergeCells count="199">
    <mergeCell ref="AKU1:ALA1"/>
    <mergeCell ref="ACK8:ACP8"/>
    <mergeCell ref="ACQ8:ACW8"/>
    <mergeCell ref="ACX8:AFL8"/>
    <mergeCell ref="AFM8:AIA8"/>
    <mergeCell ref="ABZ6:ACC6"/>
    <mergeCell ref="ACD6:ACU6"/>
    <mergeCell ref="ACV6:ADA6"/>
    <mergeCell ref="AIB8:AKP8"/>
    <mergeCell ref="AKG1:AKM1"/>
    <mergeCell ref="AKN1:AKT1"/>
    <mergeCell ref="AIQ1:AIW1"/>
    <mergeCell ref="AIX1:AJD1"/>
    <mergeCell ref="AJE1:AJK1"/>
    <mergeCell ref="AJL1:AJR1"/>
    <mergeCell ref="AJS1:AJY1"/>
    <mergeCell ref="AJZ1:AKF1"/>
    <mergeCell ref="AHA1:AHG1"/>
    <mergeCell ref="AHH1:AHN1"/>
    <mergeCell ref="AHO1:AHU1"/>
    <mergeCell ref="AHV1:AIB1"/>
    <mergeCell ref="AIC1:AII1"/>
    <mergeCell ref="AIJ1:AIP1"/>
    <mergeCell ref="AFK1:AFQ1"/>
    <mergeCell ref="AAH7:AAU7"/>
    <mergeCell ref="AAV7:ABJ7"/>
    <mergeCell ref="ACI7:ADH7"/>
    <mergeCell ref="ADI7:ADO7"/>
    <mergeCell ref="AAX6:ABA6"/>
    <mergeCell ref="ABB6:ABL6"/>
    <mergeCell ref="ABK7:ACH7"/>
    <mergeCell ref="ABM6:ABO6"/>
    <mergeCell ref="ABP6:ABS6"/>
    <mergeCell ref="ABT6:ABY6"/>
    <mergeCell ref="ADB6:ADI6"/>
    <mergeCell ref="ADJ6:ADP6"/>
    <mergeCell ref="BE3:BP3"/>
    <mergeCell ref="BS3:BU3"/>
    <mergeCell ref="BV3:CP3"/>
    <mergeCell ref="CS3:DD3"/>
    <mergeCell ref="DE3:DJ3"/>
    <mergeCell ref="DM3:DO3"/>
    <mergeCell ref="DP3:EE3"/>
    <mergeCell ref="ZV7:AAA7"/>
    <mergeCell ref="AAB7:AAG7"/>
    <mergeCell ref="OB4:OO4"/>
    <mergeCell ref="OP4:OZ4"/>
    <mergeCell ref="PA4:PE4"/>
    <mergeCell ref="PF4:PH4"/>
    <mergeCell ref="PI4:PL4"/>
    <mergeCell ref="PM4:QE4"/>
    <mergeCell ref="QF4:QK4"/>
    <mergeCell ref="QL4:QO4"/>
    <mergeCell ref="QP4:QT4"/>
    <mergeCell ref="WM5:XK5"/>
    <mergeCell ref="RW4:SP4"/>
    <mergeCell ref="SQ4:TE4"/>
    <mergeCell ref="TF4:VT4"/>
    <mergeCell ref="PU5:QE5"/>
    <mergeCell ref="QF5:QH5"/>
    <mergeCell ref="AFR1:AFX1"/>
    <mergeCell ref="AFY1:AGE1"/>
    <mergeCell ref="AGF1:AGL1"/>
    <mergeCell ref="AGM1:AGS1"/>
    <mergeCell ref="AGT1:AGZ1"/>
    <mergeCell ref="ADU1:AEA1"/>
    <mergeCell ref="AEB1:AEH1"/>
    <mergeCell ref="AEI1:AEO1"/>
    <mergeCell ref="AEP1:AEV1"/>
    <mergeCell ref="AEW1:AFC1"/>
    <mergeCell ref="AFD1:AFJ1"/>
    <mergeCell ref="ACE1:ACK1"/>
    <mergeCell ref="ACL1:ACR1"/>
    <mergeCell ref="ACS1:ACY1"/>
    <mergeCell ref="ACZ1:ADF1"/>
    <mergeCell ref="ADG1:ADM1"/>
    <mergeCell ref="ADN1:ADT1"/>
    <mergeCell ref="AAO1:AAU1"/>
    <mergeCell ref="AAV1:ABB1"/>
    <mergeCell ref="ABC1:ABI1"/>
    <mergeCell ref="ABJ1:ABP1"/>
    <mergeCell ref="ABQ1:ABW1"/>
    <mergeCell ref="ABX1:ACD1"/>
    <mergeCell ref="YY1:ZE1"/>
    <mergeCell ref="ZF1:ZL1"/>
    <mergeCell ref="ZM1:ZS1"/>
    <mergeCell ref="ZT1:ZZ1"/>
    <mergeCell ref="AAA1:AAG1"/>
    <mergeCell ref="AAH1:AAN1"/>
    <mergeCell ref="XI1:XO1"/>
    <mergeCell ref="XP1:XV1"/>
    <mergeCell ref="XW1:YC1"/>
    <mergeCell ref="YD1:YJ1"/>
    <mergeCell ref="YK1:YQ1"/>
    <mergeCell ref="YR1:YX1"/>
    <mergeCell ref="VS1:VY1"/>
    <mergeCell ref="VZ1:WF1"/>
    <mergeCell ref="WG1:WM1"/>
    <mergeCell ref="WN1:WT1"/>
    <mergeCell ref="WU1:XA1"/>
    <mergeCell ref="XB1:XH1"/>
    <mergeCell ref="UC1:UI1"/>
    <mergeCell ref="UJ1:UP1"/>
    <mergeCell ref="UQ1:UW1"/>
    <mergeCell ref="UX1:VD1"/>
    <mergeCell ref="VE1:VK1"/>
    <mergeCell ref="VL1:VR1"/>
    <mergeCell ref="SM1:SS1"/>
    <mergeCell ref="ST1:SZ1"/>
    <mergeCell ref="TA1:TG1"/>
    <mergeCell ref="TH1:TN1"/>
    <mergeCell ref="TO1:TU1"/>
    <mergeCell ref="TV1:UB1"/>
    <mergeCell ref="QW1:RC1"/>
    <mergeCell ref="RD1:RJ1"/>
    <mergeCell ref="RK1:RQ1"/>
    <mergeCell ref="RR1:RX1"/>
    <mergeCell ref="RY1:SE1"/>
    <mergeCell ref="SF1:SL1"/>
    <mergeCell ref="PG1:PM1"/>
    <mergeCell ref="PN1:PT1"/>
    <mergeCell ref="PU1:QA1"/>
    <mergeCell ref="QB1:QH1"/>
    <mergeCell ref="QI1:QO1"/>
    <mergeCell ref="QP1:QV1"/>
    <mergeCell ref="NQ1:NW1"/>
    <mergeCell ref="NX1:OD1"/>
    <mergeCell ref="OE1:OK1"/>
    <mergeCell ref="OL1:OR1"/>
    <mergeCell ref="OS1:OY1"/>
    <mergeCell ref="OZ1:PF1"/>
    <mergeCell ref="MA1:MG1"/>
    <mergeCell ref="MH1:MN1"/>
    <mergeCell ref="MO1:MU1"/>
    <mergeCell ref="MV1:NB1"/>
    <mergeCell ref="NC1:NI1"/>
    <mergeCell ref="NJ1:NP1"/>
    <mergeCell ref="KK1:KQ1"/>
    <mergeCell ref="KR1:KX1"/>
    <mergeCell ref="KY1:LE1"/>
    <mergeCell ref="LF1:LL1"/>
    <mergeCell ref="LM1:LS1"/>
    <mergeCell ref="LT1:LZ1"/>
    <mergeCell ref="IU1:JA1"/>
    <mergeCell ref="JB1:JH1"/>
    <mergeCell ref="JI1:JO1"/>
    <mergeCell ref="JP1:JV1"/>
    <mergeCell ref="JW1:KC1"/>
    <mergeCell ref="KD1:KJ1"/>
    <mergeCell ref="HE1:HK1"/>
    <mergeCell ref="HL1:HR1"/>
    <mergeCell ref="HS1:HY1"/>
    <mergeCell ref="HZ1:IF1"/>
    <mergeCell ref="IG1:IM1"/>
    <mergeCell ref="IN1:IT1"/>
    <mergeCell ref="FO1:FU1"/>
    <mergeCell ref="FV1:GB1"/>
    <mergeCell ref="GC1:GI1"/>
    <mergeCell ref="GJ1:GP1"/>
    <mergeCell ref="GQ1:GW1"/>
    <mergeCell ref="GX1:HD1"/>
    <mergeCell ref="DY1:EE1"/>
    <mergeCell ref="EF1:EL1"/>
    <mergeCell ref="EM1:ES1"/>
    <mergeCell ref="ET1:EZ1"/>
    <mergeCell ref="FA1:FG1"/>
    <mergeCell ref="FH1:FN1"/>
    <mergeCell ref="DD1:DJ1"/>
    <mergeCell ref="DK1:DQ1"/>
    <mergeCell ref="DR1:DX1"/>
    <mergeCell ref="AS1:AY1"/>
    <mergeCell ref="AZ1:BF1"/>
    <mergeCell ref="BG1:BM1"/>
    <mergeCell ref="BN1:BT1"/>
    <mergeCell ref="BU1:CA1"/>
    <mergeCell ref="CB1:CH1"/>
    <mergeCell ref="C1:I1"/>
    <mergeCell ref="J1:P1"/>
    <mergeCell ref="Q1:W1"/>
    <mergeCell ref="X1:AD1"/>
    <mergeCell ref="AE1:AK1"/>
    <mergeCell ref="AL1:AR1"/>
    <mergeCell ref="CI1:CO1"/>
    <mergeCell ref="CP1:CV1"/>
    <mergeCell ref="CW1:DC1"/>
    <mergeCell ref="UR5:VB5"/>
    <mergeCell ref="VC5:WL5"/>
    <mergeCell ref="QU4:RM4"/>
    <mergeCell ref="RN4:RP4"/>
    <mergeCell ref="RQ4:RV4"/>
    <mergeCell ref="QI5:QM5"/>
    <mergeCell ref="QN5:QT5"/>
    <mergeCell ref="QU5:SI5"/>
    <mergeCell ref="SJ5:SM5"/>
    <mergeCell ref="SN5:SV5"/>
    <mergeCell ref="SW5:TC5"/>
    <mergeCell ref="TD5:TJ5"/>
    <mergeCell ref="TK5:TM5"/>
    <mergeCell ref="TN5:UQ5"/>
  </mergeCells>
  <pageMargins left="0.7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1AF9-53F9-4BC9-93DF-FE88B4C3EADE}">
  <dimension ref="A1:ACD8"/>
  <sheetViews>
    <sheetView showWhiteSpace="0" view="pageLayout" zoomScale="50" zoomScaleNormal="40" zoomScaleSheetLayoutView="20" zoomScalePageLayoutView="50" workbookViewId="0">
      <selection sqref="A1:ABW5"/>
    </sheetView>
  </sheetViews>
  <sheetFormatPr defaultRowHeight="14.4"/>
  <cols>
    <col min="1" max="1" width="28.33203125" bestFit="1" customWidth="1"/>
    <col min="2" max="2" width="21.33203125" customWidth="1"/>
    <col min="3" max="758" width="3.33203125" customWidth="1"/>
  </cols>
  <sheetData>
    <row r="1" spans="1:758" ht="168" customHeight="1" thickTop="1" thickBot="1">
      <c r="A1" s="59" t="s">
        <v>610</v>
      </c>
      <c r="B1" s="59" t="s">
        <v>611</v>
      </c>
      <c r="C1" s="736">
        <v>43556</v>
      </c>
      <c r="D1" s="735"/>
      <c r="E1" s="735"/>
      <c r="F1" s="735"/>
      <c r="G1" s="735"/>
      <c r="H1" s="735"/>
      <c r="I1" s="735"/>
      <c r="J1" s="735">
        <v>43563</v>
      </c>
      <c r="K1" s="735"/>
      <c r="L1" s="735"/>
      <c r="M1" s="735"/>
      <c r="N1" s="735"/>
      <c r="O1" s="735"/>
      <c r="P1" s="735"/>
      <c r="Q1" s="735">
        <v>43570</v>
      </c>
      <c r="R1" s="735"/>
      <c r="S1" s="735"/>
      <c r="T1" s="735"/>
      <c r="U1" s="735"/>
      <c r="V1" s="735"/>
      <c r="W1" s="735"/>
      <c r="X1" s="735">
        <v>43577</v>
      </c>
      <c r="Y1" s="735"/>
      <c r="Z1" s="735"/>
      <c r="AA1" s="735"/>
      <c r="AB1" s="735"/>
      <c r="AC1" s="735"/>
      <c r="AD1" s="735"/>
      <c r="AE1" s="735">
        <v>43584</v>
      </c>
      <c r="AF1" s="735"/>
      <c r="AG1" s="735"/>
      <c r="AH1" s="735"/>
      <c r="AI1" s="735"/>
      <c r="AJ1" s="735"/>
      <c r="AK1" s="735"/>
      <c r="AL1" s="735">
        <v>43591</v>
      </c>
      <c r="AM1" s="735"/>
      <c r="AN1" s="735"/>
      <c r="AO1" s="735"/>
      <c r="AP1" s="735"/>
      <c r="AQ1" s="735"/>
      <c r="AR1" s="735"/>
      <c r="AS1" s="735">
        <v>43598</v>
      </c>
      <c r="AT1" s="735"/>
      <c r="AU1" s="735"/>
      <c r="AV1" s="735"/>
      <c r="AW1" s="735"/>
      <c r="AX1" s="735"/>
      <c r="AY1" s="735"/>
      <c r="AZ1" s="735">
        <v>43605</v>
      </c>
      <c r="BA1" s="735"/>
      <c r="BB1" s="735"/>
      <c r="BC1" s="735"/>
      <c r="BD1" s="735"/>
      <c r="BE1" s="735"/>
      <c r="BF1" s="735"/>
      <c r="BG1" s="735">
        <v>43612</v>
      </c>
      <c r="BH1" s="735"/>
      <c r="BI1" s="735"/>
      <c r="BJ1" s="735"/>
      <c r="BK1" s="735"/>
      <c r="BL1" s="735"/>
      <c r="BM1" s="735"/>
      <c r="BN1" s="735">
        <v>43619</v>
      </c>
      <c r="BO1" s="735"/>
      <c r="BP1" s="735"/>
      <c r="BQ1" s="735"/>
      <c r="BR1" s="735"/>
      <c r="BS1" s="735"/>
      <c r="BT1" s="735"/>
      <c r="BU1" s="735">
        <v>43626</v>
      </c>
      <c r="BV1" s="735"/>
      <c r="BW1" s="735"/>
      <c r="BX1" s="735"/>
      <c r="BY1" s="735"/>
      <c r="BZ1" s="735"/>
      <c r="CA1" s="735"/>
      <c r="CB1" s="735">
        <v>43633</v>
      </c>
      <c r="CC1" s="735"/>
      <c r="CD1" s="735"/>
      <c r="CE1" s="735"/>
      <c r="CF1" s="735"/>
      <c r="CG1" s="735"/>
      <c r="CH1" s="735"/>
      <c r="CI1" s="735">
        <v>43640</v>
      </c>
      <c r="CJ1" s="735"/>
      <c r="CK1" s="735"/>
      <c r="CL1" s="735"/>
      <c r="CM1" s="735"/>
      <c r="CN1" s="735"/>
      <c r="CO1" s="735"/>
      <c r="CP1" s="735">
        <v>43647</v>
      </c>
      <c r="CQ1" s="735"/>
      <c r="CR1" s="735"/>
      <c r="CS1" s="735"/>
      <c r="CT1" s="735"/>
      <c r="CU1" s="735"/>
      <c r="CV1" s="735"/>
      <c r="CW1" s="735">
        <v>43654</v>
      </c>
      <c r="CX1" s="735"/>
      <c r="CY1" s="735"/>
      <c r="CZ1" s="735"/>
      <c r="DA1" s="735"/>
      <c r="DB1" s="735"/>
      <c r="DC1" s="735"/>
      <c r="DD1" s="735">
        <v>43661</v>
      </c>
      <c r="DE1" s="735"/>
      <c r="DF1" s="735"/>
      <c r="DG1" s="735"/>
      <c r="DH1" s="735"/>
      <c r="DI1" s="735"/>
      <c r="DJ1" s="735"/>
      <c r="DK1" s="735">
        <v>43668</v>
      </c>
      <c r="DL1" s="735"/>
      <c r="DM1" s="735"/>
      <c r="DN1" s="735"/>
      <c r="DO1" s="735"/>
      <c r="DP1" s="735"/>
      <c r="DQ1" s="735"/>
      <c r="DR1" s="735">
        <v>43675</v>
      </c>
      <c r="DS1" s="735"/>
      <c r="DT1" s="735"/>
      <c r="DU1" s="735"/>
      <c r="DV1" s="735"/>
      <c r="DW1" s="735"/>
      <c r="DX1" s="735"/>
      <c r="DY1" s="735">
        <v>43682</v>
      </c>
      <c r="DZ1" s="735"/>
      <c r="EA1" s="735"/>
      <c r="EB1" s="735"/>
      <c r="EC1" s="735"/>
      <c r="ED1" s="735"/>
      <c r="EE1" s="735"/>
      <c r="EF1" s="735">
        <v>43689</v>
      </c>
      <c r="EG1" s="735"/>
      <c r="EH1" s="735"/>
      <c r="EI1" s="735"/>
      <c r="EJ1" s="735"/>
      <c r="EK1" s="735"/>
      <c r="EL1" s="735"/>
      <c r="EM1" s="735">
        <v>43696</v>
      </c>
      <c r="EN1" s="735"/>
      <c r="EO1" s="735"/>
      <c r="EP1" s="735"/>
      <c r="EQ1" s="735"/>
      <c r="ER1" s="735"/>
      <c r="ES1" s="735"/>
      <c r="ET1" s="735">
        <v>43703</v>
      </c>
      <c r="EU1" s="735"/>
      <c r="EV1" s="735"/>
      <c r="EW1" s="735"/>
      <c r="EX1" s="735"/>
      <c r="EY1" s="735"/>
      <c r="EZ1" s="735"/>
      <c r="FA1" s="735">
        <v>43710</v>
      </c>
      <c r="FB1" s="735"/>
      <c r="FC1" s="735"/>
      <c r="FD1" s="735"/>
      <c r="FE1" s="735"/>
      <c r="FF1" s="735"/>
      <c r="FG1" s="735"/>
      <c r="FH1" s="735">
        <v>43717</v>
      </c>
      <c r="FI1" s="735"/>
      <c r="FJ1" s="735"/>
      <c r="FK1" s="735"/>
      <c r="FL1" s="735"/>
      <c r="FM1" s="735"/>
      <c r="FN1" s="735"/>
      <c r="FO1" s="735">
        <v>43724</v>
      </c>
      <c r="FP1" s="735"/>
      <c r="FQ1" s="735"/>
      <c r="FR1" s="735"/>
      <c r="FS1" s="735"/>
      <c r="FT1" s="735"/>
      <c r="FU1" s="735"/>
      <c r="FV1" s="735">
        <v>43731</v>
      </c>
      <c r="FW1" s="735"/>
      <c r="FX1" s="735"/>
      <c r="FY1" s="735"/>
      <c r="FZ1" s="735"/>
      <c r="GA1" s="735"/>
      <c r="GB1" s="735"/>
      <c r="GC1" s="735">
        <v>43738</v>
      </c>
      <c r="GD1" s="735"/>
      <c r="GE1" s="735"/>
      <c r="GF1" s="735"/>
      <c r="GG1" s="735"/>
      <c r="GH1" s="735"/>
      <c r="GI1" s="735"/>
      <c r="GJ1" s="735">
        <v>43745</v>
      </c>
      <c r="GK1" s="735"/>
      <c r="GL1" s="735"/>
      <c r="GM1" s="735"/>
      <c r="GN1" s="735"/>
      <c r="GO1" s="735"/>
      <c r="GP1" s="735"/>
      <c r="GQ1" s="735">
        <v>43752</v>
      </c>
      <c r="GR1" s="735"/>
      <c r="GS1" s="735"/>
      <c r="GT1" s="735"/>
      <c r="GU1" s="735"/>
      <c r="GV1" s="735"/>
      <c r="GW1" s="735"/>
      <c r="GX1" s="735">
        <v>43759</v>
      </c>
      <c r="GY1" s="735"/>
      <c r="GZ1" s="735"/>
      <c r="HA1" s="735"/>
      <c r="HB1" s="735"/>
      <c r="HC1" s="735"/>
      <c r="HD1" s="735"/>
      <c r="HE1" s="735">
        <v>43766</v>
      </c>
      <c r="HF1" s="735"/>
      <c r="HG1" s="735"/>
      <c r="HH1" s="735"/>
      <c r="HI1" s="735"/>
      <c r="HJ1" s="735"/>
      <c r="HK1" s="735"/>
      <c r="HL1" s="735">
        <v>43773</v>
      </c>
      <c r="HM1" s="735"/>
      <c r="HN1" s="735"/>
      <c r="HO1" s="735"/>
      <c r="HP1" s="735"/>
      <c r="HQ1" s="735"/>
      <c r="HR1" s="735"/>
      <c r="HS1" s="735">
        <v>43780</v>
      </c>
      <c r="HT1" s="735"/>
      <c r="HU1" s="735"/>
      <c r="HV1" s="735"/>
      <c r="HW1" s="735"/>
      <c r="HX1" s="735"/>
      <c r="HY1" s="735"/>
      <c r="HZ1" s="735">
        <v>43787</v>
      </c>
      <c r="IA1" s="735"/>
      <c r="IB1" s="735"/>
      <c r="IC1" s="735"/>
      <c r="ID1" s="735"/>
      <c r="IE1" s="735"/>
      <c r="IF1" s="735"/>
      <c r="IG1" s="735">
        <v>43794</v>
      </c>
      <c r="IH1" s="735"/>
      <c r="II1" s="735"/>
      <c r="IJ1" s="735"/>
      <c r="IK1" s="735"/>
      <c r="IL1" s="735"/>
      <c r="IM1" s="735"/>
      <c r="IN1" s="735">
        <v>43801</v>
      </c>
      <c r="IO1" s="735"/>
      <c r="IP1" s="735"/>
      <c r="IQ1" s="735"/>
      <c r="IR1" s="735"/>
      <c r="IS1" s="735"/>
      <c r="IT1" s="735"/>
      <c r="IU1" s="735">
        <v>43808</v>
      </c>
      <c r="IV1" s="735"/>
      <c r="IW1" s="735"/>
      <c r="IX1" s="735"/>
      <c r="IY1" s="735"/>
      <c r="IZ1" s="735"/>
      <c r="JA1" s="735"/>
      <c r="JB1" s="735">
        <v>43815</v>
      </c>
      <c r="JC1" s="735"/>
      <c r="JD1" s="735"/>
      <c r="JE1" s="735"/>
      <c r="JF1" s="735"/>
      <c r="JG1" s="735"/>
      <c r="JH1" s="735"/>
      <c r="JI1" s="735">
        <v>43822</v>
      </c>
      <c r="JJ1" s="735"/>
      <c r="JK1" s="735"/>
      <c r="JL1" s="735"/>
      <c r="JM1" s="735"/>
      <c r="JN1" s="735"/>
      <c r="JO1" s="735"/>
      <c r="JP1" s="735">
        <v>43829</v>
      </c>
      <c r="JQ1" s="735"/>
      <c r="JR1" s="735"/>
      <c r="JS1" s="735"/>
      <c r="JT1" s="735"/>
      <c r="JU1" s="735"/>
      <c r="JV1" s="735"/>
      <c r="JW1" s="735">
        <v>43836</v>
      </c>
      <c r="JX1" s="735"/>
      <c r="JY1" s="735"/>
      <c r="JZ1" s="735"/>
      <c r="KA1" s="735"/>
      <c r="KB1" s="735"/>
      <c r="KC1" s="735"/>
      <c r="KD1" s="735">
        <v>43843</v>
      </c>
      <c r="KE1" s="735"/>
      <c r="KF1" s="735"/>
      <c r="KG1" s="735"/>
      <c r="KH1" s="735"/>
      <c r="KI1" s="735"/>
      <c r="KJ1" s="735"/>
      <c r="KK1" s="735">
        <v>43850</v>
      </c>
      <c r="KL1" s="735"/>
      <c r="KM1" s="735"/>
      <c r="KN1" s="735"/>
      <c r="KO1" s="735"/>
      <c r="KP1" s="735"/>
      <c r="KQ1" s="735"/>
      <c r="KR1" s="735">
        <v>43857</v>
      </c>
      <c r="KS1" s="735"/>
      <c r="KT1" s="735"/>
      <c r="KU1" s="735"/>
      <c r="KV1" s="735"/>
      <c r="KW1" s="735"/>
      <c r="KX1" s="735"/>
      <c r="KY1" s="735">
        <v>43864</v>
      </c>
      <c r="KZ1" s="735"/>
      <c r="LA1" s="735"/>
      <c r="LB1" s="735"/>
      <c r="LC1" s="735"/>
      <c r="LD1" s="735"/>
      <c r="LE1" s="735"/>
      <c r="LF1" s="735">
        <v>43871</v>
      </c>
      <c r="LG1" s="735"/>
      <c r="LH1" s="735"/>
      <c r="LI1" s="735"/>
      <c r="LJ1" s="735"/>
      <c r="LK1" s="735"/>
      <c r="LL1" s="735"/>
      <c r="LM1" s="735">
        <v>43878</v>
      </c>
      <c r="LN1" s="735"/>
      <c r="LO1" s="735"/>
      <c r="LP1" s="735"/>
      <c r="LQ1" s="735"/>
      <c r="LR1" s="735"/>
      <c r="LS1" s="735"/>
      <c r="LT1" s="735">
        <v>43885</v>
      </c>
      <c r="LU1" s="735"/>
      <c r="LV1" s="735"/>
      <c r="LW1" s="735"/>
      <c r="LX1" s="735"/>
      <c r="LY1" s="735"/>
      <c r="LZ1" s="735"/>
      <c r="MA1" s="735">
        <v>43892</v>
      </c>
      <c r="MB1" s="735"/>
      <c r="MC1" s="735"/>
      <c r="MD1" s="735"/>
      <c r="ME1" s="735"/>
      <c r="MF1" s="735"/>
      <c r="MG1" s="735"/>
      <c r="MH1" s="735">
        <v>43899</v>
      </c>
      <c r="MI1" s="735"/>
      <c r="MJ1" s="735"/>
      <c r="MK1" s="735"/>
      <c r="ML1" s="735"/>
      <c r="MM1" s="735"/>
      <c r="MN1" s="735"/>
      <c r="MO1" s="735">
        <v>43906</v>
      </c>
      <c r="MP1" s="735"/>
      <c r="MQ1" s="735"/>
      <c r="MR1" s="735"/>
      <c r="MS1" s="735"/>
      <c r="MT1" s="735"/>
      <c r="MU1" s="735"/>
      <c r="MV1" s="735">
        <v>43913</v>
      </c>
      <c r="MW1" s="735"/>
      <c r="MX1" s="735"/>
      <c r="MY1" s="735"/>
      <c r="MZ1" s="735"/>
      <c r="NA1" s="735"/>
      <c r="NB1" s="735"/>
      <c r="NC1" s="735">
        <v>43920</v>
      </c>
      <c r="ND1" s="735"/>
      <c r="NE1" s="735"/>
      <c r="NF1" s="735"/>
      <c r="NG1" s="735"/>
      <c r="NH1" s="735"/>
      <c r="NI1" s="735"/>
      <c r="NJ1" s="735">
        <v>43927</v>
      </c>
      <c r="NK1" s="735"/>
      <c r="NL1" s="735"/>
      <c r="NM1" s="735"/>
      <c r="NN1" s="735"/>
      <c r="NO1" s="735"/>
      <c r="NP1" s="735"/>
      <c r="NQ1" s="735">
        <v>43934</v>
      </c>
      <c r="NR1" s="735"/>
      <c r="NS1" s="735"/>
      <c r="NT1" s="735"/>
      <c r="NU1" s="735"/>
      <c r="NV1" s="735"/>
      <c r="NW1" s="735"/>
      <c r="NX1" s="735">
        <v>43941</v>
      </c>
      <c r="NY1" s="735"/>
      <c r="NZ1" s="735"/>
      <c r="OA1" s="735"/>
      <c r="OB1" s="735"/>
      <c r="OC1" s="735"/>
      <c r="OD1" s="735"/>
      <c r="OE1" s="735">
        <v>43948</v>
      </c>
      <c r="OF1" s="735"/>
      <c r="OG1" s="735"/>
      <c r="OH1" s="735"/>
      <c r="OI1" s="735"/>
      <c r="OJ1" s="735"/>
      <c r="OK1" s="735"/>
      <c r="OL1" s="735">
        <v>43955</v>
      </c>
      <c r="OM1" s="735"/>
      <c r="ON1" s="735"/>
      <c r="OO1" s="735"/>
      <c r="OP1" s="735"/>
      <c r="OQ1" s="735"/>
      <c r="OR1" s="735"/>
      <c r="OS1" s="735">
        <v>43962</v>
      </c>
      <c r="OT1" s="735"/>
      <c r="OU1" s="735"/>
      <c r="OV1" s="735"/>
      <c r="OW1" s="735"/>
      <c r="OX1" s="735"/>
      <c r="OY1" s="735"/>
      <c r="OZ1" s="735">
        <v>43969</v>
      </c>
      <c r="PA1" s="735"/>
      <c r="PB1" s="735"/>
      <c r="PC1" s="735"/>
      <c r="PD1" s="735"/>
      <c r="PE1" s="735"/>
      <c r="PF1" s="735"/>
      <c r="PG1" s="735">
        <v>43976</v>
      </c>
      <c r="PH1" s="735"/>
      <c r="PI1" s="735"/>
      <c r="PJ1" s="735"/>
      <c r="PK1" s="735"/>
      <c r="PL1" s="735"/>
      <c r="PM1" s="735"/>
      <c r="PN1" s="735">
        <v>43983</v>
      </c>
      <c r="PO1" s="735"/>
      <c r="PP1" s="735"/>
      <c r="PQ1" s="735"/>
      <c r="PR1" s="735"/>
      <c r="PS1" s="735"/>
      <c r="PT1" s="735"/>
      <c r="PU1" s="735">
        <v>43990</v>
      </c>
      <c r="PV1" s="735"/>
      <c r="PW1" s="735"/>
      <c r="PX1" s="735"/>
      <c r="PY1" s="735"/>
      <c r="PZ1" s="735"/>
      <c r="QA1" s="735"/>
      <c r="QB1" s="735">
        <v>43997</v>
      </c>
      <c r="QC1" s="735"/>
      <c r="QD1" s="735"/>
      <c r="QE1" s="735"/>
      <c r="QF1" s="735"/>
      <c r="QG1" s="735"/>
      <c r="QH1" s="735"/>
      <c r="QI1" s="735">
        <v>44004</v>
      </c>
      <c r="QJ1" s="735"/>
      <c r="QK1" s="735"/>
      <c r="QL1" s="735"/>
      <c r="QM1" s="735"/>
      <c r="QN1" s="735"/>
      <c r="QO1" s="735"/>
      <c r="QP1" s="735">
        <v>44011</v>
      </c>
      <c r="QQ1" s="735"/>
      <c r="QR1" s="735"/>
      <c r="QS1" s="735"/>
      <c r="QT1" s="735"/>
      <c r="QU1" s="735"/>
      <c r="QV1" s="735"/>
      <c r="QW1" s="735">
        <v>44018</v>
      </c>
      <c r="QX1" s="735"/>
      <c r="QY1" s="735"/>
      <c r="QZ1" s="735"/>
      <c r="RA1" s="735"/>
      <c r="RB1" s="735"/>
      <c r="RC1" s="735"/>
      <c r="RD1" s="735">
        <v>44025</v>
      </c>
      <c r="RE1" s="735"/>
      <c r="RF1" s="735"/>
      <c r="RG1" s="735"/>
      <c r="RH1" s="735"/>
      <c r="RI1" s="735"/>
      <c r="RJ1" s="735"/>
      <c r="RK1" s="735">
        <v>44032</v>
      </c>
      <c r="RL1" s="735"/>
      <c r="RM1" s="735"/>
      <c r="RN1" s="735"/>
      <c r="RO1" s="735"/>
      <c r="RP1" s="735"/>
      <c r="RQ1" s="735"/>
      <c r="RR1" s="735">
        <v>44039</v>
      </c>
      <c r="RS1" s="735"/>
      <c r="RT1" s="735"/>
      <c r="RU1" s="735"/>
      <c r="RV1" s="735"/>
      <c r="RW1" s="735"/>
      <c r="RX1" s="735"/>
      <c r="RY1" s="735">
        <v>44046</v>
      </c>
      <c r="RZ1" s="735"/>
      <c r="SA1" s="735"/>
      <c r="SB1" s="735"/>
      <c r="SC1" s="735"/>
      <c r="SD1" s="735"/>
      <c r="SE1" s="735"/>
      <c r="SF1" s="735">
        <v>44053</v>
      </c>
      <c r="SG1" s="735"/>
      <c r="SH1" s="735"/>
      <c r="SI1" s="735"/>
      <c r="SJ1" s="735"/>
      <c r="SK1" s="735"/>
      <c r="SL1" s="735"/>
      <c r="SM1" s="735">
        <v>44060</v>
      </c>
      <c r="SN1" s="735"/>
      <c r="SO1" s="735"/>
      <c r="SP1" s="735"/>
      <c r="SQ1" s="735"/>
      <c r="SR1" s="735"/>
      <c r="SS1" s="735"/>
      <c r="ST1" s="735">
        <v>44067</v>
      </c>
      <c r="SU1" s="735"/>
      <c r="SV1" s="735"/>
      <c r="SW1" s="735"/>
      <c r="SX1" s="735"/>
      <c r="SY1" s="735"/>
      <c r="SZ1" s="735"/>
      <c r="TA1" s="735">
        <v>44074</v>
      </c>
      <c r="TB1" s="735"/>
      <c r="TC1" s="735"/>
      <c r="TD1" s="735"/>
      <c r="TE1" s="735"/>
      <c r="TF1" s="735"/>
      <c r="TG1" s="735"/>
      <c r="TH1" s="735">
        <v>44081</v>
      </c>
      <c r="TI1" s="735"/>
      <c r="TJ1" s="735"/>
      <c r="TK1" s="735"/>
      <c r="TL1" s="735"/>
      <c r="TM1" s="735"/>
      <c r="TN1" s="735"/>
      <c r="TO1" s="735">
        <v>44088</v>
      </c>
      <c r="TP1" s="735"/>
      <c r="TQ1" s="735"/>
      <c r="TR1" s="735"/>
      <c r="TS1" s="735"/>
      <c r="TT1" s="735"/>
      <c r="TU1" s="735"/>
      <c r="TV1" s="735">
        <v>44095</v>
      </c>
      <c r="TW1" s="735"/>
      <c r="TX1" s="735"/>
      <c r="TY1" s="735"/>
      <c r="TZ1" s="735"/>
      <c r="UA1" s="735"/>
      <c r="UB1" s="735"/>
      <c r="UC1" s="735">
        <v>44102</v>
      </c>
      <c r="UD1" s="735"/>
      <c r="UE1" s="735"/>
      <c r="UF1" s="735"/>
      <c r="UG1" s="735"/>
      <c r="UH1" s="735"/>
      <c r="UI1" s="735"/>
      <c r="UJ1" s="735">
        <v>44109</v>
      </c>
      <c r="UK1" s="735"/>
      <c r="UL1" s="735"/>
      <c r="UM1" s="735"/>
      <c r="UN1" s="735"/>
      <c r="UO1" s="735"/>
      <c r="UP1" s="735"/>
      <c r="UQ1" s="735">
        <v>44116</v>
      </c>
      <c r="UR1" s="735"/>
      <c r="US1" s="735"/>
      <c r="UT1" s="735"/>
      <c r="UU1" s="735"/>
      <c r="UV1" s="735"/>
      <c r="UW1" s="735"/>
      <c r="UX1" s="735">
        <v>44123</v>
      </c>
      <c r="UY1" s="735"/>
      <c r="UZ1" s="735"/>
      <c r="VA1" s="735"/>
      <c r="VB1" s="735"/>
      <c r="VC1" s="735"/>
      <c r="VD1" s="735"/>
      <c r="VE1" s="735">
        <v>44130</v>
      </c>
      <c r="VF1" s="735"/>
      <c r="VG1" s="735"/>
      <c r="VH1" s="735"/>
      <c r="VI1" s="735"/>
      <c r="VJ1" s="735"/>
      <c r="VK1" s="735"/>
      <c r="VL1" s="735">
        <v>44137</v>
      </c>
      <c r="VM1" s="735"/>
      <c r="VN1" s="735"/>
      <c r="VO1" s="735"/>
      <c r="VP1" s="735"/>
      <c r="VQ1" s="735"/>
      <c r="VR1" s="735"/>
      <c r="VS1" s="735">
        <v>44144</v>
      </c>
      <c r="VT1" s="735"/>
      <c r="VU1" s="735"/>
      <c r="VV1" s="735"/>
      <c r="VW1" s="735"/>
      <c r="VX1" s="735"/>
      <c r="VY1" s="735"/>
      <c r="VZ1" s="735">
        <v>44151</v>
      </c>
      <c r="WA1" s="735"/>
      <c r="WB1" s="735"/>
      <c r="WC1" s="735"/>
      <c r="WD1" s="735"/>
      <c r="WE1" s="735"/>
      <c r="WF1" s="735"/>
      <c r="WG1" s="735">
        <v>44158</v>
      </c>
      <c r="WH1" s="735"/>
      <c r="WI1" s="735"/>
      <c r="WJ1" s="735"/>
      <c r="WK1" s="735"/>
      <c r="WL1" s="735"/>
      <c r="WM1" s="735"/>
      <c r="WN1" s="735">
        <v>44165</v>
      </c>
      <c r="WO1" s="735"/>
      <c r="WP1" s="735"/>
      <c r="WQ1" s="735"/>
      <c r="WR1" s="735"/>
      <c r="WS1" s="735"/>
      <c r="WT1" s="735"/>
      <c r="WU1" s="735">
        <v>44172</v>
      </c>
      <c r="WV1" s="735"/>
      <c r="WW1" s="735"/>
      <c r="WX1" s="735"/>
      <c r="WY1" s="735"/>
      <c r="WZ1" s="735"/>
      <c r="XA1" s="735"/>
      <c r="XB1" s="735">
        <v>44179</v>
      </c>
      <c r="XC1" s="735"/>
      <c r="XD1" s="735"/>
      <c r="XE1" s="735"/>
      <c r="XF1" s="735"/>
      <c r="XG1" s="735"/>
      <c r="XH1" s="735"/>
      <c r="XI1" s="735">
        <v>44186</v>
      </c>
      <c r="XJ1" s="735"/>
      <c r="XK1" s="735"/>
      <c r="XL1" s="735"/>
      <c r="XM1" s="735"/>
      <c r="XN1" s="735"/>
      <c r="XO1" s="735"/>
      <c r="XP1" s="735">
        <v>44193</v>
      </c>
      <c r="XQ1" s="735"/>
      <c r="XR1" s="735"/>
      <c r="XS1" s="735"/>
      <c r="XT1" s="735"/>
      <c r="XU1" s="735"/>
      <c r="XV1" s="735"/>
      <c r="XW1" s="735">
        <v>44200</v>
      </c>
      <c r="XX1" s="735"/>
      <c r="XY1" s="735"/>
      <c r="XZ1" s="735"/>
      <c r="YA1" s="735"/>
      <c r="YB1" s="735"/>
      <c r="YC1" s="735"/>
      <c r="YD1" s="735">
        <v>44207</v>
      </c>
      <c r="YE1" s="735"/>
      <c r="YF1" s="735"/>
      <c r="YG1" s="735"/>
      <c r="YH1" s="735"/>
      <c r="YI1" s="735"/>
      <c r="YJ1" s="735"/>
      <c r="YK1" s="735">
        <v>44214</v>
      </c>
      <c r="YL1" s="735"/>
      <c r="YM1" s="735"/>
      <c r="YN1" s="735"/>
      <c r="YO1" s="735"/>
      <c r="YP1" s="735"/>
      <c r="YQ1" s="735"/>
      <c r="YR1" s="735">
        <v>44221</v>
      </c>
      <c r="YS1" s="735"/>
      <c r="YT1" s="735"/>
      <c r="YU1" s="735"/>
      <c r="YV1" s="735"/>
      <c r="YW1" s="735"/>
      <c r="YX1" s="735"/>
      <c r="YY1" s="735">
        <v>44228</v>
      </c>
      <c r="YZ1" s="735"/>
      <c r="ZA1" s="735"/>
      <c r="ZB1" s="735"/>
      <c r="ZC1" s="735"/>
      <c r="ZD1" s="735"/>
      <c r="ZE1" s="735"/>
      <c r="ZF1" s="735">
        <v>44235</v>
      </c>
      <c r="ZG1" s="735"/>
      <c r="ZH1" s="735"/>
      <c r="ZI1" s="735"/>
      <c r="ZJ1" s="735"/>
      <c r="ZK1" s="735"/>
      <c r="ZL1" s="735"/>
      <c r="ZM1" s="735">
        <v>44242</v>
      </c>
      <c r="ZN1" s="735"/>
      <c r="ZO1" s="735"/>
      <c r="ZP1" s="735"/>
      <c r="ZQ1" s="735"/>
      <c r="ZR1" s="735"/>
      <c r="ZS1" s="735"/>
      <c r="ZT1" s="735">
        <v>44249</v>
      </c>
      <c r="ZU1" s="735"/>
      <c r="ZV1" s="735"/>
      <c r="ZW1" s="735"/>
      <c r="ZX1" s="735"/>
      <c r="ZY1" s="735"/>
      <c r="ZZ1" s="735"/>
      <c r="AAA1" s="735">
        <v>44256</v>
      </c>
      <c r="AAB1" s="735"/>
      <c r="AAC1" s="735"/>
      <c r="AAD1" s="735"/>
      <c r="AAE1" s="735"/>
      <c r="AAF1" s="735"/>
      <c r="AAG1" s="735"/>
      <c r="AAH1" s="735">
        <v>44263</v>
      </c>
      <c r="AAI1" s="735"/>
      <c r="AAJ1" s="735"/>
      <c r="AAK1" s="735"/>
      <c r="AAL1" s="735"/>
      <c r="AAM1" s="735"/>
      <c r="AAN1" s="735"/>
      <c r="AAO1" s="735">
        <v>44270</v>
      </c>
      <c r="AAP1" s="735"/>
      <c r="AAQ1" s="735"/>
      <c r="AAR1" s="735"/>
      <c r="AAS1" s="735"/>
      <c r="AAT1" s="735"/>
      <c r="AAU1" s="735"/>
      <c r="AAV1" s="735">
        <v>44277</v>
      </c>
      <c r="AAW1" s="735"/>
      <c r="AAX1" s="735"/>
      <c r="AAY1" s="735"/>
      <c r="AAZ1" s="735"/>
      <c r="ABA1" s="735"/>
      <c r="ABB1" s="735"/>
      <c r="ABC1" s="735">
        <v>44284</v>
      </c>
      <c r="ABD1" s="735"/>
      <c r="ABE1" s="735"/>
      <c r="ABF1" s="735"/>
      <c r="ABG1" s="735"/>
      <c r="ABH1" s="735"/>
      <c r="ABI1" s="735"/>
      <c r="ABJ1" s="735">
        <v>44291</v>
      </c>
      <c r="ABK1" s="735"/>
      <c r="ABL1" s="735"/>
      <c r="ABM1" s="735"/>
      <c r="ABN1" s="735"/>
      <c r="ABO1" s="735"/>
      <c r="ABP1" s="735"/>
      <c r="ABQ1" s="735">
        <v>44298</v>
      </c>
      <c r="ABR1" s="735"/>
      <c r="ABS1" s="735"/>
      <c r="ABT1" s="735"/>
      <c r="ABU1" s="735"/>
      <c r="ABV1" s="735"/>
      <c r="ABW1" s="735"/>
      <c r="ABX1" s="735">
        <v>44305</v>
      </c>
      <c r="ABY1" s="735"/>
      <c r="ABZ1" s="735"/>
      <c r="ACA1" s="735"/>
      <c r="ACB1" s="735"/>
      <c r="ACC1" s="735"/>
      <c r="ACD1" s="735"/>
    </row>
    <row r="2" spans="1:758" ht="224.4" customHeight="1" thickTop="1" thickBot="1">
      <c r="A2" s="60" t="s">
        <v>612</v>
      </c>
      <c r="B2" s="60" t="s">
        <v>613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734" t="s">
        <v>142</v>
      </c>
      <c r="R2" s="734"/>
      <c r="S2" s="734"/>
      <c r="T2" s="734"/>
      <c r="U2" s="734"/>
      <c r="V2" s="734"/>
      <c r="W2" s="734"/>
      <c r="X2" s="734"/>
      <c r="Y2" s="734"/>
      <c r="Z2" s="734"/>
      <c r="AA2" s="734"/>
      <c r="AB2" s="734"/>
      <c r="AC2" s="61"/>
      <c r="AD2" s="61"/>
      <c r="AE2" s="713" t="s">
        <v>147</v>
      </c>
      <c r="AF2" s="713"/>
      <c r="AG2" s="713"/>
      <c r="AH2" s="720" t="s">
        <v>487</v>
      </c>
      <c r="AI2" s="720"/>
      <c r="AJ2" s="720"/>
      <c r="AK2" s="720"/>
      <c r="AL2" s="720"/>
      <c r="AM2" s="720"/>
      <c r="AN2" s="720"/>
      <c r="AO2" s="720"/>
      <c r="AP2" s="720"/>
      <c r="AQ2" s="720"/>
      <c r="AR2" s="720"/>
      <c r="AS2" s="720"/>
      <c r="AT2" s="720"/>
      <c r="AU2" s="720"/>
      <c r="AV2" s="720"/>
      <c r="AW2" s="720"/>
      <c r="AX2" s="720"/>
      <c r="AY2" s="720"/>
      <c r="AZ2" s="720"/>
      <c r="BA2" s="720"/>
      <c r="BB2" s="720"/>
      <c r="BC2" s="716" t="s">
        <v>120</v>
      </c>
      <c r="BD2" s="716"/>
      <c r="BE2" s="716"/>
      <c r="BF2" s="716"/>
      <c r="BG2" s="716"/>
      <c r="BH2" s="716"/>
      <c r="BI2" s="716"/>
      <c r="BJ2" s="716"/>
      <c r="BK2" s="716"/>
      <c r="BL2" s="716"/>
      <c r="BM2" s="716"/>
      <c r="BN2" s="716"/>
      <c r="BO2" s="716"/>
      <c r="BP2" s="716"/>
      <c r="BQ2" s="716"/>
      <c r="BR2" s="716"/>
      <c r="BS2" s="61"/>
      <c r="BT2" s="61"/>
      <c r="BU2" s="717" t="s">
        <v>150</v>
      </c>
      <c r="BV2" s="717"/>
      <c r="BW2" s="717"/>
      <c r="BX2" s="717"/>
      <c r="BY2" s="717"/>
      <c r="BZ2" s="717"/>
      <c r="CA2" s="717"/>
      <c r="CB2" s="717"/>
      <c r="CC2" s="717"/>
      <c r="CD2" s="717"/>
      <c r="CE2" s="717"/>
      <c r="CF2" s="717"/>
      <c r="CG2" s="61"/>
      <c r="CH2" s="61"/>
      <c r="CI2" s="721" t="s">
        <v>154</v>
      </c>
      <c r="CJ2" s="721"/>
      <c r="CK2" s="72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  <c r="GR2" s="61"/>
      <c r="GS2" s="61"/>
      <c r="GT2" s="61"/>
      <c r="GU2" s="61"/>
      <c r="GV2" s="61"/>
      <c r="GW2" s="61"/>
      <c r="GX2" s="61"/>
      <c r="GY2" s="61"/>
      <c r="GZ2" s="61"/>
      <c r="HA2" s="61"/>
      <c r="HB2" s="61"/>
      <c r="HC2" s="61"/>
      <c r="HD2" s="61"/>
      <c r="HE2" s="61"/>
      <c r="HF2" s="61"/>
      <c r="HG2" s="61"/>
      <c r="HH2" s="61"/>
      <c r="HI2" s="61"/>
      <c r="HJ2" s="61"/>
      <c r="HK2" s="61"/>
      <c r="HL2" s="61"/>
      <c r="HM2" s="61"/>
      <c r="HN2" s="61"/>
      <c r="HO2" s="61"/>
      <c r="HP2" s="61"/>
      <c r="HQ2" s="61"/>
      <c r="HR2" s="61"/>
      <c r="HS2" s="61"/>
      <c r="HT2" s="61"/>
      <c r="HU2" s="61"/>
      <c r="HV2" s="61"/>
      <c r="HW2" s="61"/>
      <c r="HX2" s="61"/>
      <c r="HY2" s="61"/>
      <c r="HZ2" s="61"/>
      <c r="IA2" s="61"/>
      <c r="IB2" s="61"/>
      <c r="IC2" s="61"/>
      <c r="ID2" s="61"/>
      <c r="IE2" s="61"/>
      <c r="IF2" s="61"/>
      <c r="IG2" s="61"/>
      <c r="IH2" s="61"/>
      <c r="II2" s="61"/>
      <c r="IJ2" s="61"/>
      <c r="IK2" s="61"/>
      <c r="IL2" s="61"/>
      <c r="IM2" s="61"/>
      <c r="IN2" s="61"/>
      <c r="IO2" s="61"/>
      <c r="IP2" s="61"/>
      <c r="IQ2" s="61"/>
      <c r="IR2" s="61"/>
      <c r="IS2" s="61"/>
      <c r="IT2" s="61"/>
      <c r="IU2" s="61"/>
      <c r="IV2" s="61"/>
      <c r="IW2" s="61"/>
      <c r="IX2" s="61"/>
      <c r="IY2" s="61"/>
      <c r="IZ2" s="61"/>
      <c r="JA2" s="61"/>
      <c r="JB2" s="61"/>
      <c r="JC2" s="61"/>
      <c r="JD2" s="61"/>
      <c r="JE2" s="61"/>
      <c r="JF2" s="61"/>
      <c r="JG2" s="61"/>
      <c r="JH2" s="61"/>
      <c r="JI2" s="61"/>
      <c r="JJ2" s="61"/>
      <c r="JK2" s="61"/>
      <c r="JL2" s="61"/>
      <c r="JM2" s="61"/>
      <c r="JN2" s="61"/>
      <c r="JO2" s="61"/>
      <c r="JP2" s="61"/>
      <c r="JQ2" s="61"/>
      <c r="JR2" s="61"/>
      <c r="JS2" s="61"/>
      <c r="JT2" s="61"/>
      <c r="JU2" s="61"/>
      <c r="JV2" s="61"/>
      <c r="JW2" s="61"/>
      <c r="JX2" s="61"/>
      <c r="JY2" s="61"/>
      <c r="JZ2" s="61"/>
      <c r="KA2" s="61"/>
      <c r="KB2" s="61"/>
      <c r="KC2" s="61"/>
      <c r="KD2" s="61"/>
      <c r="KE2" s="61"/>
      <c r="KF2" s="61"/>
      <c r="KG2" s="61"/>
      <c r="KH2" s="61"/>
      <c r="KI2" s="61"/>
      <c r="KJ2" s="61"/>
      <c r="KK2" s="61"/>
      <c r="KL2" s="61"/>
      <c r="KM2" s="61"/>
      <c r="KN2" s="61"/>
      <c r="KO2" s="61"/>
      <c r="KP2" s="61"/>
      <c r="KQ2" s="61"/>
      <c r="KR2" s="61"/>
      <c r="KS2" s="61"/>
      <c r="KT2" s="61"/>
      <c r="KU2" s="61"/>
      <c r="KV2" s="61"/>
      <c r="KW2" s="61"/>
      <c r="KX2" s="61"/>
      <c r="KY2" s="61"/>
      <c r="KZ2" s="61"/>
      <c r="LA2" s="61"/>
      <c r="LB2" s="61"/>
      <c r="LC2" s="61"/>
      <c r="LD2" s="61"/>
      <c r="LE2" s="61"/>
      <c r="LF2" s="61"/>
      <c r="LG2" s="61"/>
      <c r="LH2" s="61"/>
      <c r="LI2" s="61"/>
      <c r="LJ2" s="61"/>
      <c r="LK2" s="61"/>
      <c r="LL2" s="61"/>
      <c r="LM2" s="61"/>
      <c r="LN2" s="61"/>
      <c r="LO2" s="61"/>
      <c r="LP2" s="61"/>
      <c r="LQ2" s="61"/>
      <c r="LR2" s="61"/>
      <c r="LS2" s="61"/>
      <c r="LT2" s="61"/>
      <c r="LU2" s="61"/>
      <c r="LV2" s="61"/>
      <c r="LW2" s="61"/>
      <c r="LX2" s="61"/>
      <c r="LY2" s="61"/>
      <c r="LZ2" s="61"/>
      <c r="MA2" s="61"/>
      <c r="MB2" s="61"/>
      <c r="MC2" s="61"/>
      <c r="MD2" s="61"/>
      <c r="ME2" s="61"/>
      <c r="MF2" s="61"/>
      <c r="MG2" s="61"/>
      <c r="MH2" s="61"/>
      <c r="MI2" s="61"/>
      <c r="MJ2" s="61"/>
      <c r="MK2" s="61"/>
      <c r="ML2" s="61"/>
      <c r="MM2" s="61"/>
      <c r="MN2" s="61"/>
      <c r="MO2" s="61"/>
      <c r="MP2" s="61"/>
      <c r="MQ2" s="61"/>
      <c r="MR2" s="61"/>
      <c r="MS2" s="61"/>
      <c r="MT2" s="61"/>
      <c r="MU2" s="61"/>
      <c r="MV2" s="61"/>
      <c r="MW2" s="61"/>
      <c r="MX2" s="61"/>
      <c r="MY2" s="61"/>
      <c r="MZ2" s="61"/>
      <c r="NA2" s="61"/>
      <c r="NB2" s="61"/>
      <c r="NC2" s="61"/>
      <c r="ND2" s="61"/>
      <c r="NE2" s="61"/>
      <c r="NF2" s="61"/>
      <c r="NG2" s="61"/>
      <c r="NH2" s="61"/>
      <c r="NI2" s="61"/>
      <c r="NJ2" s="61"/>
      <c r="NK2" s="61"/>
      <c r="NL2" s="61"/>
      <c r="NM2" s="61"/>
      <c r="NN2" s="61"/>
      <c r="NO2" s="61"/>
      <c r="NP2" s="61"/>
      <c r="NQ2" s="61"/>
      <c r="NR2" s="61"/>
      <c r="NS2" s="61"/>
      <c r="NT2" s="61"/>
      <c r="NU2" s="61"/>
      <c r="NV2" s="61"/>
      <c r="NW2" s="61"/>
      <c r="NX2" s="61"/>
      <c r="NY2" s="61"/>
      <c r="NZ2" s="61"/>
      <c r="OA2" s="61"/>
      <c r="OB2" s="61"/>
      <c r="OC2" s="61"/>
      <c r="OD2" s="61"/>
      <c r="OE2" s="61"/>
      <c r="OF2" s="61"/>
      <c r="OG2" s="61"/>
      <c r="OH2" s="61"/>
      <c r="OI2" s="61"/>
      <c r="OJ2" s="61"/>
      <c r="OK2" s="61"/>
      <c r="OL2" s="61"/>
      <c r="OM2" s="61"/>
      <c r="ON2" s="61"/>
      <c r="OO2" s="61"/>
      <c r="OP2" s="61"/>
      <c r="OQ2" s="61"/>
      <c r="OR2" s="61"/>
      <c r="OS2" s="61"/>
      <c r="OT2" s="61"/>
      <c r="OU2" s="61"/>
      <c r="OV2" s="61"/>
      <c r="OW2" s="61"/>
      <c r="OX2" s="61"/>
      <c r="OY2" s="61"/>
      <c r="OZ2" s="61"/>
      <c r="PA2" s="61"/>
      <c r="PB2" s="61"/>
      <c r="PC2" s="61"/>
      <c r="PD2" s="61"/>
      <c r="PE2" s="61"/>
      <c r="PF2" s="61"/>
      <c r="PG2" s="61"/>
      <c r="PH2" s="61"/>
      <c r="PI2" s="61"/>
      <c r="PJ2" s="61"/>
      <c r="PK2" s="61"/>
      <c r="PL2" s="61"/>
      <c r="PM2" s="61"/>
      <c r="PN2" s="61"/>
      <c r="PO2" s="61"/>
      <c r="PP2" s="61"/>
      <c r="PQ2" s="61"/>
      <c r="PR2" s="61"/>
      <c r="PS2" s="61"/>
      <c r="PT2" s="61"/>
      <c r="PU2" s="61"/>
      <c r="PV2" s="61"/>
      <c r="PW2" s="61"/>
      <c r="PX2" s="61"/>
      <c r="PY2" s="61"/>
      <c r="PZ2" s="61"/>
      <c r="QA2" s="61"/>
      <c r="QB2" s="61"/>
      <c r="QC2" s="61"/>
      <c r="QD2" s="61"/>
      <c r="QE2" s="61"/>
      <c r="QF2" s="61"/>
      <c r="QG2" s="61"/>
      <c r="QH2" s="61"/>
      <c r="QI2" s="61"/>
      <c r="QJ2" s="61"/>
      <c r="QK2" s="61"/>
      <c r="QL2" s="61"/>
      <c r="QM2" s="61"/>
      <c r="QN2" s="61"/>
      <c r="QO2" s="61"/>
      <c r="QP2" s="61"/>
      <c r="QQ2" s="61"/>
      <c r="QR2" s="61"/>
      <c r="QS2" s="61"/>
      <c r="QT2" s="61"/>
      <c r="QU2" s="61"/>
      <c r="QV2" s="61"/>
      <c r="QW2" s="61"/>
      <c r="QX2" s="61"/>
      <c r="QY2" s="61"/>
      <c r="QZ2" s="61"/>
      <c r="RA2" s="61"/>
      <c r="RB2" s="61"/>
      <c r="RC2" s="61"/>
      <c r="RD2" s="61"/>
      <c r="RE2" s="61"/>
      <c r="RF2" s="61"/>
      <c r="RG2" s="61"/>
      <c r="RH2" s="61"/>
      <c r="RI2" s="61"/>
      <c r="RJ2" s="61"/>
      <c r="RK2" s="61"/>
      <c r="RL2" s="61"/>
      <c r="RM2" s="61"/>
      <c r="RN2" s="61"/>
      <c r="RO2" s="61"/>
      <c r="RP2" s="61"/>
      <c r="RQ2" s="61"/>
      <c r="RR2" s="61"/>
      <c r="RS2" s="61"/>
      <c r="RT2" s="61"/>
      <c r="RU2" s="61"/>
      <c r="RV2" s="61"/>
      <c r="RW2" s="61"/>
      <c r="RX2" s="61"/>
      <c r="RY2" s="61"/>
      <c r="RZ2" s="61"/>
      <c r="SA2" s="61"/>
      <c r="SB2" s="61"/>
      <c r="SC2" s="61"/>
      <c r="SD2" s="61"/>
      <c r="SE2" s="61"/>
      <c r="SF2" s="61"/>
      <c r="SG2" s="61"/>
      <c r="SH2" s="61"/>
      <c r="SI2" s="61"/>
      <c r="SJ2" s="61"/>
      <c r="SK2" s="61"/>
      <c r="SL2" s="61"/>
      <c r="SM2" s="61"/>
      <c r="SN2" s="61"/>
      <c r="SO2" s="61"/>
      <c r="SP2" s="61"/>
      <c r="SQ2" s="61"/>
      <c r="SR2" s="61"/>
      <c r="SS2" s="61"/>
      <c r="ST2" s="61"/>
      <c r="SU2" s="61"/>
      <c r="SV2" s="61"/>
      <c r="SW2" s="61"/>
      <c r="SX2" s="61"/>
      <c r="SY2" s="61"/>
      <c r="SZ2" s="61"/>
      <c r="TA2" s="61"/>
      <c r="TB2" s="61"/>
      <c r="TC2" s="61"/>
      <c r="TD2" s="61"/>
      <c r="TE2" s="61"/>
      <c r="TF2" s="61"/>
      <c r="TG2" s="61"/>
      <c r="TH2" s="61"/>
      <c r="TI2" s="61"/>
      <c r="TJ2" s="61"/>
      <c r="TK2" s="61"/>
      <c r="TL2" s="61"/>
      <c r="TM2" s="61"/>
      <c r="TN2" s="61"/>
      <c r="TO2" s="61"/>
      <c r="TP2" s="61"/>
      <c r="TQ2" s="61"/>
      <c r="TR2" s="61"/>
      <c r="TS2" s="61"/>
      <c r="TT2" s="61"/>
      <c r="TU2" s="61"/>
      <c r="TV2" s="61"/>
      <c r="TW2" s="61"/>
      <c r="TX2" s="61"/>
      <c r="TY2" s="61"/>
      <c r="TZ2" s="61"/>
      <c r="UA2" s="61"/>
      <c r="UB2" s="61"/>
      <c r="UC2" s="61"/>
      <c r="UD2" s="61"/>
      <c r="UE2" s="61"/>
      <c r="UF2" s="61"/>
      <c r="UG2" s="61"/>
      <c r="UH2" s="61"/>
      <c r="UI2" s="61"/>
      <c r="UJ2" s="61"/>
      <c r="UK2" s="61"/>
      <c r="UL2" s="61"/>
      <c r="UM2" s="61"/>
      <c r="UN2" s="61"/>
      <c r="UO2" s="61"/>
      <c r="UP2" s="61"/>
      <c r="UQ2" s="61"/>
      <c r="UR2" s="61"/>
      <c r="US2" s="61"/>
      <c r="UT2" s="61"/>
      <c r="UU2" s="61"/>
      <c r="UV2" s="61"/>
      <c r="UW2" s="61"/>
      <c r="UX2" s="61"/>
      <c r="UY2" s="61"/>
      <c r="UZ2" s="61"/>
      <c r="VA2" s="61"/>
      <c r="VB2" s="61"/>
      <c r="VC2" s="61"/>
      <c r="VD2" s="61"/>
      <c r="VE2" s="61"/>
      <c r="VF2" s="61"/>
      <c r="VG2" s="61"/>
      <c r="VH2" s="61"/>
      <c r="VI2" s="61"/>
      <c r="VJ2" s="61"/>
      <c r="VK2" s="61"/>
      <c r="VL2" s="61"/>
      <c r="VM2" s="61"/>
      <c r="VN2" s="61"/>
      <c r="VO2" s="61"/>
      <c r="VP2" s="61"/>
      <c r="VQ2" s="61"/>
      <c r="VR2" s="61"/>
      <c r="VS2" s="61"/>
      <c r="VT2" s="61"/>
      <c r="VU2" s="61"/>
      <c r="VV2" s="61"/>
      <c r="VW2" s="61"/>
      <c r="VX2" s="61"/>
      <c r="VY2" s="61"/>
      <c r="VZ2" s="61"/>
      <c r="WA2" s="61"/>
      <c r="WB2" s="61"/>
      <c r="WC2" s="61"/>
      <c r="WD2" s="61"/>
      <c r="WE2" s="61"/>
      <c r="WF2" s="61"/>
      <c r="WG2" s="61"/>
      <c r="WH2" s="61"/>
      <c r="WI2" s="61"/>
      <c r="WJ2" s="61"/>
      <c r="WK2" s="61"/>
      <c r="WL2" s="61"/>
      <c r="WM2" s="61"/>
      <c r="WN2" s="61"/>
      <c r="WO2" s="61"/>
      <c r="WP2" s="61"/>
      <c r="WQ2" s="61"/>
      <c r="WR2" s="61"/>
      <c r="WS2" s="61"/>
      <c r="WT2" s="61"/>
      <c r="WU2" s="61"/>
      <c r="WV2" s="61"/>
      <c r="WW2" s="61"/>
      <c r="WX2" s="61"/>
      <c r="WY2" s="61"/>
      <c r="WZ2" s="61"/>
      <c r="XA2" s="61"/>
      <c r="XB2" s="61"/>
      <c r="XC2" s="61"/>
      <c r="XD2" s="61"/>
      <c r="XE2" s="61"/>
      <c r="XF2" s="61"/>
      <c r="XG2" s="61"/>
      <c r="XH2" s="61"/>
      <c r="XI2" s="61"/>
      <c r="XJ2" s="61"/>
      <c r="XK2" s="61"/>
      <c r="XL2" s="61"/>
      <c r="XM2" s="61"/>
      <c r="XN2" s="61"/>
      <c r="XO2" s="61"/>
      <c r="XP2" s="61"/>
      <c r="XQ2" s="61"/>
      <c r="XR2" s="61"/>
      <c r="XS2" s="61"/>
      <c r="XT2" s="61"/>
      <c r="XU2" s="61"/>
      <c r="XV2" s="61"/>
      <c r="XW2" s="61"/>
      <c r="XX2" s="61"/>
      <c r="XY2" s="61"/>
      <c r="XZ2" s="61"/>
      <c r="YA2" s="61"/>
      <c r="YB2" s="61"/>
      <c r="YC2" s="61"/>
      <c r="YD2" s="61"/>
      <c r="YE2" s="61"/>
      <c r="YF2" s="61"/>
      <c r="YG2" s="61"/>
      <c r="YH2" s="61"/>
      <c r="YI2" s="61"/>
      <c r="YJ2" s="61"/>
      <c r="YK2" s="61"/>
      <c r="YL2" s="61"/>
      <c r="YM2" s="61"/>
      <c r="YN2" s="61"/>
      <c r="YO2" s="61"/>
      <c r="YP2" s="61"/>
      <c r="YQ2" s="61"/>
      <c r="YR2" s="61"/>
      <c r="YS2" s="61"/>
      <c r="YT2" s="61"/>
      <c r="YU2" s="61"/>
      <c r="YV2" s="61"/>
      <c r="YW2" s="61"/>
      <c r="YX2" s="61"/>
      <c r="YY2" s="61"/>
      <c r="YZ2" s="61"/>
      <c r="ZA2" s="61"/>
      <c r="ZB2" s="61"/>
      <c r="ZC2" s="61"/>
      <c r="ZD2" s="61"/>
      <c r="ZE2" s="61"/>
      <c r="ZF2" s="61"/>
      <c r="ZG2" s="61"/>
      <c r="ZH2" s="61"/>
      <c r="ZI2" s="61"/>
      <c r="ZJ2" s="61"/>
      <c r="ZK2" s="61"/>
      <c r="ZL2" s="61"/>
      <c r="ZM2" s="61"/>
      <c r="ZN2" s="61"/>
      <c r="ZO2" s="61"/>
      <c r="ZP2" s="61"/>
      <c r="ZQ2" s="61"/>
      <c r="ZR2" s="61"/>
      <c r="ZS2" s="61"/>
      <c r="ZT2" s="61"/>
      <c r="ZU2" s="61"/>
      <c r="ZV2" s="61"/>
      <c r="ZW2" s="61"/>
      <c r="ZX2" s="61"/>
      <c r="ZY2" s="61"/>
      <c r="ZZ2" s="61"/>
      <c r="AAA2" s="61"/>
      <c r="AAB2" s="61"/>
      <c r="AAC2" s="61"/>
      <c r="AAD2" s="61"/>
      <c r="AAE2" s="61"/>
      <c r="AAF2" s="61"/>
      <c r="AAG2" s="61"/>
      <c r="AAH2" s="61"/>
      <c r="AAI2" s="61"/>
      <c r="AAJ2" s="61"/>
      <c r="AAK2" s="61"/>
      <c r="AAL2" s="61"/>
      <c r="AAM2" s="61"/>
      <c r="AAN2" s="61"/>
      <c r="AAO2" s="61"/>
      <c r="AAP2" s="61"/>
      <c r="AAQ2" s="61"/>
      <c r="AAR2" s="61"/>
      <c r="AAS2" s="61"/>
      <c r="AAT2" s="61"/>
      <c r="AAU2" s="61"/>
      <c r="AAV2" s="61"/>
      <c r="AAW2" s="61"/>
      <c r="AAX2" s="61"/>
      <c r="AAY2" s="61"/>
      <c r="AAZ2" s="61"/>
      <c r="ABA2" s="61"/>
      <c r="ABB2" s="61"/>
      <c r="ABC2" s="61"/>
      <c r="ABD2" s="61"/>
      <c r="ABE2" s="61"/>
      <c r="ABF2" s="61"/>
      <c r="ABG2" s="61"/>
      <c r="ABH2" s="61"/>
      <c r="ABI2" s="61"/>
      <c r="ABJ2" s="61"/>
      <c r="ABK2" s="61"/>
      <c r="ABL2" s="61"/>
      <c r="ABM2" s="61"/>
      <c r="ABN2" s="61"/>
      <c r="ABO2" s="61"/>
      <c r="ABP2" s="61"/>
      <c r="ABQ2" s="61"/>
      <c r="ABR2" s="61"/>
      <c r="ABS2" s="61"/>
      <c r="ABT2" s="61"/>
      <c r="ABU2" s="61"/>
      <c r="ABV2" s="61"/>
      <c r="ABW2" s="61"/>
      <c r="ABX2" s="61"/>
      <c r="ABY2" s="61"/>
      <c r="ABZ2" s="61"/>
      <c r="ACA2" s="61"/>
      <c r="ACB2" s="61"/>
      <c r="ACC2" s="61"/>
      <c r="ACD2" s="62"/>
    </row>
    <row r="3" spans="1:758" ht="224.4" customHeight="1" thickTop="1" thickBot="1">
      <c r="A3" s="60" t="s">
        <v>614</v>
      </c>
      <c r="B3" s="60" t="s">
        <v>615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  <c r="GR3" s="61"/>
      <c r="GS3" s="61"/>
      <c r="GT3" s="61"/>
      <c r="GU3" s="61"/>
      <c r="GV3" s="61"/>
      <c r="GW3" s="61"/>
      <c r="GX3" s="61"/>
      <c r="GY3" s="61"/>
      <c r="GZ3" s="61"/>
      <c r="HA3" s="61"/>
      <c r="HB3" s="61"/>
      <c r="HC3" s="61"/>
      <c r="HD3" s="61"/>
      <c r="HE3" s="61"/>
      <c r="HF3" s="61"/>
      <c r="HG3" s="61"/>
      <c r="HH3" s="61"/>
      <c r="HI3" s="61"/>
      <c r="HJ3" s="61"/>
      <c r="HK3" s="61"/>
      <c r="HL3" s="61"/>
      <c r="HM3" s="61"/>
      <c r="HN3" s="61"/>
      <c r="HO3" s="61"/>
      <c r="HP3" s="61"/>
      <c r="HQ3" s="61"/>
      <c r="HR3" s="61"/>
      <c r="HS3" s="61"/>
      <c r="HT3" s="61"/>
      <c r="HU3" s="61"/>
      <c r="HV3" s="61"/>
      <c r="HW3" s="61"/>
      <c r="HX3" s="61"/>
      <c r="HY3" s="61"/>
      <c r="HZ3" s="61"/>
      <c r="IA3" s="61"/>
      <c r="IB3" s="61"/>
      <c r="IC3" s="61"/>
      <c r="ID3" s="61"/>
      <c r="IE3" s="61"/>
      <c r="IF3" s="61"/>
      <c r="IG3" s="61"/>
      <c r="IH3" s="61"/>
      <c r="II3" s="61"/>
      <c r="IJ3" s="61"/>
      <c r="IK3" s="61"/>
      <c r="IL3" s="61"/>
      <c r="IM3" s="61"/>
      <c r="IN3" s="61"/>
      <c r="IO3" s="61"/>
      <c r="IP3" s="61"/>
      <c r="IQ3" s="61"/>
      <c r="IR3" s="61"/>
      <c r="IS3" s="61"/>
      <c r="IT3" s="61"/>
      <c r="IU3" s="61"/>
      <c r="IV3" s="61"/>
      <c r="IW3" s="61"/>
      <c r="IX3" s="61"/>
      <c r="IY3" s="61"/>
      <c r="IZ3" s="61"/>
      <c r="JA3" s="61"/>
      <c r="JB3" s="61"/>
      <c r="JC3" s="61"/>
      <c r="JD3" s="61"/>
      <c r="JE3" s="61"/>
      <c r="JF3" s="61"/>
      <c r="JG3" s="61"/>
      <c r="JH3" s="61"/>
      <c r="JI3" s="61"/>
      <c r="JJ3" s="61"/>
      <c r="JK3" s="61"/>
      <c r="JL3" s="61"/>
      <c r="JM3" s="61"/>
      <c r="JN3" s="61"/>
      <c r="JO3" s="61"/>
      <c r="JP3" s="713" t="s">
        <v>147</v>
      </c>
      <c r="JQ3" s="713"/>
      <c r="JR3" s="713"/>
      <c r="JS3" s="713"/>
      <c r="JT3" s="713"/>
      <c r="JU3" s="713"/>
      <c r="JV3" s="713"/>
      <c r="JW3" s="713"/>
      <c r="JX3" s="713"/>
      <c r="JY3" s="713"/>
      <c r="JZ3" s="713"/>
      <c r="KA3" s="713"/>
      <c r="KB3" s="713"/>
      <c r="KC3" s="713"/>
      <c r="KD3" s="713"/>
      <c r="KE3" s="713"/>
      <c r="KF3" s="713"/>
      <c r="KG3" s="713"/>
      <c r="KH3" s="713"/>
      <c r="KI3" s="713"/>
      <c r="KJ3" s="713"/>
      <c r="KK3" s="713"/>
      <c r="KL3" s="713"/>
      <c r="KM3" s="713"/>
      <c r="KN3" s="713"/>
      <c r="KO3" s="713"/>
      <c r="KP3" s="713"/>
      <c r="KQ3" s="713"/>
      <c r="KR3" s="713"/>
      <c r="KS3" s="713"/>
      <c r="KT3" s="713"/>
      <c r="KU3" s="713"/>
      <c r="KV3" s="717" t="s">
        <v>179</v>
      </c>
      <c r="KW3" s="717"/>
      <c r="KX3" s="717"/>
      <c r="KY3" s="717"/>
      <c r="KZ3" s="717"/>
      <c r="LA3" s="717"/>
      <c r="LB3" s="717"/>
      <c r="LC3" s="717"/>
      <c r="LD3" s="717"/>
      <c r="LE3" s="717"/>
      <c r="LF3" s="717"/>
      <c r="LG3" s="717"/>
      <c r="LH3" s="717"/>
      <c r="LI3" s="61"/>
      <c r="LJ3" s="714" t="s">
        <v>493</v>
      </c>
      <c r="LK3" s="714"/>
      <c r="LL3" s="714"/>
      <c r="LM3" s="714"/>
      <c r="LN3" s="714"/>
      <c r="LO3" s="714"/>
      <c r="LP3" s="727" t="s">
        <v>191</v>
      </c>
      <c r="LQ3" s="727"/>
      <c r="LR3" s="61"/>
      <c r="LS3" s="61"/>
      <c r="LT3" s="721" t="s">
        <v>194</v>
      </c>
      <c r="LU3" s="721"/>
      <c r="LV3" s="721"/>
      <c r="LW3" s="720" t="s">
        <v>196</v>
      </c>
      <c r="LX3" s="720"/>
      <c r="LY3" s="720"/>
      <c r="LZ3" s="720"/>
      <c r="MA3" s="720"/>
      <c r="MB3" s="720"/>
      <c r="MC3" s="720"/>
      <c r="MD3" s="720"/>
      <c r="ME3" s="720"/>
      <c r="MF3" s="720"/>
      <c r="MG3" s="720"/>
      <c r="MH3" s="720"/>
      <c r="MI3" s="720"/>
      <c r="MJ3" s="720"/>
      <c r="MK3" s="720"/>
      <c r="ML3" s="720"/>
      <c r="MM3" s="720"/>
      <c r="MN3" s="720"/>
      <c r="MO3" s="720"/>
      <c r="MP3" s="720"/>
      <c r="MQ3" s="720"/>
      <c r="MR3" s="720"/>
      <c r="MS3" s="720"/>
      <c r="MT3" s="720"/>
      <c r="MU3" s="720"/>
      <c r="MV3" s="720"/>
      <c r="MW3" s="720"/>
      <c r="MX3" s="720"/>
      <c r="MY3" s="720"/>
      <c r="MZ3" s="720"/>
      <c r="NA3" s="61"/>
      <c r="NB3" s="61"/>
      <c r="NC3" s="717" t="s">
        <v>205</v>
      </c>
      <c r="ND3" s="717"/>
      <c r="NE3" s="717"/>
      <c r="NF3" s="717"/>
      <c r="NG3" s="717"/>
      <c r="NH3" s="61"/>
      <c r="NI3" s="61"/>
      <c r="NJ3" s="732" t="s">
        <v>209</v>
      </c>
      <c r="NK3" s="732"/>
      <c r="NL3" s="732"/>
      <c r="NM3" s="729" t="s">
        <v>211</v>
      </c>
      <c r="NN3" s="729"/>
      <c r="NO3" s="729"/>
      <c r="NP3" s="729"/>
      <c r="NQ3" s="729"/>
      <c r="NR3" s="729"/>
      <c r="NS3" s="733" t="s">
        <v>216</v>
      </c>
      <c r="NT3" s="733"/>
      <c r="NU3" s="733"/>
      <c r="NV3" s="733"/>
      <c r="NW3" s="733"/>
      <c r="NX3" s="733"/>
      <c r="NY3" s="733"/>
      <c r="NZ3" s="733"/>
      <c r="OA3" s="733"/>
      <c r="OB3" s="733"/>
      <c r="OC3" s="733"/>
      <c r="OD3" s="733"/>
      <c r="OE3" s="733"/>
      <c r="OF3" s="733"/>
      <c r="OG3" s="733"/>
      <c r="OH3" s="733"/>
      <c r="OI3" s="733"/>
      <c r="OJ3" s="733"/>
      <c r="OK3" s="733"/>
      <c r="OL3" s="733"/>
      <c r="OM3" s="733"/>
      <c r="ON3" s="733"/>
      <c r="OO3" s="733"/>
      <c r="OP3" s="733"/>
      <c r="OQ3" s="733"/>
      <c r="OR3" s="733"/>
      <c r="OS3" s="733"/>
      <c r="OT3" s="733"/>
      <c r="OU3" s="733"/>
      <c r="OV3" s="733"/>
      <c r="OW3" s="733"/>
      <c r="OX3" s="733"/>
      <c r="OY3" s="733"/>
      <c r="OZ3" s="733"/>
      <c r="PA3" s="733"/>
      <c r="PB3" s="731" t="s">
        <v>224</v>
      </c>
      <c r="PC3" s="731"/>
      <c r="PD3" s="731"/>
      <c r="PE3" s="731"/>
      <c r="PF3" s="731"/>
      <c r="PG3" s="731"/>
      <c r="PH3" s="716" t="s">
        <v>496</v>
      </c>
      <c r="PI3" s="716"/>
      <c r="PJ3" s="716"/>
      <c r="PK3" s="716"/>
      <c r="PL3" s="716"/>
      <c r="PM3" s="716"/>
      <c r="PN3" s="716"/>
      <c r="PO3" s="716"/>
      <c r="PP3" s="716"/>
      <c r="PQ3" s="716"/>
      <c r="PR3" s="716"/>
      <c r="PS3" s="716"/>
      <c r="PT3" s="716"/>
      <c r="PU3" s="716"/>
      <c r="PV3" s="716"/>
      <c r="PW3" s="716"/>
      <c r="PX3" s="716"/>
      <c r="PY3" s="717" t="s">
        <v>236</v>
      </c>
      <c r="PZ3" s="717"/>
      <c r="QA3" s="717"/>
      <c r="QB3" s="717"/>
      <c r="QC3" s="717"/>
      <c r="QD3" s="717"/>
      <c r="QE3" s="717"/>
      <c r="QF3" s="718" t="s">
        <v>240</v>
      </c>
      <c r="QG3" s="718"/>
      <c r="QH3" s="718"/>
      <c r="QI3" s="718"/>
      <c r="QJ3" s="718"/>
      <c r="QK3" s="718"/>
      <c r="QL3" s="718"/>
      <c r="QM3" s="718"/>
      <c r="QN3" s="718"/>
      <c r="QO3" s="718"/>
      <c r="QP3" s="718"/>
      <c r="QQ3" s="718"/>
      <c r="QR3" s="718"/>
      <c r="QS3" s="718"/>
      <c r="QT3" s="718"/>
      <c r="QU3" s="718"/>
      <c r="QV3" s="718"/>
      <c r="QW3" s="718"/>
      <c r="QX3" s="718"/>
      <c r="QY3" s="718"/>
      <c r="QZ3" s="718"/>
      <c r="RA3" s="718"/>
      <c r="RB3" s="718"/>
      <c r="RC3" s="718"/>
      <c r="RD3" s="718"/>
      <c r="RE3" s="718"/>
      <c r="RF3" s="718"/>
      <c r="RG3" s="718"/>
      <c r="RH3" s="718"/>
      <c r="RI3" s="61"/>
      <c r="RJ3" s="61"/>
      <c r="RK3" s="718" t="s">
        <v>249</v>
      </c>
      <c r="RL3" s="718"/>
      <c r="RM3" s="718"/>
      <c r="RN3" s="718"/>
      <c r="RO3" s="718"/>
      <c r="RP3" s="718"/>
      <c r="RQ3" s="718"/>
      <c r="RR3" s="718"/>
      <c r="RS3" s="718"/>
      <c r="RT3" s="718"/>
      <c r="RU3" s="718"/>
      <c r="RV3" s="718"/>
      <c r="RW3" s="718"/>
      <c r="RX3" s="718"/>
      <c r="RY3" s="718"/>
      <c r="RZ3" s="718"/>
      <c r="SA3" s="718"/>
      <c r="SB3" s="718"/>
      <c r="SC3" s="718"/>
      <c r="SD3" s="718"/>
      <c r="SE3" s="718"/>
      <c r="SF3" s="718"/>
      <c r="SG3" s="61"/>
      <c r="SH3" s="61"/>
      <c r="SI3" s="61"/>
      <c r="SJ3" s="715" t="s">
        <v>499</v>
      </c>
      <c r="SK3" s="715"/>
      <c r="SL3" s="715"/>
      <c r="SM3" s="715"/>
      <c r="SN3" s="715"/>
      <c r="SO3" s="715"/>
      <c r="SP3" s="715"/>
      <c r="SQ3" s="715"/>
      <c r="SR3" s="715"/>
      <c r="SS3" s="715"/>
      <c r="ST3" s="715"/>
      <c r="SU3" s="715"/>
      <c r="SV3" s="715"/>
      <c r="SW3" s="715"/>
      <c r="SX3" s="715"/>
      <c r="SY3" s="715"/>
      <c r="SZ3" s="715"/>
      <c r="TA3" s="715"/>
      <c r="TB3" s="715"/>
      <c r="TC3" s="715"/>
      <c r="TD3" s="715"/>
      <c r="TE3" s="715"/>
      <c r="TF3" s="715"/>
      <c r="TG3" s="715"/>
      <c r="TH3" s="715"/>
      <c r="TI3" s="715"/>
      <c r="TJ3" s="715"/>
      <c r="TK3" s="715"/>
      <c r="TL3" s="715"/>
      <c r="TM3" s="715"/>
      <c r="TN3" s="715"/>
      <c r="TO3" s="715"/>
      <c r="TP3" s="715"/>
      <c r="TQ3" s="715"/>
      <c r="TR3" s="715"/>
      <c r="TS3" s="715"/>
      <c r="TT3" s="715"/>
      <c r="TU3" s="715"/>
      <c r="TV3" s="715"/>
      <c r="TW3" s="715"/>
      <c r="TX3" s="715"/>
      <c r="TY3" s="715"/>
      <c r="TZ3" s="715"/>
      <c r="UA3" s="715"/>
      <c r="UB3" s="715"/>
      <c r="UC3" s="715"/>
      <c r="UD3" s="715"/>
      <c r="UE3" s="715"/>
      <c r="UF3" s="715"/>
      <c r="UG3" s="715"/>
      <c r="UH3" s="715"/>
      <c r="UI3" s="715"/>
      <c r="UJ3" s="715"/>
      <c r="UK3" s="715"/>
      <c r="UL3" s="715"/>
      <c r="UM3" s="715"/>
      <c r="UN3" s="715"/>
      <c r="UO3" s="715"/>
      <c r="UP3" s="715"/>
      <c r="UQ3" s="715"/>
      <c r="UR3" s="715"/>
      <c r="US3" s="715"/>
      <c r="UT3" s="715"/>
      <c r="UU3" s="715"/>
      <c r="UV3" s="715"/>
      <c r="UW3" s="715"/>
      <c r="UX3" s="715"/>
      <c r="UY3" s="715"/>
      <c r="UZ3" s="715"/>
      <c r="VA3" s="715"/>
      <c r="VB3" s="715"/>
      <c r="VC3" s="715"/>
      <c r="VD3" s="715"/>
      <c r="VE3" s="715"/>
      <c r="VF3" s="715"/>
      <c r="VG3" s="715"/>
      <c r="VH3" s="715"/>
      <c r="VI3" s="715"/>
      <c r="VJ3" s="715"/>
      <c r="VK3" s="715"/>
      <c r="VL3" s="715"/>
      <c r="VM3" s="715"/>
      <c r="VN3" s="715"/>
      <c r="VO3" s="715"/>
      <c r="VP3" s="715"/>
      <c r="VQ3" s="715"/>
      <c r="VR3" s="715"/>
      <c r="VS3" s="715"/>
      <c r="VT3" s="715"/>
      <c r="VU3" s="61"/>
      <c r="VV3" s="61"/>
      <c r="VW3" s="61"/>
      <c r="VX3" s="61"/>
      <c r="VY3" s="61"/>
      <c r="VZ3" s="61"/>
      <c r="WA3" s="61"/>
      <c r="WB3" s="61"/>
      <c r="WC3" s="61"/>
      <c r="WD3" s="61"/>
      <c r="WE3" s="61"/>
      <c r="WF3" s="61"/>
      <c r="WG3" s="61"/>
      <c r="WH3" s="61"/>
      <c r="WI3" s="61"/>
      <c r="WJ3" s="61"/>
      <c r="WK3" s="61"/>
      <c r="WL3" s="61"/>
      <c r="WM3" s="61"/>
      <c r="WN3" s="61"/>
      <c r="WO3" s="61"/>
      <c r="WP3" s="61"/>
      <c r="WQ3" s="61"/>
      <c r="WR3" s="61"/>
      <c r="WS3" s="61"/>
      <c r="WT3" s="61"/>
      <c r="WU3" s="61"/>
      <c r="WV3" s="61"/>
      <c r="WW3" s="61"/>
      <c r="WX3" s="61"/>
      <c r="WY3" s="61"/>
      <c r="WZ3" s="61"/>
      <c r="XA3" s="61"/>
      <c r="XB3" s="61"/>
      <c r="XC3" s="61"/>
      <c r="XD3" s="61"/>
      <c r="XE3" s="61"/>
      <c r="XF3" s="61"/>
      <c r="XG3" s="61"/>
      <c r="XH3" s="61"/>
      <c r="XI3" s="61"/>
      <c r="XJ3" s="61"/>
      <c r="XK3" s="61"/>
      <c r="XL3" s="61"/>
      <c r="XM3" s="61"/>
      <c r="XN3" s="61"/>
      <c r="XO3" s="61"/>
      <c r="XP3" s="61"/>
      <c r="XQ3" s="61"/>
      <c r="XR3" s="61"/>
      <c r="XS3" s="61"/>
      <c r="XT3" s="61"/>
      <c r="XU3" s="61"/>
      <c r="XV3" s="61"/>
      <c r="XW3" s="61"/>
      <c r="XX3" s="61"/>
      <c r="XY3" s="61"/>
      <c r="XZ3" s="61"/>
      <c r="YA3" s="61"/>
      <c r="YB3" s="61"/>
      <c r="YC3" s="61"/>
      <c r="YD3" s="61"/>
      <c r="YE3" s="61"/>
      <c r="YF3" s="61"/>
      <c r="YG3" s="61"/>
      <c r="YH3" s="61"/>
      <c r="YI3" s="61"/>
      <c r="YJ3" s="61"/>
      <c r="YK3" s="61"/>
      <c r="YL3" s="61"/>
      <c r="YM3" s="61"/>
      <c r="YN3" s="61"/>
      <c r="YO3" s="61"/>
      <c r="YP3" s="61"/>
      <c r="YQ3" s="61"/>
      <c r="YR3" s="61"/>
      <c r="YS3" s="61"/>
      <c r="YT3" s="61"/>
      <c r="YU3" s="61"/>
      <c r="YV3" s="61"/>
      <c r="YW3" s="61"/>
      <c r="YX3" s="61"/>
      <c r="YY3" s="61"/>
      <c r="YZ3" s="61"/>
      <c r="ZA3" s="61"/>
      <c r="ZB3" s="61"/>
      <c r="ZC3" s="61"/>
      <c r="ZD3" s="61"/>
      <c r="ZE3" s="61"/>
      <c r="ZF3" s="61"/>
      <c r="ZG3" s="61"/>
      <c r="ZH3" s="61"/>
      <c r="ZI3" s="61"/>
      <c r="ZJ3" s="61"/>
      <c r="ZK3" s="61"/>
      <c r="ZL3" s="61"/>
      <c r="ZM3" s="61"/>
      <c r="ZN3" s="61"/>
      <c r="ZO3" s="61"/>
      <c r="ZP3" s="61"/>
      <c r="ZQ3" s="61"/>
      <c r="ZR3" s="61"/>
      <c r="ZS3" s="61"/>
      <c r="ZT3" s="61"/>
      <c r="ZU3" s="61"/>
      <c r="ZV3" s="61"/>
      <c r="ZW3" s="61"/>
      <c r="ZX3" s="61"/>
      <c r="ZY3" s="61"/>
      <c r="ZZ3" s="61"/>
      <c r="AAA3" s="61"/>
      <c r="AAB3" s="61"/>
      <c r="AAC3" s="61"/>
      <c r="AAD3" s="61"/>
      <c r="AAE3" s="61"/>
      <c r="AAF3" s="61"/>
      <c r="AAG3" s="61"/>
      <c r="AAH3" s="61"/>
      <c r="AAI3" s="61"/>
      <c r="AAJ3" s="61"/>
      <c r="AAK3" s="61"/>
      <c r="AAL3" s="61"/>
      <c r="AAM3" s="61"/>
      <c r="AAN3" s="61"/>
      <c r="AAO3" s="61"/>
      <c r="AAP3" s="61"/>
      <c r="AAQ3" s="61"/>
      <c r="AAR3" s="61"/>
      <c r="AAS3" s="61"/>
      <c r="AAT3" s="61"/>
      <c r="AAU3" s="61"/>
      <c r="AAV3" s="61"/>
      <c r="AAW3" s="61"/>
      <c r="AAX3" s="61"/>
      <c r="AAY3" s="61"/>
      <c r="AAZ3" s="61"/>
      <c r="ABA3" s="61"/>
      <c r="ABB3" s="61"/>
      <c r="ABC3" s="61"/>
      <c r="ABD3" s="61"/>
      <c r="ABE3" s="61"/>
      <c r="ABF3" s="61"/>
      <c r="ABG3" s="61"/>
      <c r="ABH3" s="61"/>
      <c r="ABI3" s="61"/>
      <c r="ABJ3" s="61"/>
      <c r="ABK3" s="61"/>
      <c r="ABL3" s="61"/>
      <c r="ABM3" s="61"/>
      <c r="ABN3" s="61"/>
      <c r="ABO3" s="61"/>
      <c r="ABP3" s="61"/>
      <c r="ABQ3" s="61"/>
      <c r="ABR3" s="61"/>
      <c r="ABS3" s="61"/>
      <c r="ABT3" s="61"/>
      <c r="ABU3" s="61"/>
      <c r="ABV3" s="61"/>
      <c r="ABW3" s="61"/>
      <c r="ABX3" s="61"/>
      <c r="ABY3" s="61"/>
      <c r="ABZ3" s="61"/>
      <c r="ACA3" s="61"/>
      <c r="ACB3" s="61"/>
      <c r="ACC3" s="61"/>
      <c r="ACD3" s="62"/>
    </row>
    <row r="4" spans="1:758" ht="224.4" customHeight="1" thickTop="1" thickBot="1">
      <c r="A4" s="60" t="s">
        <v>614</v>
      </c>
      <c r="B4" s="60" t="s">
        <v>616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  <c r="GR4" s="61"/>
      <c r="GS4" s="61"/>
      <c r="GT4" s="61"/>
      <c r="GU4" s="61"/>
      <c r="GV4" s="61"/>
      <c r="GW4" s="61"/>
      <c r="GX4" s="61"/>
      <c r="GY4" s="61"/>
      <c r="GZ4" s="61"/>
      <c r="HA4" s="61"/>
      <c r="HB4" s="61"/>
      <c r="HC4" s="61"/>
      <c r="HD4" s="61"/>
      <c r="HE4" s="61"/>
      <c r="HF4" s="61"/>
      <c r="HG4" s="61"/>
      <c r="HH4" s="61"/>
      <c r="HI4" s="61"/>
      <c r="HJ4" s="61"/>
      <c r="HK4" s="61"/>
      <c r="HL4" s="61"/>
      <c r="HM4" s="61"/>
      <c r="HN4" s="61"/>
      <c r="HO4" s="61"/>
      <c r="HP4" s="61"/>
      <c r="HQ4" s="61"/>
      <c r="HR4" s="61"/>
      <c r="HS4" s="61"/>
      <c r="HT4" s="61"/>
      <c r="HU4" s="61"/>
      <c r="HV4" s="61"/>
      <c r="HW4" s="61"/>
      <c r="HX4" s="61"/>
      <c r="HY4" s="61"/>
      <c r="HZ4" s="61"/>
      <c r="IA4" s="61"/>
      <c r="IB4" s="61"/>
      <c r="IC4" s="61"/>
      <c r="ID4" s="61"/>
      <c r="IE4" s="61"/>
      <c r="IF4" s="61"/>
      <c r="IG4" s="61"/>
      <c r="IH4" s="61"/>
      <c r="II4" s="61"/>
      <c r="IJ4" s="61"/>
      <c r="IK4" s="61"/>
      <c r="IL4" s="61"/>
      <c r="IM4" s="61"/>
      <c r="IN4" s="61"/>
      <c r="IO4" s="61"/>
      <c r="IP4" s="61"/>
      <c r="IQ4" s="61"/>
      <c r="IR4" s="61"/>
      <c r="IS4" s="61"/>
      <c r="IT4" s="61"/>
      <c r="IU4" s="61"/>
      <c r="IV4" s="61"/>
      <c r="IW4" s="61"/>
      <c r="IX4" s="61"/>
      <c r="IY4" s="61"/>
      <c r="IZ4" s="61"/>
      <c r="JA4" s="61"/>
      <c r="JB4" s="61"/>
      <c r="JC4" s="61"/>
      <c r="JD4" s="61"/>
      <c r="JE4" s="61"/>
      <c r="JF4" s="61"/>
      <c r="JG4" s="61"/>
      <c r="JH4" s="61"/>
      <c r="JI4" s="61"/>
      <c r="JJ4" s="61"/>
      <c r="JK4" s="61"/>
      <c r="JL4" s="61"/>
      <c r="JM4" s="61"/>
      <c r="JN4" s="61"/>
      <c r="JO4" s="61"/>
      <c r="JP4" s="61"/>
      <c r="JQ4" s="61"/>
      <c r="JR4" s="61"/>
      <c r="JS4" s="61"/>
      <c r="JT4" s="61"/>
      <c r="JU4" s="61"/>
      <c r="JV4" s="61"/>
      <c r="JW4" s="61"/>
      <c r="JX4" s="61"/>
      <c r="JY4" s="61"/>
      <c r="JZ4" s="61"/>
      <c r="KA4" s="61"/>
      <c r="KB4" s="61"/>
      <c r="KC4" s="61"/>
      <c r="KD4" s="713" t="s">
        <v>147</v>
      </c>
      <c r="KE4" s="713"/>
      <c r="KF4" s="713"/>
      <c r="KG4" s="713"/>
      <c r="KH4" s="713"/>
      <c r="KI4" s="713"/>
      <c r="KJ4" s="713"/>
      <c r="KK4" s="713"/>
      <c r="KL4" s="713"/>
      <c r="KM4" s="713"/>
      <c r="KN4" s="713"/>
      <c r="KO4" s="721" t="s">
        <v>154</v>
      </c>
      <c r="KP4" s="721"/>
      <c r="KQ4" s="721"/>
      <c r="KR4" s="721"/>
      <c r="KS4" s="721"/>
      <c r="KT4" s="727" t="s">
        <v>280</v>
      </c>
      <c r="KU4" s="727"/>
      <c r="KV4" s="727"/>
      <c r="KW4" s="727"/>
      <c r="KX4" s="727"/>
      <c r="KY4" s="727"/>
      <c r="KZ4" s="727"/>
      <c r="LA4" s="727"/>
      <c r="LB4" s="727"/>
      <c r="LC4" s="730" t="s">
        <v>283</v>
      </c>
      <c r="LD4" s="730"/>
      <c r="LE4" s="730"/>
      <c r="LF4" s="730"/>
      <c r="LG4" s="730"/>
      <c r="LH4" s="730"/>
      <c r="LI4" s="730"/>
      <c r="LJ4" s="730"/>
      <c r="LK4" s="730"/>
      <c r="LL4" s="730"/>
      <c r="LM4" s="730"/>
      <c r="LN4" s="730"/>
      <c r="LO4" s="730"/>
      <c r="LP4" s="730"/>
      <c r="LQ4" s="730"/>
      <c r="LR4" s="730"/>
      <c r="LS4" s="730"/>
      <c r="LT4" s="730"/>
      <c r="LU4" s="717" t="s">
        <v>292</v>
      </c>
      <c r="LV4" s="717"/>
      <c r="LW4" s="717"/>
      <c r="LX4" s="717"/>
      <c r="LY4" s="717"/>
      <c r="LZ4" s="717"/>
      <c r="MA4" s="717"/>
      <c r="MB4" s="731" t="s">
        <v>606</v>
      </c>
      <c r="MC4" s="731"/>
      <c r="MD4" s="731"/>
      <c r="ME4" s="731"/>
      <c r="MF4" s="726" t="s">
        <v>294</v>
      </c>
      <c r="MG4" s="726"/>
      <c r="MH4" s="726"/>
      <c r="MI4" s="726"/>
      <c r="MJ4" s="726"/>
      <c r="MK4" s="726"/>
      <c r="ML4" s="726"/>
      <c r="MM4" s="61"/>
      <c r="MN4" s="61"/>
      <c r="MO4" s="61"/>
      <c r="MP4" s="727" t="s">
        <v>300</v>
      </c>
      <c r="MQ4" s="727"/>
      <c r="MR4" s="727"/>
      <c r="MS4" s="714" t="s">
        <v>184</v>
      </c>
      <c r="MT4" s="714"/>
      <c r="MU4" s="714"/>
      <c r="MV4" s="714"/>
      <c r="MW4" s="719" t="s">
        <v>500</v>
      </c>
      <c r="MX4" s="719"/>
      <c r="MY4" s="719"/>
      <c r="MZ4" s="719"/>
      <c r="NA4" s="719"/>
      <c r="NB4" s="719"/>
      <c r="NC4" s="719"/>
      <c r="ND4" s="719"/>
      <c r="NE4" s="719"/>
      <c r="NF4" s="728" t="s">
        <v>315</v>
      </c>
      <c r="NG4" s="728"/>
      <c r="NH4" s="728"/>
      <c r="NI4" s="728"/>
      <c r="NJ4" s="728"/>
      <c r="NK4" s="728"/>
      <c r="NL4" s="728"/>
      <c r="NM4" s="729" t="s">
        <v>605</v>
      </c>
      <c r="NN4" s="729"/>
      <c r="NO4" s="729"/>
      <c r="NP4" s="729"/>
      <c r="NQ4" s="729"/>
      <c r="NR4" s="729"/>
      <c r="NS4" s="729"/>
      <c r="NT4" s="733" t="s">
        <v>327</v>
      </c>
      <c r="NU4" s="733"/>
      <c r="NV4" s="733"/>
      <c r="NW4" s="733"/>
      <c r="NX4" s="733"/>
      <c r="NY4" s="733"/>
      <c r="NZ4" s="733"/>
      <c r="OA4" s="733"/>
      <c r="OB4" s="733"/>
      <c r="OC4" s="733"/>
      <c r="OD4" s="733"/>
      <c r="OE4" s="733"/>
      <c r="OF4" s="733"/>
      <c r="OG4" s="733"/>
      <c r="OH4" s="733"/>
      <c r="OI4" s="733"/>
      <c r="OJ4" s="733"/>
      <c r="OK4" s="733"/>
      <c r="OL4" s="733"/>
      <c r="OM4" s="733"/>
      <c r="ON4" s="733"/>
      <c r="OO4" s="733"/>
      <c r="OP4" s="733"/>
      <c r="OQ4" s="733"/>
      <c r="OR4" s="733"/>
      <c r="OS4" s="733"/>
      <c r="OT4" s="733"/>
      <c r="OU4" s="733"/>
      <c r="OV4" s="733"/>
      <c r="OW4" s="733"/>
      <c r="OX4" s="61"/>
      <c r="OY4" s="61"/>
      <c r="OZ4" s="731" t="s">
        <v>338</v>
      </c>
      <c r="PA4" s="731"/>
      <c r="PB4" s="731"/>
      <c r="PC4" s="731"/>
      <c r="PD4" s="731"/>
      <c r="PE4" s="731"/>
      <c r="PF4" s="731"/>
      <c r="PG4" s="731"/>
      <c r="PH4" s="731"/>
      <c r="PI4" s="731"/>
      <c r="PJ4" s="731"/>
      <c r="PK4" s="724" t="s">
        <v>607</v>
      </c>
      <c r="PL4" s="724"/>
      <c r="PM4" s="724"/>
      <c r="PN4" s="724"/>
      <c r="PO4" s="724"/>
      <c r="PP4" s="724"/>
      <c r="PQ4" s="724"/>
      <c r="PR4" s="724"/>
      <c r="PS4" s="724"/>
      <c r="PT4" s="724"/>
      <c r="PU4" s="724"/>
      <c r="PV4" s="724"/>
      <c r="PW4" s="724"/>
      <c r="PX4" s="724"/>
      <c r="PY4" s="724"/>
      <c r="PZ4" s="724"/>
      <c r="QA4" s="724"/>
      <c r="QB4" s="724"/>
      <c r="QC4" s="724"/>
      <c r="QD4" s="724"/>
      <c r="QE4" s="724"/>
      <c r="QF4" s="724"/>
      <c r="QG4" s="724"/>
      <c r="QH4" s="724"/>
      <c r="QI4" s="724"/>
      <c r="QJ4" s="724"/>
      <c r="QK4" s="724"/>
      <c r="QL4" s="724"/>
      <c r="QM4" s="724"/>
      <c r="QN4" s="724"/>
      <c r="QO4" s="724"/>
      <c r="QP4" s="724"/>
      <c r="QQ4" s="724"/>
      <c r="QR4" s="724"/>
      <c r="QS4" s="724"/>
      <c r="QT4" s="724"/>
      <c r="QU4" s="718" t="s">
        <v>240</v>
      </c>
      <c r="QV4" s="718"/>
      <c r="QW4" s="718"/>
      <c r="QX4" s="718"/>
      <c r="QY4" s="718"/>
      <c r="QZ4" s="718"/>
      <c r="RA4" s="718"/>
      <c r="RB4" s="718"/>
      <c r="RC4" s="718"/>
      <c r="RD4" s="718"/>
      <c r="RE4" s="718"/>
      <c r="RF4" s="718"/>
      <c r="RG4" s="718"/>
      <c r="RH4" s="718"/>
      <c r="RI4" s="718"/>
      <c r="RJ4" s="718" t="s">
        <v>249</v>
      </c>
      <c r="RK4" s="718"/>
      <c r="RL4" s="718"/>
      <c r="RM4" s="718"/>
      <c r="RN4" s="718"/>
      <c r="RO4" s="718"/>
      <c r="RP4" s="718"/>
      <c r="RQ4" s="718"/>
      <c r="RR4" s="718"/>
      <c r="RS4" s="718"/>
      <c r="RT4" s="718"/>
      <c r="RU4" s="718"/>
      <c r="RV4" s="718"/>
      <c r="RW4" s="718"/>
      <c r="RX4" s="718"/>
      <c r="RY4" s="718"/>
      <c r="RZ4" s="718"/>
      <c r="SA4" s="718"/>
      <c r="SB4" s="718"/>
      <c r="SC4" s="718"/>
      <c r="SD4" s="718"/>
      <c r="SE4" s="718"/>
      <c r="SF4" s="718"/>
      <c r="SG4" s="718"/>
      <c r="SH4" s="718"/>
      <c r="SI4" s="61"/>
      <c r="SJ4" s="725" t="s">
        <v>604</v>
      </c>
      <c r="SK4" s="725"/>
      <c r="SL4" s="725"/>
      <c r="SM4" s="725"/>
      <c r="SN4" s="725"/>
      <c r="SO4" s="725"/>
      <c r="SP4" s="725"/>
      <c r="SQ4" s="725"/>
      <c r="SR4" s="725"/>
      <c r="SS4" s="725"/>
      <c r="ST4" s="725"/>
      <c r="SU4" s="725"/>
      <c r="SV4" s="725"/>
      <c r="SW4" s="725"/>
      <c r="SX4" s="725"/>
      <c r="SY4" s="725"/>
      <c r="SZ4" s="725"/>
      <c r="TA4" s="725"/>
      <c r="TB4" s="725"/>
      <c r="TC4" s="725"/>
      <c r="TD4" s="725"/>
      <c r="TE4" s="725"/>
      <c r="TF4" s="725"/>
      <c r="TG4" s="725"/>
      <c r="TH4" s="725"/>
      <c r="TI4" s="725"/>
      <c r="TJ4" s="725"/>
      <c r="TK4" s="725"/>
      <c r="TL4" s="725"/>
      <c r="TM4" s="725"/>
      <c r="TN4" s="725"/>
      <c r="TO4" s="725"/>
      <c r="TP4" s="725"/>
      <c r="TQ4" s="725"/>
      <c r="TR4" s="725"/>
      <c r="TS4" s="725"/>
      <c r="TT4" s="61"/>
      <c r="TU4" s="61"/>
      <c r="TV4" s="61"/>
      <c r="TW4" s="61"/>
      <c r="TX4" s="61"/>
      <c r="TY4" s="61"/>
      <c r="TZ4" s="61"/>
      <c r="UA4" s="61"/>
      <c r="UB4" s="61"/>
      <c r="UC4" s="61"/>
      <c r="UD4" s="61"/>
      <c r="UE4" s="61"/>
      <c r="UF4" s="61"/>
      <c r="UG4" s="61"/>
      <c r="UH4" s="61"/>
      <c r="UI4" s="61"/>
      <c r="UJ4" s="61"/>
      <c r="UK4" s="61"/>
      <c r="UL4" s="61"/>
      <c r="UM4" s="61"/>
      <c r="UN4" s="61"/>
      <c r="UO4" s="61"/>
      <c r="UP4" s="61"/>
      <c r="UQ4" s="61"/>
      <c r="UR4" s="61"/>
      <c r="US4" s="61"/>
      <c r="UT4" s="61"/>
      <c r="UU4" s="61"/>
      <c r="UV4" s="61"/>
      <c r="UW4" s="61"/>
      <c r="UX4" s="61"/>
      <c r="UY4" s="61"/>
      <c r="UZ4" s="61"/>
      <c r="VA4" s="61"/>
      <c r="VB4" s="61"/>
      <c r="VC4" s="61"/>
      <c r="VD4" s="61"/>
      <c r="VE4" s="61"/>
      <c r="VF4" s="61"/>
      <c r="VG4" s="61"/>
      <c r="VH4" s="61"/>
      <c r="VI4" s="61"/>
      <c r="VJ4" s="61"/>
      <c r="VK4" s="61"/>
      <c r="VL4" s="61"/>
      <c r="VM4" s="61"/>
      <c r="VN4" s="61"/>
      <c r="VO4" s="61"/>
      <c r="VP4" s="61"/>
      <c r="VQ4" s="61"/>
      <c r="VR4" s="61"/>
      <c r="VS4" s="61"/>
      <c r="VT4" s="61"/>
      <c r="VU4" s="61"/>
      <c r="VV4" s="61"/>
      <c r="VW4" s="61"/>
      <c r="VX4" s="61"/>
      <c r="VY4" s="61"/>
      <c r="VZ4" s="61"/>
      <c r="WA4" s="61"/>
      <c r="WB4" s="61"/>
      <c r="WC4" s="61"/>
      <c r="WD4" s="61"/>
      <c r="WE4" s="61"/>
      <c r="WF4" s="61"/>
      <c r="WG4" s="61"/>
      <c r="WH4" s="61"/>
      <c r="WI4" s="61"/>
      <c r="WJ4" s="61"/>
      <c r="WK4" s="61"/>
      <c r="WL4" s="61"/>
      <c r="WM4" s="61"/>
      <c r="WN4" s="61"/>
      <c r="WO4" s="61"/>
      <c r="WP4" s="61"/>
      <c r="WQ4" s="61"/>
      <c r="WR4" s="61"/>
      <c r="WS4" s="61"/>
      <c r="WT4" s="61"/>
      <c r="WU4" s="61"/>
      <c r="WV4" s="61"/>
      <c r="WW4" s="61"/>
      <c r="WX4" s="61"/>
      <c r="WY4" s="61"/>
      <c r="WZ4" s="61"/>
      <c r="XA4" s="61"/>
      <c r="XB4" s="61"/>
      <c r="XC4" s="61"/>
      <c r="XD4" s="61"/>
      <c r="XE4" s="61"/>
      <c r="XF4" s="61"/>
      <c r="XG4" s="61"/>
      <c r="XH4" s="61"/>
      <c r="XI4" s="61"/>
      <c r="XJ4" s="61"/>
      <c r="XK4" s="61"/>
      <c r="XL4" s="61"/>
      <c r="XM4" s="61"/>
      <c r="XN4" s="61"/>
      <c r="XO4" s="61"/>
      <c r="XP4" s="61"/>
      <c r="XQ4" s="61"/>
      <c r="XR4" s="61"/>
      <c r="XS4" s="61"/>
      <c r="XT4" s="61"/>
      <c r="XU4" s="61"/>
      <c r="XV4" s="61"/>
      <c r="XW4" s="61"/>
      <c r="XX4" s="61"/>
      <c r="XY4" s="61"/>
      <c r="XZ4" s="61"/>
      <c r="YA4" s="61"/>
      <c r="YB4" s="61"/>
      <c r="YC4" s="61"/>
      <c r="YD4" s="61"/>
      <c r="YE4" s="61"/>
      <c r="YF4" s="61"/>
      <c r="YG4" s="61"/>
      <c r="YH4" s="61"/>
      <c r="YI4" s="61"/>
      <c r="YJ4" s="61"/>
      <c r="YK4" s="61"/>
      <c r="YL4" s="61"/>
      <c r="YM4" s="61"/>
      <c r="YN4" s="61"/>
      <c r="YO4" s="61"/>
      <c r="YP4" s="61"/>
      <c r="YQ4" s="61"/>
      <c r="YR4" s="61"/>
      <c r="YS4" s="61"/>
      <c r="YT4" s="61"/>
      <c r="YU4" s="61"/>
      <c r="YV4" s="61"/>
      <c r="YW4" s="61"/>
      <c r="YX4" s="61"/>
      <c r="YY4" s="61"/>
      <c r="YZ4" s="61"/>
      <c r="ZA4" s="61"/>
      <c r="ZB4" s="61"/>
      <c r="ZC4" s="61"/>
      <c r="ZD4" s="61"/>
      <c r="ZE4" s="61"/>
      <c r="ZF4" s="61"/>
      <c r="ZG4" s="61"/>
      <c r="ZH4" s="61"/>
      <c r="ZI4" s="61"/>
      <c r="ZJ4" s="61"/>
      <c r="ZK4" s="61"/>
      <c r="ZL4" s="61"/>
      <c r="ZM4" s="61"/>
      <c r="ZN4" s="61"/>
      <c r="ZO4" s="61"/>
      <c r="ZP4" s="61"/>
      <c r="ZQ4" s="61"/>
      <c r="ZR4" s="61"/>
      <c r="ZS4" s="61"/>
      <c r="ZT4" s="61"/>
      <c r="ZU4" s="61"/>
      <c r="ZV4" s="61"/>
      <c r="ZW4" s="61"/>
      <c r="ZX4" s="61"/>
      <c r="ZY4" s="61"/>
      <c r="ZZ4" s="61"/>
      <c r="AAA4" s="61"/>
      <c r="AAB4" s="61"/>
      <c r="AAC4" s="61"/>
      <c r="AAD4" s="61"/>
      <c r="AAE4" s="61"/>
      <c r="AAF4" s="61"/>
      <c r="AAG4" s="61"/>
      <c r="AAH4" s="61"/>
      <c r="AAI4" s="61"/>
      <c r="AAJ4" s="61"/>
      <c r="AAK4" s="61"/>
      <c r="AAL4" s="61"/>
      <c r="AAM4" s="61"/>
      <c r="AAN4" s="61"/>
      <c r="AAO4" s="61"/>
      <c r="AAP4" s="61"/>
      <c r="AAQ4" s="61"/>
      <c r="AAR4" s="61"/>
      <c r="AAS4" s="61"/>
      <c r="AAT4" s="61"/>
      <c r="AAU4" s="61"/>
      <c r="AAV4" s="61"/>
      <c r="AAW4" s="61"/>
      <c r="AAX4" s="61"/>
      <c r="AAY4" s="61"/>
      <c r="AAZ4" s="61"/>
      <c r="ABA4" s="61"/>
      <c r="ABB4" s="61"/>
      <c r="ABC4" s="61"/>
      <c r="ABD4" s="61"/>
      <c r="ABE4" s="61"/>
      <c r="ABF4" s="61"/>
      <c r="ABG4" s="61"/>
      <c r="ABH4" s="61"/>
      <c r="ABI4" s="61"/>
      <c r="ABJ4" s="61"/>
      <c r="ABK4" s="61"/>
      <c r="ABL4" s="61"/>
      <c r="ABM4" s="61"/>
      <c r="ABN4" s="61"/>
      <c r="ABO4" s="61"/>
      <c r="ABP4" s="61"/>
      <c r="ABQ4" s="61"/>
      <c r="ABR4" s="61"/>
      <c r="ABS4" s="61"/>
      <c r="ABT4" s="61"/>
      <c r="ABU4" s="61"/>
      <c r="ABV4" s="61"/>
      <c r="ABW4" s="61"/>
      <c r="ABX4" s="61"/>
      <c r="ABY4" s="61"/>
      <c r="ABZ4" s="61"/>
      <c r="ACA4" s="61"/>
      <c r="ACB4" s="61"/>
      <c r="ACC4" s="61"/>
      <c r="ACD4" s="62"/>
    </row>
    <row r="5" spans="1:758" ht="224.4" customHeight="1" thickTop="1" thickBot="1">
      <c r="A5" s="60" t="s">
        <v>614</v>
      </c>
      <c r="B5" s="60" t="s">
        <v>617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  <c r="GR5" s="61"/>
      <c r="GS5" s="61"/>
      <c r="GT5" s="61"/>
      <c r="GU5" s="61"/>
      <c r="GV5" s="61"/>
      <c r="GW5" s="61"/>
      <c r="GX5" s="61"/>
      <c r="GY5" s="61"/>
      <c r="GZ5" s="61"/>
      <c r="HA5" s="61"/>
      <c r="HB5" s="61"/>
      <c r="HC5" s="61"/>
      <c r="HD5" s="61"/>
      <c r="HE5" s="61"/>
      <c r="HF5" s="61"/>
      <c r="HG5" s="61"/>
      <c r="HH5" s="61"/>
      <c r="HI5" s="61"/>
      <c r="HJ5" s="61"/>
      <c r="HK5" s="61"/>
      <c r="HL5" s="61"/>
      <c r="HM5" s="61"/>
      <c r="HN5" s="61"/>
      <c r="HO5" s="61"/>
      <c r="HP5" s="61"/>
      <c r="HQ5" s="61"/>
      <c r="HR5" s="61"/>
      <c r="HS5" s="61"/>
      <c r="HT5" s="61"/>
      <c r="HU5" s="61"/>
      <c r="HV5" s="61"/>
      <c r="HW5" s="61"/>
      <c r="HX5" s="61"/>
      <c r="HY5" s="61"/>
      <c r="HZ5" s="61"/>
      <c r="IA5" s="61"/>
      <c r="IB5" s="61"/>
      <c r="IC5" s="61"/>
      <c r="ID5" s="61"/>
      <c r="IE5" s="61"/>
      <c r="IF5" s="61"/>
      <c r="IG5" s="61"/>
      <c r="IH5" s="61"/>
      <c r="II5" s="61"/>
      <c r="IJ5" s="61"/>
      <c r="IK5" s="61"/>
      <c r="IL5" s="61"/>
      <c r="IM5" s="61"/>
      <c r="IN5" s="61"/>
      <c r="IO5" s="61"/>
      <c r="IP5" s="61"/>
      <c r="IQ5" s="61"/>
      <c r="IR5" s="61"/>
      <c r="IS5" s="61"/>
      <c r="IT5" s="61"/>
      <c r="IU5" s="61"/>
      <c r="IV5" s="61"/>
      <c r="IW5" s="61"/>
      <c r="IX5" s="61"/>
      <c r="IY5" s="61"/>
      <c r="IZ5" s="61"/>
      <c r="JA5" s="61"/>
      <c r="JB5" s="61"/>
      <c r="JC5" s="61"/>
      <c r="JD5" s="61"/>
      <c r="JE5" s="61"/>
      <c r="JF5" s="61"/>
      <c r="JG5" s="61"/>
      <c r="JH5" s="61"/>
      <c r="JI5" s="61"/>
      <c r="JJ5" s="61"/>
      <c r="JK5" s="61"/>
      <c r="JL5" s="61"/>
      <c r="JM5" s="61"/>
      <c r="JN5" s="61"/>
      <c r="JO5" s="61"/>
      <c r="JP5" s="61"/>
      <c r="JQ5" s="61"/>
      <c r="JR5" s="61"/>
      <c r="JS5" s="61"/>
      <c r="JT5" s="61"/>
      <c r="JU5" s="61"/>
      <c r="JV5" s="61"/>
      <c r="JW5" s="61"/>
      <c r="JX5" s="61"/>
      <c r="JY5" s="61"/>
      <c r="JZ5" s="61"/>
      <c r="KA5" s="61"/>
      <c r="KB5" s="61"/>
      <c r="KC5" s="61"/>
      <c r="KD5" s="61"/>
      <c r="KE5" s="61"/>
      <c r="KF5" s="61"/>
      <c r="KG5" s="61"/>
      <c r="KH5" s="61"/>
      <c r="KI5" s="61"/>
      <c r="KJ5" s="61"/>
      <c r="KK5" s="61"/>
      <c r="KL5" s="61"/>
      <c r="KM5" s="61"/>
      <c r="KN5" s="61"/>
      <c r="KO5" s="61"/>
      <c r="KP5" s="61"/>
      <c r="KQ5" s="61"/>
      <c r="KR5" s="61"/>
      <c r="KS5" s="61"/>
      <c r="KT5" s="61"/>
      <c r="KU5" s="61"/>
      <c r="KV5" s="61"/>
      <c r="KW5" s="61"/>
      <c r="KX5" s="61"/>
      <c r="KY5" s="61"/>
      <c r="KZ5" s="61"/>
      <c r="LA5" s="61"/>
      <c r="LB5" s="61"/>
      <c r="LC5" s="61"/>
      <c r="LD5" s="61"/>
      <c r="LE5" s="61"/>
      <c r="LF5" s="61"/>
      <c r="LG5" s="61"/>
      <c r="LH5" s="61"/>
      <c r="LI5" s="61"/>
      <c r="LJ5" s="61"/>
      <c r="LK5" s="61"/>
      <c r="LL5" s="61"/>
      <c r="LM5" s="61"/>
      <c r="LN5" s="61"/>
      <c r="LO5" s="61"/>
      <c r="LP5" s="61"/>
      <c r="LQ5" s="61"/>
      <c r="LR5" s="61"/>
      <c r="LS5" s="61"/>
      <c r="LT5" s="61"/>
      <c r="LU5" s="61"/>
      <c r="LV5" s="61"/>
      <c r="LW5" s="61"/>
      <c r="LX5" s="61"/>
      <c r="LY5" s="61"/>
      <c r="LZ5" s="61"/>
      <c r="MA5" s="61"/>
      <c r="MB5" s="61"/>
      <c r="MC5" s="61"/>
      <c r="MD5" s="61"/>
      <c r="ME5" s="61"/>
      <c r="MF5" s="61"/>
      <c r="MG5" s="61"/>
      <c r="MH5" s="61"/>
      <c r="MI5" s="61"/>
      <c r="MJ5" s="61"/>
      <c r="MK5" s="61"/>
      <c r="ML5" s="61"/>
      <c r="MM5" s="61"/>
      <c r="MN5" s="61"/>
      <c r="MO5" s="61"/>
      <c r="MP5" s="61"/>
      <c r="MQ5" s="61"/>
      <c r="MR5" s="61"/>
      <c r="MS5" s="61"/>
      <c r="MT5" s="61"/>
      <c r="MU5" s="61"/>
      <c r="MV5" s="61"/>
      <c r="MW5" s="61"/>
      <c r="MX5" s="61"/>
      <c r="MY5" s="61"/>
      <c r="MZ5" s="61"/>
      <c r="NA5" s="61"/>
      <c r="NB5" s="61"/>
      <c r="NC5" s="61"/>
      <c r="ND5" s="61"/>
      <c r="NE5" s="61"/>
      <c r="NF5" s="61"/>
      <c r="NG5" s="61"/>
      <c r="NH5" s="61"/>
      <c r="NI5" s="61"/>
      <c r="NJ5" s="61"/>
      <c r="NK5" s="61"/>
      <c r="NL5" s="61"/>
      <c r="NM5" s="61"/>
      <c r="NN5" s="61"/>
      <c r="NO5" s="61"/>
      <c r="NP5" s="61"/>
      <c r="NQ5" s="61"/>
      <c r="NR5" s="61"/>
      <c r="NS5" s="61"/>
      <c r="NT5" s="61"/>
      <c r="NU5" s="61"/>
      <c r="NV5" s="61"/>
      <c r="NW5" s="61"/>
      <c r="NX5" s="61"/>
      <c r="NY5" s="61"/>
      <c r="NZ5" s="61"/>
      <c r="OA5" s="61"/>
      <c r="OB5" s="61"/>
      <c r="OC5" s="61"/>
      <c r="OD5" s="61"/>
      <c r="OE5" s="61"/>
      <c r="OF5" s="61"/>
      <c r="OG5" s="61"/>
      <c r="OH5" s="61"/>
      <c r="OI5" s="61"/>
      <c r="OJ5" s="61"/>
      <c r="OK5" s="61"/>
      <c r="OL5" s="61"/>
      <c r="OM5" s="61"/>
      <c r="ON5" s="61"/>
      <c r="OO5" s="61"/>
      <c r="OP5" s="61"/>
      <c r="OQ5" s="61"/>
      <c r="OR5" s="61"/>
      <c r="OS5" s="61"/>
      <c r="OT5" s="61"/>
      <c r="OU5" s="61"/>
      <c r="OV5" s="61"/>
      <c r="OW5" s="61"/>
      <c r="OX5" s="61"/>
      <c r="OY5" s="61"/>
      <c r="OZ5" s="61"/>
      <c r="PA5" s="61"/>
      <c r="PB5" s="61"/>
      <c r="PC5" s="61"/>
      <c r="PD5" s="61"/>
      <c r="PE5" s="61"/>
      <c r="PF5" s="61"/>
      <c r="PG5" s="61"/>
      <c r="PH5" s="61"/>
      <c r="PI5" s="61"/>
      <c r="PJ5" s="61"/>
      <c r="PK5" s="61"/>
      <c r="PL5" s="61"/>
      <c r="PM5" s="61"/>
      <c r="PN5" s="61"/>
      <c r="PO5" s="61"/>
      <c r="PP5" s="61"/>
      <c r="PQ5" s="61"/>
      <c r="PR5" s="61"/>
      <c r="PS5" s="61"/>
      <c r="PT5" s="61"/>
      <c r="PU5" s="61"/>
      <c r="PV5" s="61"/>
      <c r="PW5" s="61"/>
      <c r="PX5" s="61"/>
      <c r="PY5" s="61"/>
      <c r="PZ5" s="61"/>
      <c r="QA5" s="61"/>
      <c r="QB5" s="61"/>
      <c r="QC5" s="61"/>
      <c r="QD5" s="61"/>
      <c r="QE5" s="61"/>
      <c r="QF5" s="61"/>
      <c r="QG5" s="61"/>
      <c r="QH5" s="61"/>
      <c r="QI5" s="61"/>
      <c r="QJ5" s="61"/>
      <c r="QK5" s="61"/>
      <c r="QL5" s="61"/>
      <c r="QM5" s="61"/>
      <c r="QN5" s="61"/>
      <c r="QO5" s="61"/>
      <c r="QP5" s="61"/>
      <c r="QQ5" s="61"/>
      <c r="QR5" s="61"/>
      <c r="QS5" s="61"/>
      <c r="QT5" s="61"/>
      <c r="QU5" s="61"/>
      <c r="QV5" s="61"/>
      <c r="QW5" s="61"/>
      <c r="QX5" s="61"/>
      <c r="QY5" s="61"/>
      <c r="QZ5" s="61"/>
      <c r="RA5" s="61"/>
      <c r="RB5" s="61"/>
      <c r="RC5" s="61"/>
      <c r="RD5" s="61"/>
      <c r="RE5" s="61"/>
      <c r="RF5" s="61"/>
      <c r="RG5" s="61"/>
      <c r="RH5" s="61"/>
      <c r="RI5" s="61"/>
      <c r="RJ5" s="61"/>
      <c r="RK5" s="61"/>
      <c r="RL5" s="61"/>
      <c r="RM5" s="61"/>
      <c r="RN5" s="61"/>
      <c r="RO5" s="61"/>
      <c r="RP5" s="61"/>
      <c r="RQ5" s="61"/>
      <c r="RR5" s="61"/>
      <c r="RS5" s="61"/>
      <c r="RT5" s="61"/>
      <c r="RU5" s="61"/>
      <c r="RV5" s="61"/>
      <c r="RW5" s="61"/>
      <c r="RX5" s="61"/>
      <c r="RY5" s="61"/>
      <c r="RZ5" s="61"/>
      <c r="SA5" s="61"/>
      <c r="SB5" s="61"/>
      <c r="SC5" s="61"/>
      <c r="SD5" s="61"/>
      <c r="SE5" s="61"/>
      <c r="SF5" s="61"/>
      <c r="SG5" s="61"/>
      <c r="SH5" s="61"/>
      <c r="SI5" s="61"/>
      <c r="SJ5" s="61"/>
      <c r="SK5" s="61"/>
      <c r="SL5" s="61"/>
      <c r="SM5" s="61"/>
      <c r="SN5" s="61"/>
      <c r="SO5" s="61"/>
      <c r="SP5" s="61"/>
      <c r="SQ5" s="61"/>
      <c r="SR5" s="61"/>
      <c r="SS5" s="61"/>
      <c r="ST5" s="61"/>
      <c r="SU5" s="61"/>
      <c r="SV5" s="61"/>
      <c r="SW5" s="61"/>
      <c r="SX5" s="61"/>
      <c r="SY5" s="61"/>
      <c r="SZ5" s="61"/>
      <c r="TA5" s="61"/>
      <c r="TB5" s="61"/>
      <c r="TC5" s="61"/>
      <c r="TD5" s="61"/>
      <c r="TE5" s="61"/>
      <c r="TF5" s="61"/>
      <c r="TG5" s="61"/>
      <c r="TH5" s="61"/>
      <c r="TI5" s="61"/>
      <c r="TJ5" s="61"/>
      <c r="TK5" s="61"/>
      <c r="TL5" s="61"/>
      <c r="TM5" s="61"/>
      <c r="TN5" s="61"/>
      <c r="TO5" s="61"/>
      <c r="TP5" s="61"/>
      <c r="TQ5" s="61"/>
      <c r="TR5" s="61"/>
      <c r="TS5" s="61"/>
      <c r="TT5" s="61"/>
      <c r="TU5" s="61"/>
      <c r="TV5" s="61"/>
      <c r="TW5" s="61"/>
      <c r="TX5" s="61"/>
      <c r="TY5" s="61"/>
      <c r="TZ5" s="61"/>
      <c r="UA5" s="61"/>
      <c r="UB5" s="61"/>
      <c r="UC5" s="61"/>
      <c r="UD5" s="61"/>
      <c r="UE5" s="61"/>
      <c r="UF5" s="61"/>
      <c r="UG5" s="61"/>
      <c r="UH5" s="61"/>
      <c r="UI5" s="61"/>
      <c r="UJ5" s="61"/>
      <c r="UK5" s="61"/>
      <c r="UL5" s="61"/>
      <c r="UM5" s="61"/>
      <c r="UN5" s="61"/>
      <c r="UO5" s="61"/>
      <c r="UP5" s="61"/>
      <c r="UQ5" s="61"/>
      <c r="UR5" s="61"/>
      <c r="US5" s="61"/>
      <c r="UT5" s="61"/>
      <c r="UU5" s="61"/>
      <c r="UV5" s="61"/>
      <c r="UW5" s="61"/>
      <c r="UX5" s="61"/>
      <c r="UY5" s="61"/>
      <c r="UZ5" s="61"/>
      <c r="VA5" s="61"/>
      <c r="VB5" s="61"/>
      <c r="VC5" s="61"/>
      <c r="VD5" s="61"/>
      <c r="VE5" s="61"/>
      <c r="VF5" s="61"/>
      <c r="VG5" s="61"/>
      <c r="VH5" s="61"/>
      <c r="VI5" s="61"/>
      <c r="VJ5" s="61"/>
      <c r="VK5" s="61"/>
      <c r="VL5" s="61"/>
      <c r="VM5" s="61"/>
      <c r="VN5" s="61"/>
      <c r="VO5" s="61"/>
      <c r="VP5" s="61"/>
      <c r="VQ5" s="61"/>
      <c r="VR5" s="61"/>
      <c r="VS5" s="61"/>
      <c r="VT5" s="61"/>
      <c r="VU5" s="61"/>
      <c r="VV5" s="61"/>
      <c r="VW5" s="61"/>
      <c r="VX5" s="61"/>
      <c r="VY5" s="61"/>
      <c r="VZ5" s="61"/>
      <c r="WA5" s="61"/>
      <c r="WB5" s="61"/>
      <c r="WC5" s="61"/>
      <c r="WD5" s="713" t="s">
        <v>147</v>
      </c>
      <c r="WE5" s="713"/>
      <c r="WF5" s="713"/>
      <c r="WG5" s="713"/>
      <c r="WH5" s="713"/>
      <c r="WI5" s="713"/>
      <c r="WJ5" s="713"/>
      <c r="WK5" s="713"/>
      <c r="WL5" s="713"/>
      <c r="WM5" s="713"/>
      <c r="WN5" s="713"/>
      <c r="WO5" s="713"/>
      <c r="WP5" s="713"/>
      <c r="WQ5" s="713"/>
      <c r="WR5" s="717" t="s">
        <v>371</v>
      </c>
      <c r="WS5" s="717"/>
      <c r="WT5" s="717"/>
      <c r="WU5" s="717"/>
      <c r="WV5" s="717"/>
      <c r="WW5" s="717"/>
      <c r="WX5" s="717"/>
      <c r="WY5" s="717"/>
      <c r="WZ5" s="717"/>
      <c r="XA5" s="717"/>
      <c r="XB5" s="717"/>
      <c r="XC5" s="717"/>
      <c r="XD5" s="717"/>
      <c r="XE5" s="717"/>
      <c r="XF5" s="714" t="s">
        <v>184</v>
      </c>
      <c r="XG5" s="714"/>
      <c r="XH5" s="714"/>
      <c r="XI5" s="714"/>
      <c r="XJ5" s="721" t="s">
        <v>194</v>
      </c>
      <c r="XK5" s="721"/>
      <c r="XL5" s="721"/>
      <c r="XM5" s="721"/>
      <c r="XN5" s="721"/>
      <c r="XO5" s="721"/>
      <c r="XP5" s="721"/>
      <c r="XQ5" s="721"/>
      <c r="XR5" s="721"/>
      <c r="XS5" s="721"/>
      <c r="XT5" s="721"/>
      <c r="XU5" s="721"/>
      <c r="XV5" s="721"/>
      <c r="XW5" s="721"/>
      <c r="XX5" s="717" t="s">
        <v>376</v>
      </c>
      <c r="XY5" s="717"/>
      <c r="XZ5" s="717"/>
      <c r="YA5" s="717"/>
      <c r="YB5" s="717"/>
      <c r="YC5" s="717"/>
      <c r="YD5" s="717"/>
      <c r="YE5" s="722" t="s">
        <v>209</v>
      </c>
      <c r="YF5" s="722"/>
      <c r="YG5" s="722"/>
      <c r="YH5" s="716" t="s">
        <v>379</v>
      </c>
      <c r="YI5" s="716"/>
      <c r="YJ5" s="716"/>
      <c r="YK5" s="716"/>
      <c r="YL5" s="716"/>
      <c r="YM5" s="716"/>
      <c r="YN5" s="716"/>
      <c r="YO5" s="716"/>
      <c r="YP5" s="716"/>
      <c r="YQ5" s="716"/>
      <c r="YR5" s="716"/>
      <c r="YS5" s="716"/>
      <c r="YT5" s="716"/>
      <c r="YU5" s="716"/>
      <c r="YV5" s="716"/>
      <c r="YW5" s="716"/>
      <c r="YX5" s="716"/>
      <c r="YY5" s="716"/>
      <c r="YZ5" s="716"/>
      <c r="ZA5" s="716"/>
      <c r="ZB5" s="716"/>
      <c r="ZC5" s="716"/>
      <c r="ZD5" s="61"/>
      <c r="ZE5" s="61"/>
      <c r="ZF5" s="717" t="s">
        <v>501</v>
      </c>
      <c r="ZG5" s="717"/>
      <c r="ZH5" s="717"/>
      <c r="ZI5" s="717"/>
      <c r="ZJ5" s="717"/>
      <c r="ZK5" s="61"/>
      <c r="ZL5" s="61"/>
      <c r="ZM5" s="718" t="s">
        <v>593</v>
      </c>
      <c r="ZN5" s="718"/>
      <c r="ZO5" s="718"/>
      <c r="ZP5" s="718"/>
      <c r="ZQ5" s="718"/>
      <c r="ZR5" s="718"/>
      <c r="ZS5" s="718"/>
      <c r="ZT5" s="718"/>
      <c r="ZU5" s="718"/>
      <c r="ZV5" s="718"/>
      <c r="ZW5" s="718"/>
      <c r="ZX5" s="718"/>
      <c r="ZY5" s="718"/>
      <c r="ZZ5" s="718"/>
      <c r="AAA5" s="718"/>
      <c r="AAB5" s="718"/>
      <c r="AAC5" s="718"/>
      <c r="AAD5" s="718"/>
      <c r="AAE5" s="718"/>
      <c r="AAF5" s="718"/>
      <c r="AAG5" s="718"/>
      <c r="AAH5" s="718"/>
      <c r="AAI5" s="61"/>
      <c r="AAJ5" s="61"/>
      <c r="AAK5" s="61"/>
      <c r="AAL5" s="61"/>
      <c r="AAM5" s="61"/>
      <c r="AAN5" s="61"/>
      <c r="AAO5" s="61"/>
      <c r="AAP5" s="61"/>
      <c r="AAQ5" s="61"/>
      <c r="AAR5" s="61"/>
      <c r="AAS5" s="61"/>
      <c r="AAT5" s="61"/>
      <c r="AAU5" s="61"/>
      <c r="AAV5" s="61"/>
      <c r="AAW5" s="61"/>
      <c r="AAX5" s="61"/>
      <c r="AAY5" s="61"/>
      <c r="AAZ5" s="61"/>
      <c r="ABA5" s="61"/>
      <c r="ABB5" s="61"/>
      <c r="ABC5" s="61"/>
      <c r="ABD5" s="61"/>
      <c r="ABE5" s="61"/>
      <c r="ABF5" s="718" t="s">
        <v>594</v>
      </c>
      <c r="ABG5" s="718"/>
      <c r="ABH5" s="718"/>
      <c r="ABI5" s="718"/>
      <c r="ABJ5" s="718"/>
      <c r="ABK5" s="718"/>
      <c r="ABL5" s="718"/>
      <c r="ABM5" s="718"/>
      <c r="ABN5" s="718"/>
      <c r="ABO5" s="61"/>
      <c r="ABP5" s="61"/>
      <c r="ABQ5" s="61"/>
      <c r="ABR5" s="61"/>
      <c r="ABS5" s="61"/>
      <c r="ABT5" s="61"/>
      <c r="ABU5" s="61"/>
      <c r="ABV5" s="61"/>
      <c r="ABW5" s="61"/>
      <c r="ABX5" s="61"/>
      <c r="ABY5" s="61"/>
      <c r="ABZ5" s="61"/>
      <c r="ACA5" s="61"/>
      <c r="ACB5" s="61"/>
      <c r="ACC5" s="61"/>
      <c r="ACD5" s="62"/>
    </row>
    <row r="6" spans="1:758" ht="224.4" customHeight="1" thickTop="1" thickBot="1">
      <c r="A6" s="60" t="s">
        <v>614</v>
      </c>
      <c r="B6" s="60" t="s">
        <v>618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  <c r="GY6" s="61"/>
      <c r="GZ6" s="61"/>
      <c r="HA6" s="61"/>
      <c r="HB6" s="61"/>
      <c r="HC6" s="61"/>
      <c r="HD6" s="61"/>
      <c r="HE6" s="61"/>
      <c r="HF6" s="61"/>
      <c r="HG6" s="61"/>
      <c r="HH6" s="61"/>
      <c r="HI6" s="61"/>
      <c r="HJ6" s="61"/>
      <c r="HK6" s="61"/>
      <c r="HL6" s="61"/>
      <c r="HM6" s="61"/>
      <c r="HN6" s="61"/>
      <c r="HO6" s="61"/>
      <c r="HP6" s="61"/>
      <c r="HQ6" s="61"/>
      <c r="HR6" s="61"/>
      <c r="HS6" s="61"/>
      <c r="HT6" s="61"/>
      <c r="HU6" s="61"/>
      <c r="HV6" s="61"/>
      <c r="HW6" s="61"/>
      <c r="HX6" s="61"/>
      <c r="HY6" s="61"/>
      <c r="HZ6" s="61"/>
      <c r="IA6" s="61"/>
      <c r="IB6" s="61"/>
      <c r="IC6" s="61"/>
      <c r="ID6" s="61"/>
      <c r="IE6" s="61"/>
      <c r="IF6" s="61"/>
      <c r="IG6" s="61"/>
      <c r="IH6" s="61"/>
      <c r="II6" s="61"/>
      <c r="IJ6" s="61"/>
      <c r="IK6" s="61"/>
      <c r="IL6" s="61"/>
      <c r="IM6" s="61"/>
      <c r="IN6" s="61"/>
      <c r="IO6" s="61"/>
      <c r="IP6" s="61"/>
      <c r="IQ6" s="61"/>
      <c r="IR6" s="61"/>
      <c r="IS6" s="61"/>
      <c r="IT6" s="61"/>
      <c r="IU6" s="61"/>
      <c r="IV6" s="61"/>
      <c r="IW6" s="61"/>
      <c r="IX6" s="61"/>
      <c r="IY6" s="61"/>
      <c r="IZ6" s="61"/>
      <c r="JA6" s="61"/>
      <c r="JB6" s="61"/>
      <c r="JC6" s="61"/>
      <c r="JD6" s="61"/>
      <c r="JE6" s="61"/>
      <c r="JF6" s="61"/>
      <c r="JG6" s="61"/>
      <c r="JH6" s="61"/>
      <c r="JI6" s="61"/>
      <c r="JJ6" s="61"/>
      <c r="JK6" s="61"/>
      <c r="JL6" s="61"/>
      <c r="JM6" s="61"/>
      <c r="JN6" s="61"/>
      <c r="JO6" s="61"/>
      <c r="JP6" s="61"/>
      <c r="JQ6" s="61"/>
      <c r="JR6" s="61"/>
      <c r="JS6" s="61"/>
      <c r="JT6" s="61"/>
      <c r="JU6" s="61"/>
      <c r="JV6" s="61"/>
      <c r="JW6" s="61"/>
      <c r="JX6" s="61"/>
      <c r="JY6" s="61"/>
      <c r="JZ6" s="61"/>
      <c r="KA6" s="61"/>
      <c r="KB6" s="61"/>
      <c r="KC6" s="61"/>
      <c r="KD6" s="61"/>
      <c r="KE6" s="61"/>
      <c r="KF6" s="61"/>
      <c r="KG6" s="61"/>
      <c r="KH6" s="61"/>
      <c r="KI6" s="61"/>
      <c r="KJ6" s="61"/>
      <c r="KK6" s="61"/>
      <c r="KL6" s="61"/>
      <c r="KM6" s="61"/>
      <c r="KN6" s="61"/>
      <c r="KO6" s="61"/>
      <c r="KP6" s="61"/>
      <c r="KQ6" s="61"/>
      <c r="KR6" s="61"/>
      <c r="KS6" s="61"/>
      <c r="KT6" s="61"/>
      <c r="KU6" s="61"/>
      <c r="KV6" s="61"/>
      <c r="KW6" s="61"/>
      <c r="KX6" s="61"/>
      <c r="KY6" s="61"/>
      <c r="KZ6" s="61"/>
      <c r="LA6" s="61"/>
      <c r="LB6" s="61"/>
      <c r="LC6" s="61"/>
      <c r="LD6" s="61"/>
      <c r="LE6" s="61"/>
      <c r="LF6" s="61"/>
      <c r="LG6" s="61"/>
      <c r="LH6" s="61"/>
      <c r="LI6" s="61"/>
      <c r="LJ6" s="61"/>
      <c r="LK6" s="61"/>
      <c r="LL6" s="61"/>
      <c r="LM6" s="61"/>
      <c r="LN6" s="61"/>
      <c r="LO6" s="61"/>
      <c r="LP6" s="61"/>
      <c r="LQ6" s="61"/>
      <c r="LR6" s="61"/>
      <c r="LS6" s="61"/>
      <c r="LT6" s="61"/>
      <c r="LU6" s="61"/>
      <c r="LV6" s="61"/>
      <c r="LW6" s="61"/>
      <c r="LX6" s="61"/>
      <c r="LY6" s="61"/>
      <c r="LZ6" s="61"/>
      <c r="MA6" s="61"/>
      <c r="MB6" s="61"/>
      <c r="MC6" s="61"/>
      <c r="MD6" s="61"/>
      <c r="ME6" s="61"/>
      <c r="MF6" s="61"/>
      <c r="MG6" s="61"/>
      <c r="MH6" s="61"/>
      <c r="MI6" s="61"/>
      <c r="MJ6" s="61"/>
      <c r="MK6" s="61"/>
      <c r="ML6" s="61"/>
      <c r="MM6" s="61"/>
      <c r="MN6" s="61"/>
      <c r="MO6" s="61"/>
      <c r="MP6" s="61"/>
      <c r="MQ6" s="61"/>
      <c r="MR6" s="61"/>
      <c r="MS6" s="61"/>
      <c r="MT6" s="61"/>
      <c r="MU6" s="61"/>
      <c r="MV6" s="713" t="s">
        <v>147</v>
      </c>
      <c r="MW6" s="713"/>
      <c r="MX6" s="713"/>
      <c r="MY6" s="713"/>
      <c r="MZ6" s="713"/>
      <c r="NA6" s="713"/>
      <c r="NB6" s="713"/>
      <c r="NC6" s="713"/>
      <c r="ND6" s="713"/>
      <c r="NE6" s="713"/>
      <c r="NF6" s="713"/>
      <c r="NG6" s="713"/>
      <c r="NH6" s="713"/>
      <c r="NI6" s="713"/>
      <c r="NJ6" s="713"/>
      <c r="NK6" s="713"/>
      <c r="NL6" s="713"/>
      <c r="NM6" s="713"/>
      <c r="NN6" s="713"/>
      <c r="NO6" s="713"/>
      <c r="NP6" s="713"/>
      <c r="NQ6" s="713"/>
      <c r="NR6" s="713"/>
      <c r="NS6" s="717" t="s">
        <v>417</v>
      </c>
      <c r="NT6" s="717"/>
      <c r="NU6" s="717"/>
      <c r="NV6" s="717"/>
      <c r="NW6" s="717"/>
      <c r="NX6" s="717"/>
      <c r="NY6" s="717"/>
      <c r="NZ6" s="719" t="s">
        <v>596</v>
      </c>
      <c r="OA6" s="719"/>
      <c r="OB6" s="719"/>
      <c r="OC6" s="719"/>
      <c r="OD6" s="719"/>
      <c r="OE6" s="719"/>
      <c r="OF6" s="719"/>
      <c r="OG6" s="719"/>
      <c r="OH6" s="719"/>
      <c r="OI6" s="719"/>
      <c r="OJ6" s="719"/>
      <c r="OK6" s="719"/>
      <c r="OL6" s="719"/>
      <c r="OM6" s="719"/>
      <c r="ON6" s="719"/>
      <c r="OO6" s="719"/>
      <c r="OP6" s="719"/>
      <c r="OQ6" s="719"/>
      <c r="OR6" s="719"/>
      <c r="OS6" s="719"/>
      <c r="OT6" s="719"/>
      <c r="OU6" s="719"/>
      <c r="OV6" s="719"/>
      <c r="OW6" s="719" t="s">
        <v>597</v>
      </c>
      <c r="OX6" s="719"/>
      <c r="OY6" s="719"/>
      <c r="OZ6" s="719"/>
      <c r="PA6" s="719"/>
      <c r="PB6" s="719"/>
      <c r="PC6" s="719"/>
      <c r="PD6" s="719"/>
      <c r="PE6" s="719"/>
      <c r="PF6" s="719"/>
      <c r="PG6" s="719"/>
      <c r="PH6" s="719"/>
      <c r="PI6" s="719"/>
      <c r="PJ6" s="719"/>
      <c r="PK6" s="719"/>
      <c r="PL6" s="719"/>
      <c r="PM6" s="719"/>
      <c r="PN6" s="719"/>
      <c r="PO6" s="719"/>
      <c r="PP6" s="719"/>
      <c r="PQ6" s="719"/>
      <c r="PR6" s="718" t="s">
        <v>609</v>
      </c>
      <c r="PS6" s="718"/>
      <c r="PT6" s="718"/>
      <c r="PU6" s="718"/>
      <c r="PV6" s="718"/>
      <c r="PW6" s="718"/>
      <c r="PX6" s="718"/>
      <c r="PY6" s="718"/>
      <c r="PZ6" s="718"/>
      <c r="QA6" s="718"/>
      <c r="QB6" s="718"/>
      <c r="QC6" s="718"/>
      <c r="QD6" s="718"/>
      <c r="QE6" s="718"/>
      <c r="QF6" s="718"/>
      <c r="QG6" s="718"/>
      <c r="QH6" s="718"/>
      <c r="QI6" s="718"/>
      <c r="QJ6" s="718"/>
      <c r="QK6" s="718"/>
      <c r="QL6" s="718"/>
      <c r="QM6" s="718"/>
      <c r="QN6" s="718"/>
      <c r="QO6" s="718"/>
      <c r="QP6" s="718"/>
      <c r="QQ6" s="718"/>
      <c r="QR6" s="718"/>
      <c r="QS6" s="718"/>
      <c r="QT6" s="718"/>
      <c r="QU6" s="718"/>
      <c r="QV6" s="718"/>
      <c r="QW6" s="718"/>
      <c r="QX6" s="718"/>
      <c r="QY6" s="718"/>
      <c r="QZ6" s="720" t="s">
        <v>595</v>
      </c>
      <c r="RA6" s="720"/>
      <c r="RB6" s="720"/>
      <c r="RC6" s="720"/>
      <c r="RD6" s="720"/>
      <c r="RE6" s="720"/>
      <c r="RF6" s="720"/>
      <c r="RG6" s="720"/>
      <c r="RH6" s="720"/>
      <c r="RI6" s="720"/>
      <c r="RJ6" s="720"/>
      <c r="RK6" s="720"/>
      <c r="RL6" s="720"/>
      <c r="RM6" s="720"/>
      <c r="RN6" s="720"/>
      <c r="RO6" s="720"/>
      <c r="RP6" s="720"/>
      <c r="RQ6" s="720"/>
      <c r="RR6" s="720"/>
      <c r="RS6" s="720"/>
      <c r="RT6" s="720"/>
      <c r="RU6" s="720"/>
      <c r="RV6" s="720"/>
      <c r="RW6" s="720"/>
      <c r="RX6" s="720"/>
      <c r="RY6" s="720"/>
      <c r="RZ6" s="720"/>
      <c r="SA6" s="720"/>
      <c r="SB6" s="720"/>
      <c r="SC6" s="720"/>
      <c r="SD6" s="720"/>
      <c r="SE6" s="720"/>
      <c r="SF6" s="720"/>
      <c r="SG6" s="720"/>
      <c r="SH6" s="720"/>
      <c r="SI6" s="720"/>
      <c r="SJ6" s="720"/>
      <c r="SK6" s="720"/>
      <c r="SL6" s="720"/>
      <c r="SM6" s="720"/>
      <c r="SN6" s="720"/>
      <c r="SO6" s="723" t="s">
        <v>599</v>
      </c>
      <c r="SP6" s="723"/>
      <c r="SQ6" s="723"/>
      <c r="SR6" s="723"/>
      <c r="SS6" s="723"/>
      <c r="ST6" s="723"/>
      <c r="SU6" s="61"/>
      <c r="SV6" s="61"/>
      <c r="SW6" s="61"/>
      <c r="SX6" s="61"/>
      <c r="SY6" s="61"/>
      <c r="SZ6" s="61"/>
      <c r="TA6" s="61"/>
      <c r="TB6" s="61"/>
      <c r="TC6" s="61"/>
      <c r="TD6" s="61"/>
      <c r="TE6" s="61"/>
      <c r="TF6" s="61"/>
      <c r="TG6" s="61"/>
      <c r="TH6" s="61"/>
      <c r="TI6" s="61"/>
      <c r="TJ6" s="61"/>
      <c r="TK6" s="61"/>
      <c r="TL6" s="61"/>
      <c r="TM6" s="61"/>
      <c r="TN6" s="61"/>
      <c r="TO6" s="61"/>
      <c r="TP6" s="61"/>
      <c r="TQ6" s="61"/>
      <c r="TR6" s="61"/>
      <c r="TS6" s="61"/>
      <c r="TT6" s="61"/>
      <c r="TU6" s="61"/>
      <c r="TV6" s="61"/>
      <c r="TW6" s="61"/>
      <c r="TX6" s="61"/>
      <c r="TY6" s="61"/>
      <c r="TZ6" s="61"/>
      <c r="UA6" s="61"/>
      <c r="UB6" s="61"/>
      <c r="UC6" s="61"/>
      <c r="UD6" s="61"/>
      <c r="UE6" s="61"/>
      <c r="UF6" s="61"/>
      <c r="UG6" s="61"/>
      <c r="UH6" s="61"/>
      <c r="UI6" s="61"/>
      <c r="UJ6" s="61"/>
      <c r="UK6" s="61"/>
      <c r="UL6" s="61"/>
      <c r="UM6" s="61"/>
      <c r="UN6" s="61"/>
      <c r="UO6" s="61"/>
      <c r="UP6" s="61"/>
      <c r="UQ6" s="61"/>
      <c r="UR6" s="61"/>
      <c r="US6" s="61"/>
      <c r="UT6" s="61"/>
      <c r="UU6" s="61"/>
      <c r="UV6" s="61"/>
      <c r="UW6" s="61"/>
      <c r="UX6" s="61"/>
      <c r="UY6" s="61"/>
      <c r="UZ6" s="61"/>
      <c r="VA6" s="61"/>
      <c r="VB6" s="61"/>
      <c r="VC6" s="61"/>
      <c r="VD6" s="61"/>
      <c r="VE6" s="61"/>
      <c r="VF6" s="61"/>
      <c r="VG6" s="61"/>
      <c r="VH6" s="61"/>
      <c r="VI6" s="61"/>
      <c r="VJ6" s="61"/>
      <c r="VK6" s="61"/>
      <c r="VL6" s="61"/>
      <c r="VM6" s="61"/>
      <c r="VN6" s="61"/>
      <c r="VO6" s="61"/>
      <c r="VP6" s="61"/>
      <c r="VQ6" s="61"/>
      <c r="VR6" s="61"/>
      <c r="VS6" s="61"/>
      <c r="VT6" s="61"/>
      <c r="VU6" s="61"/>
      <c r="VV6" s="61"/>
      <c r="VW6" s="61"/>
      <c r="VX6" s="61"/>
      <c r="VY6" s="61"/>
      <c r="VZ6" s="61"/>
      <c r="WA6" s="61"/>
      <c r="WB6" s="61"/>
      <c r="WC6" s="61"/>
      <c r="WD6" s="61"/>
      <c r="WE6" s="61"/>
      <c r="WF6" s="61"/>
      <c r="WG6" s="61"/>
      <c r="WH6" s="61"/>
      <c r="WI6" s="61"/>
      <c r="WJ6" s="61"/>
      <c r="WK6" s="61"/>
      <c r="WL6" s="61"/>
      <c r="WM6" s="61"/>
      <c r="WN6" s="61"/>
      <c r="WO6" s="61"/>
      <c r="WP6" s="61"/>
      <c r="WQ6" s="61"/>
      <c r="WR6" s="61"/>
      <c r="WS6" s="61"/>
      <c r="WT6" s="61"/>
      <c r="WU6" s="61"/>
      <c r="WV6" s="61"/>
      <c r="WW6" s="61"/>
      <c r="WX6" s="61"/>
      <c r="WY6" s="61"/>
      <c r="WZ6" s="61"/>
      <c r="XA6" s="61"/>
      <c r="XB6" s="61"/>
      <c r="XC6" s="61"/>
      <c r="XD6" s="61"/>
      <c r="XE6" s="61"/>
      <c r="XF6" s="61"/>
      <c r="XG6" s="61"/>
      <c r="XH6" s="61"/>
      <c r="XI6" s="61"/>
      <c r="XJ6" s="61"/>
      <c r="XK6" s="61"/>
      <c r="XL6" s="61"/>
      <c r="XM6" s="61"/>
      <c r="XN6" s="61"/>
      <c r="XO6" s="61"/>
      <c r="XP6" s="61"/>
      <c r="XQ6" s="61"/>
      <c r="XR6" s="61"/>
      <c r="XS6" s="61"/>
      <c r="XT6" s="61"/>
      <c r="XU6" s="61"/>
      <c r="XV6" s="61"/>
      <c r="XW6" s="61"/>
      <c r="XX6" s="61"/>
      <c r="XY6" s="61"/>
      <c r="XZ6" s="61"/>
      <c r="YA6" s="61"/>
      <c r="YB6" s="61"/>
      <c r="YC6" s="61"/>
      <c r="YD6" s="61"/>
      <c r="YE6" s="61"/>
      <c r="YF6" s="61"/>
      <c r="YG6" s="61"/>
      <c r="YH6" s="61"/>
      <c r="YI6" s="61"/>
      <c r="YJ6" s="61"/>
      <c r="YK6" s="61"/>
      <c r="YL6" s="61"/>
      <c r="YM6" s="61"/>
      <c r="YN6" s="61"/>
      <c r="YO6" s="61"/>
      <c r="YP6" s="61"/>
      <c r="YQ6" s="61"/>
      <c r="YR6" s="61"/>
      <c r="YS6" s="61"/>
      <c r="YT6" s="61"/>
      <c r="YU6" s="61"/>
      <c r="YV6" s="61"/>
      <c r="YW6" s="61"/>
      <c r="YX6" s="61"/>
      <c r="YY6" s="61"/>
      <c r="YZ6" s="61"/>
      <c r="ZA6" s="61"/>
      <c r="ZB6" s="61"/>
      <c r="ZC6" s="61"/>
      <c r="ZD6" s="61"/>
      <c r="ZE6" s="61"/>
      <c r="ZF6" s="61"/>
      <c r="ZG6" s="61"/>
      <c r="ZH6" s="61"/>
      <c r="ZI6" s="61"/>
      <c r="ZJ6" s="61"/>
      <c r="ZK6" s="61"/>
      <c r="ZL6" s="61"/>
      <c r="ZM6" s="61"/>
      <c r="ZN6" s="61"/>
      <c r="ZO6" s="61"/>
      <c r="ZP6" s="61"/>
      <c r="ZQ6" s="61"/>
      <c r="ZR6" s="61"/>
      <c r="ZS6" s="61"/>
      <c r="ZT6" s="61"/>
      <c r="ZU6" s="61"/>
      <c r="ZV6" s="61"/>
      <c r="ZW6" s="61"/>
      <c r="ZX6" s="61"/>
      <c r="ZY6" s="61"/>
      <c r="ZZ6" s="61"/>
      <c r="AAA6" s="61"/>
      <c r="AAB6" s="61"/>
      <c r="AAC6" s="61"/>
      <c r="AAD6" s="61"/>
      <c r="AAE6" s="61"/>
      <c r="AAF6" s="61"/>
      <c r="AAG6" s="61"/>
      <c r="AAH6" s="61"/>
      <c r="AAI6" s="61"/>
      <c r="AAJ6" s="61"/>
      <c r="AAK6" s="61"/>
      <c r="AAL6" s="61"/>
      <c r="AAM6" s="61"/>
      <c r="AAN6" s="61"/>
      <c r="AAO6" s="61"/>
      <c r="AAP6" s="61"/>
      <c r="AAQ6" s="61"/>
      <c r="AAR6" s="61"/>
      <c r="AAS6" s="61"/>
      <c r="AAT6" s="61"/>
      <c r="AAU6" s="61"/>
      <c r="AAV6" s="61"/>
      <c r="AAW6" s="61"/>
      <c r="AAX6" s="61"/>
      <c r="AAY6" s="61"/>
      <c r="AAZ6" s="61"/>
      <c r="ABA6" s="61"/>
      <c r="ABB6" s="61"/>
      <c r="ABC6" s="61"/>
      <c r="ABD6" s="61"/>
      <c r="ABE6" s="61"/>
      <c r="ABF6" s="61"/>
      <c r="ABG6" s="61"/>
      <c r="ABH6" s="61"/>
      <c r="ABI6" s="61"/>
      <c r="ABJ6" s="61"/>
      <c r="ABK6" s="61"/>
      <c r="ABL6" s="61"/>
      <c r="ABM6" s="61"/>
      <c r="ABN6" s="61"/>
      <c r="ABO6" s="61"/>
      <c r="ABP6" s="61"/>
      <c r="ABQ6" s="61"/>
      <c r="ABR6" s="61"/>
      <c r="ABS6" s="61"/>
      <c r="ABT6" s="61"/>
      <c r="ABU6" s="61"/>
      <c r="ABV6" s="61"/>
      <c r="ABW6" s="61"/>
      <c r="ABX6" s="61"/>
      <c r="ABY6" s="61"/>
      <c r="ABZ6" s="61"/>
      <c r="ACA6" s="61"/>
      <c r="ACB6" s="61"/>
      <c r="ACC6" s="61"/>
      <c r="ACD6" s="62"/>
    </row>
    <row r="7" spans="1:758" ht="224.4" customHeight="1" thickTop="1" thickBot="1">
      <c r="A7" s="60" t="s">
        <v>614</v>
      </c>
      <c r="B7" s="60" t="s">
        <v>619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  <c r="GR7" s="61"/>
      <c r="GS7" s="61"/>
      <c r="GT7" s="61"/>
      <c r="GU7" s="61"/>
      <c r="GV7" s="61"/>
      <c r="GW7" s="61"/>
      <c r="GX7" s="61"/>
      <c r="GY7" s="61"/>
      <c r="GZ7" s="61"/>
      <c r="HA7" s="61"/>
      <c r="HB7" s="61"/>
      <c r="HC7" s="61"/>
      <c r="HD7" s="61"/>
      <c r="HE7" s="61"/>
      <c r="HF7" s="61"/>
      <c r="HG7" s="61"/>
      <c r="HH7" s="61"/>
      <c r="HI7" s="61"/>
      <c r="HJ7" s="61"/>
      <c r="HK7" s="61"/>
      <c r="HL7" s="61"/>
      <c r="HM7" s="61"/>
      <c r="HN7" s="61"/>
      <c r="HO7" s="61"/>
      <c r="HP7" s="61"/>
      <c r="HQ7" s="61"/>
      <c r="HR7" s="61"/>
      <c r="HS7" s="61"/>
      <c r="HT7" s="61"/>
      <c r="HU7" s="61"/>
      <c r="HV7" s="61"/>
      <c r="HW7" s="61"/>
      <c r="HX7" s="61"/>
      <c r="HY7" s="61"/>
      <c r="HZ7" s="61"/>
      <c r="IA7" s="61"/>
      <c r="IB7" s="61"/>
      <c r="IC7" s="61"/>
      <c r="ID7" s="61"/>
      <c r="IE7" s="61"/>
      <c r="IF7" s="61"/>
      <c r="IG7" s="61"/>
      <c r="IH7" s="61"/>
      <c r="II7" s="61"/>
      <c r="IJ7" s="61"/>
      <c r="IK7" s="61"/>
      <c r="IL7" s="61"/>
      <c r="IM7" s="61"/>
      <c r="IN7" s="61"/>
      <c r="IO7" s="61"/>
      <c r="IP7" s="61"/>
      <c r="IQ7" s="61"/>
      <c r="IR7" s="61"/>
      <c r="IS7" s="61"/>
      <c r="IT7" s="61"/>
      <c r="IU7" s="61"/>
      <c r="IV7" s="61"/>
      <c r="IW7" s="61"/>
      <c r="IX7" s="61"/>
      <c r="IY7" s="61"/>
      <c r="IZ7" s="61"/>
      <c r="JA7" s="61"/>
      <c r="JB7" s="61"/>
      <c r="JC7" s="61"/>
      <c r="JD7" s="61"/>
      <c r="JE7" s="61"/>
      <c r="JF7" s="61"/>
      <c r="JG7" s="61"/>
      <c r="JH7" s="61"/>
      <c r="JI7" s="61"/>
      <c r="JJ7" s="61"/>
      <c r="JK7" s="61"/>
      <c r="JL7" s="61"/>
      <c r="JM7" s="61"/>
      <c r="JN7" s="61"/>
      <c r="JO7" s="61"/>
      <c r="JP7" s="61"/>
      <c r="JQ7" s="61"/>
      <c r="JR7" s="61"/>
      <c r="JS7" s="61"/>
      <c r="JT7" s="61"/>
      <c r="JU7" s="61"/>
      <c r="JV7" s="61"/>
      <c r="JW7" s="61"/>
      <c r="JX7" s="61"/>
      <c r="JY7" s="61"/>
      <c r="JZ7" s="61"/>
      <c r="KA7" s="61"/>
      <c r="KB7" s="61"/>
      <c r="KC7" s="61"/>
      <c r="KD7" s="61"/>
      <c r="KE7" s="61"/>
      <c r="KF7" s="61"/>
      <c r="KG7" s="61"/>
      <c r="KH7" s="61"/>
      <c r="KI7" s="61"/>
      <c r="KJ7" s="61"/>
      <c r="KK7" s="61"/>
      <c r="KL7" s="61"/>
      <c r="KM7" s="61"/>
      <c r="KN7" s="61"/>
      <c r="KO7" s="61"/>
      <c r="KP7" s="61"/>
      <c r="KQ7" s="61"/>
      <c r="KR7" s="61"/>
      <c r="KS7" s="61"/>
      <c r="KT7" s="61"/>
      <c r="KU7" s="61"/>
      <c r="KV7" s="61"/>
      <c r="KW7" s="61"/>
      <c r="KX7" s="61"/>
      <c r="KY7" s="61"/>
      <c r="KZ7" s="61"/>
      <c r="LA7" s="61"/>
      <c r="LB7" s="61"/>
      <c r="LC7" s="61"/>
      <c r="LD7" s="61"/>
      <c r="LE7" s="61"/>
      <c r="LF7" s="61"/>
      <c r="LG7" s="61"/>
      <c r="LH7" s="61"/>
      <c r="LI7" s="61"/>
      <c r="LJ7" s="61"/>
      <c r="LK7" s="61"/>
      <c r="LL7" s="61"/>
      <c r="LM7" s="61"/>
      <c r="LN7" s="61"/>
      <c r="LO7" s="61"/>
      <c r="LP7" s="61"/>
      <c r="LQ7" s="61"/>
      <c r="LR7" s="61"/>
      <c r="LS7" s="61"/>
      <c r="LT7" s="61"/>
      <c r="LU7" s="61"/>
      <c r="LV7" s="61"/>
      <c r="LW7" s="61"/>
      <c r="LX7" s="61"/>
      <c r="LY7" s="61"/>
      <c r="LZ7" s="61"/>
      <c r="MA7" s="61"/>
      <c r="MB7" s="61"/>
      <c r="MC7" s="61"/>
      <c r="MD7" s="61"/>
      <c r="ME7" s="61"/>
      <c r="MF7" s="61"/>
      <c r="MG7" s="61"/>
      <c r="MH7" s="61"/>
      <c r="MI7" s="61"/>
      <c r="MJ7" s="61"/>
      <c r="MK7" s="61"/>
      <c r="ML7" s="61"/>
      <c r="MM7" s="61"/>
      <c r="MN7" s="61"/>
      <c r="MO7" s="61"/>
      <c r="MP7" s="61"/>
      <c r="MQ7" s="61"/>
      <c r="MR7" s="61"/>
      <c r="MS7" s="61"/>
      <c r="MT7" s="61"/>
      <c r="MU7" s="61"/>
      <c r="MV7" s="713" t="s">
        <v>147</v>
      </c>
      <c r="MW7" s="713"/>
      <c r="MX7" s="713"/>
      <c r="MY7" s="713"/>
      <c r="MZ7" s="713"/>
      <c r="NA7" s="713"/>
      <c r="NB7" s="713"/>
      <c r="NC7" s="713"/>
      <c r="ND7" s="713"/>
      <c r="NE7" s="713"/>
      <c r="NF7" s="713"/>
      <c r="NG7" s="713"/>
      <c r="NH7" s="713"/>
      <c r="NI7" s="713"/>
      <c r="NJ7" s="713"/>
      <c r="NK7" s="713"/>
      <c r="NL7" s="713"/>
      <c r="NM7" s="713"/>
      <c r="NN7" s="713"/>
      <c r="NO7" s="61"/>
      <c r="NP7" s="61"/>
      <c r="NQ7" s="61"/>
      <c r="NR7" s="714" t="s">
        <v>600</v>
      </c>
      <c r="NS7" s="714"/>
      <c r="NT7" s="714"/>
      <c r="NU7" s="714"/>
      <c r="NV7" s="714"/>
      <c r="NW7" s="714"/>
      <c r="NX7" s="714"/>
      <c r="NY7" s="714"/>
      <c r="NZ7" s="714"/>
      <c r="OA7" s="715" t="s">
        <v>603</v>
      </c>
      <c r="OB7" s="715"/>
      <c r="OC7" s="715"/>
      <c r="OD7" s="715"/>
      <c r="OE7" s="715"/>
      <c r="OF7" s="715"/>
      <c r="OG7" s="715"/>
      <c r="OH7" s="715"/>
      <c r="OI7" s="715"/>
      <c r="OJ7" s="715"/>
      <c r="OK7" s="715"/>
      <c r="OL7" s="715"/>
      <c r="OM7" s="715"/>
      <c r="ON7" s="715"/>
      <c r="OO7" s="715"/>
      <c r="OP7" s="715"/>
      <c r="OQ7" s="715"/>
      <c r="OR7" s="715"/>
      <c r="OS7" s="715"/>
      <c r="OT7" s="715"/>
      <c r="OU7" s="715"/>
      <c r="OV7" s="715"/>
      <c r="OW7" s="715"/>
      <c r="OX7" s="715"/>
      <c r="OY7" s="715"/>
      <c r="OZ7" s="715"/>
      <c r="PA7" s="715"/>
      <c r="PB7" s="715"/>
      <c r="PC7" s="715"/>
      <c r="PD7" s="715"/>
      <c r="PE7" s="715"/>
      <c r="PF7" s="715"/>
      <c r="PG7" s="715"/>
      <c r="PH7" s="715"/>
      <c r="PI7" s="715"/>
      <c r="PJ7" s="715"/>
      <c r="PK7" s="715"/>
      <c r="PL7" s="715"/>
      <c r="PM7" s="715"/>
      <c r="PN7" s="715"/>
      <c r="PO7" s="715"/>
      <c r="PP7" s="715"/>
      <c r="PQ7" s="715"/>
      <c r="PR7" s="715"/>
      <c r="PS7" s="715"/>
      <c r="PT7" s="715"/>
      <c r="PU7" s="715"/>
      <c r="PV7" s="715"/>
      <c r="PW7" s="715"/>
      <c r="PX7" s="715"/>
      <c r="PY7" s="715"/>
      <c r="PZ7" s="715"/>
      <c r="QA7" s="715"/>
      <c r="QB7" s="715"/>
      <c r="QC7" s="715"/>
      <c r="QD7" s="715"/>
      <c r="QE7" s="715"/>
      <c r="QF7" s="715"/>
      <c r="QG7" s="715"/>
      <c r="QH7" s="715"/>
      <c r="QI7" s="715"/>
      <c r="QJ7" s="715"/>
      <c r="QK7" s="715"/>
      <c r="QL7" s="715"/>
      <c r="QM7" s="715"/>
      <c r="QN7" s="715"/>
      <c r="QO7" s="715"/>
      <c r="QP7" s="715"/>
      <c r="QQ7" s="715"/>
      <c r="QR7" s="715"/>
      <c r="QS7" s="715"/>
      <c r="QT7" s="715"/>
      <c r="QU7" s="715"/>
      <c r="QV7" s="715"/>
      <c r="QW7" s="715"/>
      <c r="QX7" s="715"/>
      <c r="QY7" s="715"/>
      <c r="QZ7" s="715"/>
      <c r="RA7" s="715"/>
      <c r="RB7" s="715"/>
      <c r="RC7" s="715"/>
      <c r="RD7" s="715"/>
      <c r="RE7" s="715"/>
      <c r="RF7" s="715"/>
      <c r="RG7" s="715"/>
      <c r="RH7" s="715"/>
      <c r="RI7" s="715"/>
      <c r="RJ7" s="715"/>
      <c r="RK7" s="715"/>
      <c r="RL7" s="715"/>
      <c r="RM7" s="715"/>
      <c r="RN7" s="715"/>
      <c r="RO7" s="715" t="s">
        <v>602</v>
      </c>
      <c r="RP7" s="715"/>
      <c r="RQ7" s="715"/>
      <c r="RR7" s="715"/>
      <c r="RS7" s="715"/>
      <c r="RT7" s="715"/>
      <c r="RU7" s="715"/>
      <c r="RV7" s="715"/>
      <c r="RW7" s="715"/>
      <c r="RX7" s="715"/>
      <c r="RY7" s="715"/>
      <c r="RZ7" s="715"/>
      <c r="SA7" s="715"/>
      <c r="SB7" s="715"/>
      <c r="SC7" s="715"/>
      <c r="SD7" s="715"/>
      <c r="SE7" s="715"/>
      <c r="SF7" s="715"/>
      <c r="SG7" s="715"/>
      <c r="SH7" s="715"/>
      <c r="SI7" s="715"/>
      <c r="SJ7" s="715"/>
      <c r="SK7" s="715"/>
      <c r="SL7" s="715"/>
      <c r="SM7" s="715"/>
      <c r="SN7" s="715"/>
      <c r="SO7" s="715"/>
      <c r="SP7" s="715"/>
      <c r="SQ7" s="715"/>
      <c r="SR7" s="715"/>
      <c r="SS7" s="715"/>
      <c r="ST7" s="715"/>
      <c r="SU7" s="715"/>
      <c r="SV7" s="715"/>
      <c r="SW7" s="715"/>
      <c r="SX7" s="715"/>
      <c r="SY7" s="715"/>
      <c r="SZ7" s="715"/>
      <c r="TA7" s="715"/>
      <c r="TB7" s="715"/>
      <c r="TC7" s="715"/>
      <c r="TD7" s="715"/>
      <c r="TE7" s="715"/>
      <c r="TF7" s="715"/>
      <c r="TG7" s="715"/>
      <c r="TH7" s="715"/>
      <c r="TI7" s="715"/>
      <c r="TJ7" s="715"/>
      <c r="TK7" s="715"/>
      <c r="TL7" s="715"/>
      <c r="TM7" s="715"/>
      <c r="TN7" s="715"/>
      <c r="TO7" s="715"/>
      <c r="TP7" s="715"/>
      <c r="TQ7" s="715"/>
      <c r="TR7" s="715"/>
      <c r="TS7" s="715"/>
      <c r="TT7" s="715"/>
      <c r="TU7" s="715"/>
      <c r="TV7" s="715"/>
      <c r="TW7" s="715"/>
      <c r="TX7" s="715"/>
      <c r="TY7" s="715"/>
      <c r="TZ7" s="715"/>
      <c r="UA7" s="715"/>
      <c r="UB7" s="715"/>
      <c r="UC7" s="715"/>
      <c r="UD7" s="715"/>
      <c r="UE7" s="715"/>
      <c r="UF7" s="715"/>
      <c r="UG7" s="715"/>
      <c r="UH7" s="715"/>
      <c r="UI7" s="715"/>
      <c r="UJ7" s="715"/>
      <c r="UK7" s="715"/>
      <c r="UL7" s="715"/>
      <c r="UM7" s="715"/>
      <c r="UN7" s="715"/>
      <c r="UO7" s="715"/>
      <c r="UP7" s="715"/>
      <c r="UQ7" s="715"/>
      <c r="UR7" s="715"/>
      <c r="US7" s="715"/>
      <c r="UT7" s="715"/>
      <c r="UU7" s="715"/>
      <c r="UV7" s="715"/>
      <c r="UW7" s="715"/>
      <c r="UX7" s="715"/>
      <c r="UY7" s="715"/>
      <c r="UZ7" s="715"/>
      <c r="VA7" s="715"/>
      <c r="VB7" s="715"/>
      <c r="VC7" s="715" t="s">
        <v>601</v>
      </c>
      <c r="VD7" s="715"/>
      <c r="VE7" s="715"/>
      <c r="VF7" s="715"/>
      <c r="VG7" s="715"/>
      <c r="VH7" s="715"/>
      <c r="VI7" s="715"/>
      <c r="VJ7" s="715"/>
      <c r="VK7" s="715"/>
      <c r="VL7" s="715"/>
      <c r="VM7" s="715"/>
      <c r="VN7" s="715"/>
      <c r="VO7" s="715"/>
      <c r="VP7" s="715"/>
      <c r="VQ7" s="715"/>
      <c r="VR7" s="715"/>
      <c r="VS7" s="715"/>
      <c r="VT7" s="715"/>
      <c r="VU7" s="715"/>
      <c r="VV7" s="715"/>
      <c r="VW7" s="715"/>
      <c r="VX7" s="715"/>
      <c r="VY7" s="715"/>
      <c r="VZ7" s="715"/>
      <c r="WA7" s="715"/>
      <c r="WB7" s="715"/>
      <c r="WC7" s="715"/>
      <c r="WD7" s="715"/>
      <c r="WE7" s="715"/>
      <c r="WF7" s="715"/>
      <c r="WG7" s="715"/>
      <c r="WH7" s="715"/>
      <c r="WI7" s="715"/>
      <c r="WJ7" s="715"/>
      <c r="WK7" s="715"/>
      <c r="WL7" s="715"/>
      <c r="WM7" s="715"/>
      <c r="WN7" s="715"/>
      <c r="WO7" s="715"/>
      <c r="WP7" s="715"/>
      <c r="WQ7" s="715"/>
      <c r="WR7" s="715"/>
      <c r="WS7" s="715"/>
      <c r="WT7" s="715"/>
      <c r="WU7" s="715"/>
      <c r="WV7" s="715"/>
      <c r="WW7" s="715"/>
      <c r="WX7" s="715"/>
      <c r="WY7" s="715"/>
      <c r="WZ7" s="715"/>
      <c r="XA7" s="715"/>
      <c r="XB7" s="715"/>
      <c r="XC7" s="715"/>
      <c r="XD7" s="715"/>
      <c r="XE7" s="715"/>
      <c r="XF7" s="715"/>
      <c r="XG7" s="715"/>
      <c r="XH7" s="715"/>
      <c r="XI7" s="715"/>
      <c r="XJ7" s="715"/>
      <c r="XK7" s="715"/>
      <c r="XL7" s="715"/>
      <c r="XM7" s="715"/>
      <c r="XN7" s="715"/>
      <c r="XO7" s="715"/>
      <c r="XP7" s="715"/>
      <c r="XQ7" s="715"/>
      <c r="XR7" s="715"/>
      <c r="XS7" s="715"/>
      <c r="XT7" s="715"/>
      <c r="XU7" s="715"/>
      <c r="XV7" s="715"/>
      <c r="XW7" s="715"/>
      <c r="XX7" s="715"/>
      <c r="XY7" s="715"/>
      <c r="XZ7" s="715"/>
      <c r="YA7" s="715"/>
      <c r="YB7" s="715"/>
      <c r="YC7" s="715"/>
      <c r="YD7" s="715"/>
      <c r="YE7" s="715"/>
      <c r="YF7" s="715"/>
      <c r="YG7" s="715"/>
      <c r="YH7" s="715"/>
      <c r="YI7" s="715"/>
      <c r="YJ7" s="715"/>
      <c r="YK7" s="715"/>
      <c r="YL7" s="715"/>
      <c r="YM7" s="715"/>
      <c r="YN7" s="715"/>
      <c r="YO7" s="715"/>
      <c r="YP7" s="715"/>
      <c r="YQ7" s="715"/>
      <c r="YR7" s="715"/>
      <c r="YS7" s="61"/>
      <c r="YT7" s="61"/>
      <c r="YU7" s="61"/>
      <c r="YV7" s="61"/>
      <c r="YW7" s="61"/>
      <c r="YX7" s="61"/>
      <c r="YY7" s="61"/>
      <c r="YZ7" s="61"/>
      <c r="ZA7" s="61"/>
      <c r="ZB7" s="61"/>
      <c r="ZC7" s="61"/>
      <c r="ZD7" s="61"/>
      <c r="ZE7" s="61"/>
      <c r="ZF7" s="61"/>
      <c r="ZG7" s="61"/>
      <c r="ZH7" s="61"/>
      <c r="ZI7" s="61"/>
      <c r="ZJ7" s="61"/>
      <c r="ZK7" s="61"/>
      <c r="ZL7" s="61"/>
      <c r="ZM7" s="61"/>
      <c r="ZN7" s="61"/>
      <c r="ZO7" s="61"/>
      <c r="ZP7" s="61"/>
      <c r="ZQ7" s="61"/>
      <c r="ZR7" s="61"/>
      <c r="ZS7" s="61"/>
      <c r="ZT7" s="61"/>
      <c r="ZU7" s="61"/>
      <c r="ZV7" s="61"/>
      <c r="ZW7" s="61"/>
      <c r="ZX7" s="61"/>
      <c r="ZY7" s="61"/>
      <c r="ZZ7" s="61"/>
      <c r="AAA7" s="61"/>
      <c r="AAB7" s="61"/>
      <c r="AAC7" s="61"/>
      <c r="AAD7" s="61"/>
      <c r="AAE7" s="61"/>
      <c r="AAF7" s="61"/>
      <c r="AAG7" s="61"/>
      <c r="AAH7" s="61"/>
      <c r="AAI7" s="61"/>
      <c r="AAJ7" s="61"/>
      <c r="AAK7" s="61"/>
      <c r="AAL7" s="61"/>
      <c r="AAM7" s="61"/>
      <c r="AAN7" s="61"/>
      <c r="AAO7" s="61"/>
      <c r="AAP7" s="61"/>
      <c r="AAQ7" s="61"/>
      <c r="AAR7" s="61"/>
      <c r="AAS7" s="61"/>
      <c r="AAT7" s="61"/>
      <c r="AAU7" s="61"/>
      <c r="AAV7" s="61"/>
      <c r="AAW7" s="61"/>
      <c r="AAX7" s="61"/>
      <c r="AAY7" s="61"/>
      <c r="AAZ7" s="61"/>
      <c r="ABA7" s="61"/>
      <c r="ABB7" s="61"/>
      <c r="ABC7" s="61"/>
      <c r="ABD7" s="61"/>
      <c r="ABE7" s="61"/>
      <c r="ABF7" s="61"/>
      <c r="ABG7" s="61"/>
      <c r="ABH7" s="61"/>
      <c r="ABI7" s="61"/>
      <c r="ABJ7" s="61"/>
      <c r="ABK7" s="61"/>
      <c r="ABL7" s="61"/>
      <c r="ABM7" s="61"/>
      <c r="ABN7" s="61"/>
      <c r="ABO7" s="61"/>
      <c r="ABP7" s="61"/>
      <c r="ABQ7" s="61"/>
      <c r="ABR7" s="61"/>
      <c r="ABS7" s="61"/>
      <c r="ABT7" s="61"/>
      <c r="ABU7" s="61"/>
      <c r="ABV7" s="61"/>
      <c r="ABW7" s="61"/>
      <c r="ABX7" s="61"/>
      <c r="ABY7" s="61"/>
      <c r="ABZ7" s="61"/>
      <c r="ACA7" s="61"/>
      <c r="ACB7" s="61"/>
      <c r="ACC7" s="61"/>
      <c r="ACD7" s="62"/>
    </row>
    <row r="8" spans="1:758" ht="15" thickTop="1"/>
  </sheetData>
  <mergeCells count="170">
    <mergeCell ref="AS1:AY1"/>
    <mergeCell ref="AZ1:BF1"/>
    <mergeCell ref="BG1:BM1"/>
    <mergeCell ref="BN1:BT1"/>
    <mergeCell ref="BU1:CA1"/>
    <mergeCell ref="CB1:CH1"/>
    <mergeCell ref="C1:I1"/>
    <mergeCell ref="J1:P1"/>
    <mergeCell ref="Q1:W1"/>
    <mergeCell ref="X1:AD1"/>
    <mergeCell ref="AE1:AK1"/>
    <mergeCell ref="AL1:AR1"/>
    <mergeCell ref="DY1:EE1"/>
    <mergeCell ref="EF1:EL1"/>
    <mergeCell ref="EM1:ES1"/>
    <mergeCell ref="ET1:EZ1"/>
    <mergeCell ref="FA1:FG1"/>
    <mergeCell ref="FH1:FN1"/>
    <mergeCell ref="CI1:CO1"/>
    <mergeCell ref="CP1:CV1"/>
    <mergeCell ref="CW1:DC1"/>
    <mergeCell ref="DD1:DJ1"/>
    <mergeCell ref="DK1:DQ1"/>
    <mergeCell ref="DR1:DX1"/>
    <mergeCell ref="HE1:HK1"/>
    <mergeCell ref="HL1:HR1"/>
    <mergeCell ref="HS1:HY1"/>
    <mergeCell ref="HZ1:IF1"/>
    <mergeCell ref="IG1:IM1"/>
    <mergeCell ref="IN1:IT1"/>
    <mergeCell ref="FO1:FU1"/>
    <mergeCell ref="FV1:GB1"/>
    <mergeCell ref="GC1:GI1"/>
    <mergeCell ref="GJ1:GP1"/>
    <mergeCell ref="GQ1:GW1"/>
    <mergeCell ref="GX1:HD1"/>
    <mergeCell ref="KK1:KQ1"/>
    <mergeCell ref="KR1:KX1"/>
    <mergeCell ref="KY1:LE1"/>
    <mergeCell ref="LF1:LL1"/>
    <mergeCell ref="LM1:LS1"/>
    <mergeCell ref="LT1:LZ1"/>
    <mergeCell ref="IU1:JA1"/>
    <mergeCell ref="JB1:JH1"/>
    <mergeCell ref="JI1:JO1"/>
    <mergeCell ref="JP1:JV1"/>
    <mergeCell ref="JW1:KC1"/>
    <mergeCell ref="KD1:KJ1"/>
    <mergeCell ref="NQ1:NW1"/>
    <mergeCell ref="NX1:OD1"/>
    <mergeCell ref="OE1:OK1"/>
    <mergeCell ref="OL1:OR1"/>
    <mergeCell ref="OS1:OY1"/>
    <mergeCell ref="OZ1:PF1"/>
    <mergeCell ref="MA1:MG1"/>
    <mergeCell ref="MH1:MN1"/>
    <mergeCell ref="MO1:MU1"/>
    <mergeCell ref="MV1:NB1"/>
    <mergeCell ref="NC1:NI1"/>
    <mergeCell ref="NJ1:NP1"/>
    <mergeCell ref="QW1:RC1"/>
    <mergeCell ref="RD1:RJ1"/>
    <mergeCell ref="RK1:RQ1"/>
    <mergeCell ref="RR1:RX1"/>
    <mergeCell ref="RY1:SE1"/>
    <mergeCell ref="SF1:SL1"/>
    <mergeCell ref="PG1:PM1"/>
    <mergeCell ref="PN1:PT1"/>
    <mergeCell ref="PU1:QA1"/>
    <mergeCell ref="QB1:QH1"/>
    <mergeCell ref="QI1:QO1"/>
    <mergeCell ref="QP1:QV1"/>
    <mergeCell ref="UX1:VD1"/>
    <mergeCell ref="VE1:VK1"/>
    <mergeCell ref="VL1:VR1"/>
    <mergeCell ref="SM1:SS1"/>
    <mergeCell ref="ST1:SZ1"/>
    <mergeCell ref="TA1:TG1"/>
    <mergeCell ref="TH1:TN1"/>
    <mergeCell ref="TO1:TU1"/>
    <mergeCell ref="TV1:UB1"/>
    <mergeCell ref="ABJ1:ABP1"/>
    <mergeCell ref="ABQ1:ABW1"/>
    <mergeCell ref="ABX1:ACD1"/>
    <mergeCell ref="YY1:ZE1"/>
    <mergeCell ref="ZF1:ZL1"/>
    <mergeCell ref="ZM1:ZS1"/>
    <mergeCell ref="ZT1:ZZ1"/>
    <mergeCell ref="AAA1:AAG1"/>
    <mergeCell ref="AAH1:AAN1"/>
    <mergeCell ref="Q2:AB2"/>
    <mergeCell ref="AE2:AG2"/>
    <mergeCell ref="AH2:BB2"/>
    <mergeCell ref="BC2:BR2"/>
    <mergeCell ref="BU2:CF2"/>
    <mergeCell ref="CI2:CK2"/>
    <mergeCell ref="AAO1:AAU1"/>
    <mergeCell ref="AAV1:ABB1"/>
    <mergeCell ref="ABC1:ABI1"/>
    <mergeCell ref="XI1:XO1"/>
    <mergeCell ref="XP1:XV1"/>
    <mergeCell ref="XW1:YC1"/>
    <mergeCell ref="YD1:YJ1"/>
    <mergeCell ref="YK1:YQ1"/>
    <mergeCell ref="YR1:YX1"/>
    <mergeCell ref="VS1:VY1"/>
    <mergeCell ref="VZ1:WF1"/>
    <mergeCell ref="WG1:WM1"/>
    <mergeCell ref="WN1:WT1"/>
    <mergeCell ref="WU1:XA1"/>
    <mergeCell ref="XB1:XH1"/>
    <mergeCell ref="UC1:UI1"/>
    <mergeCell ref="UJ1:UP1"/>
    <mergeCell ref="UQ1:UW1"/>
    <mergeCell ref="PY3:QE3"/>
    <mergeCell ref="QF3:RH3"/>
    <mergeCell ref="RK3:SF3"/>
    <mergeCell ref="SJ3:VT3"/>
    <mergeCell ref="KD4:KN4"/>
    <mergeCell ref="KO4:KS4"/>
    <mergeCell ref="KT4:LB4"/>
    <mergeCell ref="LC4:LT4"/>
    <mergeCell ref="LU4:MA4"/>
    <mergeCell ref="MB4:ME4"/>
    <mergeCell ref="NC3:NG3"/>
    <mergeCell ref="NJ3:NL3"/>
    <mergeCell ref="NM3:NR3"/>
    <mergeCell ref="NS3:PA3"/>
    <mergeCell ref="PB3:PG3"/>
    <mergeCell ref="PH3:PX3"/>
    <mergeCell ref="JP3:KU3"/>
    <mergeCell ref="KV3:LH3"/>
    <mergeCell ref="LJ3:LO3"/>
    <mergeCell ref="LP3:LQ3"/>
    <mergeCell ref="LT3:LV3"/>
    <mergeCell ref="LW3:MZ3"/>
    <mergeCell ref="NT4:OW4"/>
    <mergeCell ref="OZ4:PJ4"/>
    <mergeCell ref="PK4:QT4"/>
    <mergeCell ref="QU4:RI4"/>
    <mergeCell ref="RJ4:SH4"/>
    <mergeCell ref="SJ4:TS4"/>
    <mergeCell ref="MF4:ML4"/>
    <mergeCell ref="MP4:MR4"/>
    <mergeCell ref="MS4:MV4"/>
    <mergeCell ref="MW4:NE4"/>
    <mergeCell ref="NF4:NL4"/>
    <mergeCell ref="NM4:NS4"/>
    <mergeCell ref="MV7:NN7"/>
    <mergeCell ref="NR7:NZ7"/>
    <mergeCell ref="OA7:RN7"/>
    <mergeCell ref="RO7:VB7"/>
    <mergeCell ref="VC7:YR7"/>
    <mergeCell ref="YH5:ZC5"/>
    <mergeCell ref="ZF5:ZJ5"/>
    <mergeCell ref="ZM5:AAH5"/>
    <mergeCell ref="ABF5:ABN5"/>
    <mergeCell ref="MV6:NR6"/>
    <mergeCell ref="NS6:NY6"/>
    <mergeCell ref="NZ6:OV6"/>
    <mergeCell ref="OW6:PQ6"/>
    <mergeCell ref="PR6:QY6"/>
    <mergeCell ref="QZ6:SN6"/>
    <mergeCell ref="WD5:WQ5"/>
    <mergeCell ref="WR5:XE5"/>
    <mergeCell ref="XF5:XI5"/>
    <mergeCell ref="XJ5:XW5"/>
    <mergeCell ref="XX5:YD5"/>
    <mergeCell ref="YE5:YG5"/>
    <mergeCell ref="SO6:ST6"/>
  </mergeCells>
  <pageMargins left="0.7" right="0.7" top="0.75" bottom="0.75" header="0.3" footer="0.3"/>
  <pageSetup paperSize="264" scale="77" orientation="landscape" r:id="rId1"/>
  <headerFooter>
    <oddFooter>&amp;L&amp;1#&amp;"Calibri"&amp;10&amp;K737373Caterpillar: Confidential Green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8AC4B-F99E-4C88-A047-B05D0050D734}">
  <dimension ref="A1:L75"/>
  <sheetViews>
    <sheetView topLeftCell="A31" workbookViewId="0">
      <selection activeCell="D75" sqref="D75"/>
    </sheetView>
  </sheetViews>
  <sheetFormatPr defaultColWidth="9.109375" defaultRowHeight="13.8"/>
  <cols>
    <col min="1" max="1" width="9.109375" style="4"/>
    <col min="2" max="2" width="36.44140625" style="4" customWidth="1"/>
    <col min="3" max="3" width="19.88671875" style="4" customWidth="1"/>
    <col min="4" max="6" width="9.109375" style="4"/>
    <col min="7" max="7" width="9.44140625" style="4" customWidth="1"/>
    <col min="8" max="8" width="43.5546875" style="4" customWidth="1"/>
    <col min="9" max="9" width="33.6640625" style="4" customWidth="1"/>
    <col min="10" max="10" width="9.109375" style="4"/>
    <col min="11" max="11" width="11.88671875" style="4" customWidth="1"/>
    <col min="12" max="16384" width="9.109375" style="4"/>
  </cols>
  <sheetData>
    <row r="1" spans="1:3">
      <c r="A1" s="4" t="s">
        <v>504</v>
      </c>
    </row>
    <row r="3" spans="1:3">
      <c r="A3" s="4" t="s">
        <v>505</v>
      </c>
      <c r="B3" s="4" t="s">
        <v>506</v>
      </c>
    </row>
    <row r="4" spans="1:3">
      <c r="A4" s="5">
        <v>43862</v>
      </c>
      <c r="B4" s="4" t="s">
        <v>507</v>
      </c>
    </row>
    <row r="5" spans="1:3">
      <c r="A5" s="5">
        <v>44013</v>
      </c>
      <c r="B5" s="4" t="s">
        <v>508</v>
      </c>
    </row>
    <row r="6" spans="1:3">
      <c r="A6" s="5">
        <v>44136</v>
      </c>
      <c r="B6" s="4" t="s">
        <v>509</v>
      </c>
    </row>
    <row r="7" spans="1:3">
      <c r="A7" s="5">
        <v>44409</v>
      </c>
      <c r="B7" s="4" t="s">
        <v>510</v>
      </c>
    </row>
    <row r="8" spans="1:3">
      <c r="A8" s="5">
        <v>44562</v>
      </c>
      <c r="B8" s="4" t="s">
        <v>94</v>
      </c>
    </row>
    <row r="10" spans="1:3">
      <c r="A10" s="6" t="s">
        <v>511</v>
      </c>
    </row>
    <row r="11" spans="1:3">
      <c r="A11" s="4">
        <v>2019</v>
      </c>
      <c r="B11" s="7">
        <v>130011</v>
      </c>
    </row>
    <row r="12" spans="1:3">
      <c r="A12" s="4">
        <v>2020</v>
      </c>
      <c r="B12" s="7">
        <v>379500</v>
      </c>
    </row>
    <row r="13" spans="1:3">
      <c r="A13" s="4">
        <v>2021</v>
      </c>
      <c r="B13" s="7">
        <v>527000</v>
      </c>
    </row>
    <row r="14" spans="1:3">
      <c r="A14" s="4">
        <v>2022</v>
      </c>
      <c r="B14" s="7">
        <v>50000</v>
      </c>
      <c r="C14" s="6" t="s">
        <v>512</v>
      </c>
    </row>
    <row r="15" spans="1:3">
      <c r="A15" s="4" t="s">
        <v>513</v>
      </c>
      <c r="B15" s="7">
        <f>SUM(B11:B14)</f>
        <v>1086511</v>
      </c>
    </row>
    <row r="18" spans="1:10" ht="14.4" thickBot="1"/>
    <row r="19" spans="1:10">
      <c r="A19" s="8" t="s">
        <v>514</v>
      </c>
      <c r="B19" s="9"/>
      <c r="C19" s="9"/>
      <c r="D19" s="10"/>
    </row>
    <row r="20" spans="1:10">
      <c r="A20" s="11" t="s">
        <v>505</v>
      </c>
      <c r="B20" s="12" t="s">
        <v>515</v>
      </c>
      <c r="C20" s="12" t="s">
        <v>516</v>
      </c>
      <c r="D20" s="13" t="s">
        <v>517</v>
      </c>
    </row>
    <row r="21" spans="1:10">
      <c r="A21" s="14"/>
      <c r="B21" s="15" t="s">
        <v>518</v>
      </c>
      <c r="C21" s="15">
        <v>10398</v>
      </c>
      <c r="D21" s="16" t="s">
        <v>519</v>
      </c>
    </row>
    <row r="22" spans="1:10">
      <c r="A22" s="14"/>
      <c r="B22" s="15" t="s">
        <v>520</v>
      </c>
      <c r="C22" s="15">
        <v>61343</v>
      </c>
      <c r="D22" s="16"/>
    </row>
    <row r="23" spans="1:10">
      <c r="A23" s="14"/>
      <c r="B23" s="15" t="s">
        <v>521</v>
      </c>
      <c r="C23" s="15">
        <v>6189</v>
      </c>
      <c r="D23" s="16" t="s">
        <v>522</v>
      </c>
    </row>
    <row r="24" spans="1:10">
      <c r="A24" s="14"/>
      <c r="B24" s="15" t="s">
        <v>523</v>
      </c>
      <c r="C24" s="15">
        <v>8640</v>
      </c>
      <c r="D24" s="16" t="s">
        <v>519</v>
      </c>
    </row>
    <row r="25" spans="1:10">
      <c r="A25" s="14"/>
      <c r="B25" s="15" t="s">
        <v>524</v>
      </c>
      <c r="C25" s="15">
        <v>2877</v>
      </c>
      <c r="D25" s="16" t="s">
        <v>522</v>
      </c>
    </row>
    <row r="26" spans="1:10">
      <c r="A26" s="14"/>
      <c r="B26" s="15" t="s">
        <v>525</v>
      </c>
      <c r="C26" s="15">
        <f>50005-50005</f>
        <v>0</v>
      </c>
      <c r="D26" s="16"/>
    </row>
    <row r="27" spans="1:10" ht="14.4" thickBot="1">
      <c r="A27" s="17"/>
      <c r="B27" s="18" t="s">
        <v>526</v>
      </c>
      <c r="C27" s="18">
        <v>38844</v>
      </c>
      <c r="D27" s="19" t="s">
        <v>527</v>
      </c>
    </row>
    <row r="28" spans="1:10">
      <c r="C28" s="4">
        <f>SUM(C21:C27)</f>
        <v>128291</v>
      </c>
    </row>
    <row r="30" spans="1:10" ht="14.4" thickBot="1"/>
    <row r="31" spans="1:10">
      <c r="A31" s="20" t="s">
        <v>528</v>
      </c>
      <c r="B31" s="21"/>
      <c r="C31" s="21"/>
      <c r="D31" s="21"/>
      <c r="E31" s="21"/>
      <c r="F31" s="22"/>
      <c r="G31" s="21" t="s">
        <v>529</v>
      </c>
      <c r="H31" s="21"/>
      <c r="I31" s="21"/>
      <c r="J31" s="23"/>
    </row>
    <row r="32" spans="1:10">
      <c r="A32" s="24" t="s">
        <v>505</v>
      </c>
      <c r="B32" s="25" t="s">
        <v>515</v>
      </c>
      <c r="C32" s="25" t="s">
        <v>516</v>
      </c>
      <c r="D32" s="25" t="s">
        <v>517</v>
      </c>
      <c r="E32" s="25"/>
      <c r="F32" s="25"/>
      <c r="G32" s="25" t="s">
        <v>505</v>
      </c>
      <c r="H32" s="25" t="s">
        <v>515</v>
      </c>
      <c r="I32" s="25" t="s">
        <v>530</v>
      </c>
      <c r="J32" s="26" t="s">
        <v>517</v>
      </c>
    </row>
    <row r="33" spans="1:12">
      <c r="A33" s="27"/>
      <c r="B33" s="28" t="s">
        <v>521</v>
      </c>
      <c r="C33" s="29">
        <v>5500</v>
      </c>
      <c r="D33" s="28" t="s">
        <v>522</v>
      </c>
      <c r="E33" s="28"/>
      <c r="F33" s="28"/>
      <c r="G33" s="30"/>
      <c r="H33" s="31" t="s">
        <v>531</v>
      </c>
      <c r="I33" s="28">
        <v>6581</v>
      </c>
      <c r="J33" s="32" t="s">
        <v>532</v>
      </c>
    </row>
    <row r="34" spans="1:12">
      <c r="A34" s="27"/>
      <c r="B34" s="28" t="s">
        <v>524</v>
      </c>
      <c r="C34" s="29">
        <v>3000</v>
      </c>
      <c r="D34" s="28" t="s">
        <v>522</v>
      </c>
      <c r="E34" s="28"/>
      <c r="F34" s="28"/>
      <c r="G34" s="30"/>
      <c r="H34" s="33" t="s">
        <v>533</v>
      </c>
      <c r="I34" s="28">
        <v>6136</v>
      </c>
      <c r="J34" s="32" t="s">
        <v>534</v>
      </c>
    </row>
    <row r="35" spans="1:12">
      <c r="A35" s="27"/>
      <c r="B35" s="28" t="s">
        <v>535</v>
      </c>
      <c r="C35" s="29">
        <v>2000</v>
      </c>
      <c r="D35" s="28" t="s">
        <v>536</v>
      </c>
      <c r="E35" s="28"/>
      <c r="F35" s="28"/>
      <c r="G35" s="30"/>
      <c r="H35" s="33" t="s">
        <v>535</v>
      </c>
      <c r="I35" s="28">
        <v>2894</v>
      </c>
      <c r="J35" s="32" t="s">
        <v>522</v>
      </c>
    </row>
    <row r="36" spans="1:12">
      <c r="A36" s="27"/>
      <c r="B36" s="28" t="s">
        <v>537</v>
      </c>
      <c r="C36" s="29">
        <v>0</v>
      </c>
      <c r="D36" s="28" t="s">
        <v>534</v>
      </c>
      <c r="E36" s="28"/>
      <c r="F36" s="28"/>
      <c r="G36" s="30"/>
      <c r="H36" s="33" t="s">
        <v>538</v>
      </c>
      <c r="I36" s="28">
        <v>3232</v>
      </c>
      <c r="J36" s="32" t="s">
        <v>536</v>
      </c>
    </row>
    <row r="37" spans="1:12">
      <c r="A37" s="27"/>
      <c r="B37" s="28" t="s">
        <v>539</v>
      </c>
      <c r="C37" s="29">
        <v>0</v>
      </c>
      <c r="D37" s="28" t="s">
        <v>536</v>
      </c>
      <c r="E37" s="28"/>
      <c r="F37" s="28"/>
      <c r="G37" s="30"/>
      <c r="H37" s="33" t="s">
        <v>540</v>
      </c>
      <c r="I37" s="28">
        <v>15720</v>
      </c>
      <c r="J37" s="32" t="s">
        <v>527</v>
      </c>
    </row>
    <row r="38" spans="1:12">
      <c r="A38" s="27"/>
      <c r="B38" s="28" t="s">
        <v>541</v>
      </c>
      <c r="C38" s="29">
        <v>5500</v>
      </c>
      <c r="D38" s="28" t="s">
        <v>536</v>
      </c>
      <c r="E38" s="28"/>
      <c r="F38" s="28"/>
      <c r="G38" s="30"/>
      <c r="H38" s="33" t="s">
        <v>533</v>
      </c>
      <c r="I38" s="28">
        <v>6136</v>
      </c>
      <c r="J38" s="32" t="s">
        <v>534</v>
      </c>
    </row>
    <row r="39" spans="1:12">
      <c r="A39" s="27"/>
      <c r="B39" s="28" t="s">
        <v>542</v>
      </c>
      <c r="C39" s="29">
        <v>5500</v>
      </c>
      <c r="D39" s="28" t="s">
        <v>536</v>
      </c>
      <c r="E39" s="28"/>
      <c r="F39" s="28"/>
      <c r="G39" s="30"/>
      <c r="H39" s="33" t="s">
        <v>524</v>
      </c>
      <c r="I39" s="28">
        <v>3232</v>
      </c>
      <c r="J39" s="32" t="s">
        <v>543</v>
      </c>
    </row>
    <row r="40" spans="1:12">
      <c r="A40" s="27"/>
      <c r="B40" s="28" t="s">
        <v>544</v>
      </c>
      <c r="C40" s="29">
        <f>150000*0.3</f>
        <v>45000</v>
      </c>
      <c r="D40" s="34" t="s">
        <v>545</v>
      </c>
      <c r="E40" s="28"/>
      <c r="F40" s="28"/>
      <c r="G40" s="30"/>
      <c r="H40" s="33" t="s">
        <v>546</v>
      </c>
      <c r="I40" s="28">
        <v>29190</v>
      </c>
      <c r="J40" s="32" t="s">
        <v>547</v>
      </c>
    </row>
    <row r="41" spans="1:12">
      <c r="A41" s="27"/>
      <c r="B41" s="28" t="s">
        <v>548</v>
      </c>
      <c r="C41" s="29">
        <v>50000</v>
      </c>
      <c r="D41" s="28" t="s">
        <v>549</v>
      </c>
      <c r="E41" s="28"/>
      <c r="F41" s="28"/>
      <c r="G41" s="30"/>
      <c r="H41" s="33" t="s">
        <v>533</v>
      </c>
      <c r="I41" s="28">
        <v>6136</v>
      </c>
      <c r="J41" s="32" t="s">
        <v>534</v>
      </c>
    </row>
    <row r="42" spans="1:12">
      <c r="A42" s="35"/>
      <c r="B42" s="28" t="s">
        <v>550</v>
      </c>
      <c r="C42" s="29">
        <v>10000</v>
      </c>
      <c r="D42" s="28"/>
      <c r="E42" s="28"/>
      <c r="F42" s="28"/>
      <c r="G42" s="30"/>
      <c r="H42" s="33" t="s">
        <v>551</v>
      </c>
      <c r="I42" s="28">
        <v>15946</v>
      </c>
      <c r="J42" s="32" t="s">
        <v>552</v>
      </c>
    </row>
    <row r="43" spans="1:12">
      <c r="A43" s="27"/>
      <c r="B43" s="28" t="s">
        <v>553</v>
      </c>
      <c r="C43" s="29">
        <v>20000</v>
      </c>
      <c r="D43" s="28" t="s">
        <v>549</v>
      </c>
      <c r="E43" s="28"/>
      <c r="F43" s="28"/>
      <c r="G43" s="30"/>
      <c r="H43" s="33" t="s">
        <v>554</v>
      </c>
      <c r="I43" s="28">
        <v>26500</v>
      </c>
      <c r="J43" s="32" t="s">
        <v>552</v>
      </c>
    </row>
    <row r="44" spans="1:12">
      <c r="A44" s="35"/>
      <c r="B44" s="28" t="s">
        <v>555</v>
      </c>
      <c r="C44" s="29">
        <v>55000</v>
      </c>
      <c r="D44" s="28"/>
      <c r="E44" s="28"/>
      <c r="F44" s="28"/>
      <c r="G44" s="28"/>
      <c r="H44" s="33"/>
      <c r="I44" s="28"/>
      <c r="J44" s="32"/>
    </row>
    <row r="45" spans="1:12">
      <c r="A45" s="35"/>
      <c r="B45" s="28" t="s">
        <v>556</v>
      </c>
      <c r="C45" s="29">
        <v>25000</v>
      </c>
      <c r="D45" s="28"/>
      <c r="E45" s="28"/>
      <c r="F45" s="28"/>
      <c r="G45" s="28"/>
      <c r="H45" s="33" t="s">
        <v>557</v>
      </c>
      <c r="I45" s="28">
        <v>54550</v>
      </c>
      <c r="J45" s="32" t="s">
        <v>558</v>
      </c>
    </row>
    <row r="46" spans="1:12">
      <c r="A46" s="35"/>
      <c r="B46" s="28" t="s">
        <v>559</v>
      </c>
      <c r="C46" s="29">
        <v>30000</v>
      </c>
      <c r="D46" s="28"/>
      <c r="E46" s="28"/>
      <c r="F46" s="28"/>
      <c r="G46" s="28"/>
      <c r="H46" s="33" t="s">
        <v>560</v>
      </c>
      <c r="I46" s="28">
        <v>22970</v>
      </c>
      <c r="J46" s="32" t="s">
        <v>561</v>
      </c>
      <c r="L46" s="4">
        <v>200</v>
      </c>
    </row>
    <row r="47" spans="1:12">
      <c r="A47" s="35"/>
      <c r="B47" s="28" t="s">
        <v>562</v>
      </c>
      <c r="C47" s="29">
        <v>5000</v>
      </c>
      <c r="D47" s="28"/>
      <c r="E47" s="28"/>
      <c r="F47" s="28"/>
      <c r="G47" s="28"/>
      <c r="H47" s="33" t="s">
        <v>548</v>
      </c>
      <c r="I47" s="28">
        <v>34522</v>
      </c>
      <c r="J47" s="32" t="s">
        <v>561</v>
      </c>
    </row>
    <row r="48" spans="1:12">
      <c r="A48" s="35"/>
      <c r="B48" s="28" t="s">
        <v>563</v>
      </c>
      <c r="C48" s="29">
        <v>100000</v>
      </c>
      <c r="D48" s="28"/>
      <c r="E48" s="28"/>
      <c r="F48" s="28"/>
      <c r="G48" s="28"/>
      <c r="H48" s="33" t="s">
        <v>564</v>
      </c>
      <c r="I48" s="28">
        <v>21440</v>
      </c>
      <c r="J48" s="32" t="s">
        <v>565</v>
      </c>
    </row>
    <row r="49" spans="1:10">
      <c r="A49" s="35"/>
      <c r="B49" s="28" t="s">
        <v>503</v>
      </c>
      <c r="C49" s="29">
        <v>5000</v>
      </c>
      <c r="D49" s="28"/>
      <c r="E49" s="28"/>
      <c r="F49" s="28"/>
      <c r="G49" s="28"/>
      <c r="H49" s="33" t="s">
        <v>550</v>
      </c>
      <c r="I49" s="28">
        <v>9320</v>
      </c>
      <c r="J49" s="32" t="s">
        <v>566</v>
      </c>
    </row>
    <row r="50" spans="1:10">
      <c r="A50" s="35"/>
      <c r="B50" s="28" t="s">
        <v>567</v>
      </c>
      <c r="C50" s="29">
        <v>10000</v>
      </c>
      <c r="D50" s="28"/>
      <c r="E50" s="28"/>
      <c r="F50" s="28"/>
      <c r="G50" s="28"/>
      <c r="H50" s="28"/>
      <c r="I50" s="28"/>
      <c r="J50" s="32"/>
    </row>
    <row r="51" spans="1:10">
      <c r="A51" s="35"/>
      <c r="B51" s="28" t="s">
        <v>568</v>
      </c>
      <c r="C51" s="29">
        <v>3000</v>
      </c>
      <c r="D51" s="28"/>
      <c r="E51" s="28"/>
      <c r="F51" s="28"/>
      <c r="G51" s="28"/>
      <c r="H51" s="28"/>
      <c r="I51" s="28"/>
      <c r="J51" s="32"/>
    </row>
    <row r="52" spans="1:10" ht="14.4" thickBot="1">
      <c r="A52" s="36"/>
      <c r="B52" s="37" t="s">
        <v>569</v>
      </c>
      <c r="C52" s="38">
        <f>SUM(C33:C51)</f>
        <v>379500</v>
      </c>
      <c r="D52" s="37"/>
      <c r="E52" s="37"/>
      <c r="F52" s="37"/>
      <c r="G52" s="37"/>
      <c r="H52" s="37" t="s">
        <v>570</v>
      </c>
      <c r="I52" s="37">
        <f>SUM(I3:I49)</f>
        <v>264505</v>
      </c>
      <c r="J52" s="39"/>
    </row>
    <row r="55" spans="1:10" ht="14.4" thickBot="1"/>
    <row r="56" spans="1:10">
      <c r="A56" s="40" t="s">
        <v>571</v>
      </c>
      <c r="B56" s="41"/>
      <c r="C56" s="41"/>
      <c r="D56" s="41"/>
      <c r="E56" s="41"/>
      <c r="F56" s="42"/>
      <c r="G56" s="41" t="s">
        <v>572</v>
      </c>
      <c r="H56" s="41"/>
      <c r="I56" s="41"/>
      <c r="J56" s="43"/>
    </row>
    <row r="57" spans="1:10">
      <c r="A57" s="44" t="s">
        <v>505</v>
      </c>
      <c r="B57" s="45" t="s">
        <v>515</v>
      </c>
      <c r="C57" s="45" t="s">
        <v>516</v>
      </c>
      <c r="D57" s="45" t="s">
        <v>517</v>
      </c>
      <c r="E57" s="45"/>
      <c r="F57" s="45"/>
      <c r="G57" s="45" t="s">
        <v>505</v>
      </c>
      <c r="H57" s="45" t="s">
        <v>515</v>
      </c>
      <c r="I57" s="45" t="s">
        <v>530</v>
      </c>
      <c r="J57" s="46" t="s">
        <v>517</v>
      </c>
    </row>
    <row r="58" spans="1:10">
      <c r="A58" s="47"/>
      <c r="B58" s="48" t="s">
        <v>555</v>
      </c>
      <c r="C58" s="48">
        <v>55000</v>
      </c>
      <c r="D58" s="48"/>
      <c r="E58" s="48"/>
      <c r="F58" s="48"/>
      <c r="G58" s="49"/>
      <c r="H58" s="50" t="s">
        <v>521</v>
      </c>
      <c r="I58" s="48">
        <v>6581</v>
      </c>
      <c r="J58" s="51" t="s">
        <v>573</v>
      </c>
    </row>
    <row r="59" spans="1:10">
      <c r="A59" s="47"/>
      <c r="B59" s="48" t="s">
        <v>574</v>
      </c>
      <c r="C59" s="48">
        <f>55000*6</f>
        <v>330000</v>
      </c>
      <c r="D59" s="48"/>
      <c r="E59" s="48"/>
      <c r="F59" s="48"/>
      <c r="G59" s="49"/>
      <c r="H59" s="52" t="s">
        <v>533</v>
      </c>
      <c r="I59" s="48">
        <v>6136</v>
      </c>
      <c r="J59" s="51" t="s">
        <v>575</v>
      </c>
    </row>
    <row r="60" spans="1:10">
      <c r="A60" s="47"/>
      <c r="B60" s="48" t="s">
        <v>576</v>
      </c>
      <c r="C60" s="48">
        <v>75000</v>
      </c>
      <c r="D60" s="48"/>
      <c r="E60" s="48"/>
      <c r="F60" s="48"/>
      <c r="G60" s="49"/>
      <c r="H60" s="52" t="s">
        <v>577</v>
      </c>
      <c r="I60" s="48">
        <v>2894</v>
      </c>
      <c r="J60" s="51" t="s">
        <v>578</v>
      </c>
    </row>
    <row r="61" spans="1:10">
      <c r="A61" s="47"/>
      <c r="B61" s="48" t="s">
        <v>579</v>
      </c>
      <c r="C61" s="48">
        <v>40000</v>
      </c>
      <c r="D61" s="48"/>
      <c r="E61" s="48"/>
      <c r="F61" s="48"/>
      <c r="G61" s="49"/>
      <c r="H61" s="52" t="s">
        <v>524</v>
      </c>
      <c r="I61" s="48">
        <v>3232</v>
      </c>
      <c r="J61" s="51" t="s">
        <v>580</v>
      </c>
    </row>
    <row r="62" spans="1:10">
      <c r="A62" s="47"/>
      <c r="B62" s="48" t="s">
        <v>503</v>
      </c>
      <c r="C62" s="48">
        <v>0</v>
      </c>
      <c r="D62" s="48"/>
      <c r="E62" s="48"/>
      <c r="F62" s="48"/>
      <c r="G62" s="49"/>
      <c r="H62" s="52" t="s">
        <v>581</v>
      </c>
      <c r="I62" s="48">
        <v>15720</v>
      </c>
      <c r="J62" s="51" t="s">
        <v>561</v>
      </c>
    </row>
    <row r="63" spans="1:10">
      <c r="A63" s="47"/>
      <c r="B63" s="48" t="s">
        <v>582</v>
      </c>
      <c r="C63" s="48">
        <v>5000</v>
      </c>
      <c r="D63" s="48"/>
      <c r="E63" s="48"/>
      <c r="F63" s="48"/>
      <c r="G63" s="49"/>
      <c r="H63" s="52" t="s">
        <v>533</v>
      </c>
      <c r="I63" s="48">
        <v>6136</v>
      </c>
      <c r="J63" s="51" t="s">
        <v>575</v>
      </c>
    </row>
    <row r="64" spans="1:10">
      <c r="A64" s="47"/>
      <c r="B64" s="48" t="s">
        <v>583</v>
      </c>
      <c r="C64" s="48">
        <v>2000</v>
      </c>
      <c r="D64" s="48"/>
      <c r="E64" s="48"/>
      <c r="F64" s="48"/>
      <c r="G64" s="49"/>
      <c r="H64" s="52" t="s">
        <v>524</v>
      </c>
      <c r="I64" s="48">
        <v>3232</v>
      </c>
      <c r="J64" s="51" t="s">
        <v>580</v>
      </c>
    </row>
    <row r="65" spans="1:10">
      <c r="A65" s="47"/>
      <c r="B65" s="48" t="s">
        <v>584</v>
      </c>
      <c r="C65" s="48">
        <v>0</v>
      </c>
      <c r="D65" s="48"/>
      <c r="E65" s="48"/>
      <c r="F65" s="48"/>
      <c r="G65" s="49"/>
      <c r="H65" s="52" t="s">
        <v>585</v>
      </c>
      <c r="I65" s="48">
        <v>49290</v>
      </c>
      <c r="J65" s="51" t="s">
        <v>561</v>
      </c>
    </row>
    <row r="66" spans="1:10">
      <c r="A66" s="47"/>
      <c r="B66" s="48" t="s">
        <v>553</v>
      </c>
      <c r="C66" s="48">
        <v>20000</v>
      </c>
      <c r="D66" s="48" t="s">
        <v>549</v>
      </c>
      <c r="E66" s="48"/>
      <c r="F66" s="48"/>
      <c r="G66" s="49"/>
      <c r="H66" s="52" t="s">
        <v>533</v>
      </c>
      <c r="I66" s="48">
        <v>6136</v>
      </c>
      <c r="J66" s="51" t="s">
        <v>575</v>
      </c>
    </row>
    <row r="67" spans="1:10">
      <c r="A67" s="53"/>
      <c r="B67" s="48" t="s">
        <v>586</v>
      </c>
      <c r="C67" s="48">
        <v>15000</v>
      </c>
      <c r="D67" s="48"/>
      <c r="E67" s="48"/>
      <c r="F67" s="48"/>
      <c r="G67" s="49"/>
      <c r="H67" s="52" t="s">
        <v>551</v>
      </c>
      <c r="I67" s="48">
        <v>19240</v>
      </c>
      <c r="J67" s="51" t="s">
        <v>565</v>
      </c>
    </row>
    <row r="68" spans="1:10">
      <c r="A68" s="47"/>
      <c r="B68" s="48" t="s">
        <v>587</v>
      </c>
      <c r="C68" s="48">
        <v>35000</v>
      </c>
      <c r="D68" s="48"/>
      <c r="E68" s="48"/>
      <c r="F68" s="48"/>
      <c r="G68" s="49"/>
      <c r="H68" s="52" t="s">
        <v>554</v>
      </c>
      <c r="I68" s="48">
        <v>28700</v>
      </c>
      <c r="J68" s="51" t="s">
        <v>565</v>
      </c>
    </row>
    <row r="69" spans="1:10">
      <c r="A69" s="53"/>
      <c r="B69" s="48"/>
      <c r="C69" s="48"/>
      <c r="D69" s="48"/>
      <c r="E69" s="48"/>
      <c r="F69" s="48"/>
      <c r="G69" s="49"/>
      <c r="H69" s="50" t="s">
        <v>539</v>
      </c>
      <c r="I69" s="48">
        <v>39113</v>
      </c>
      <c r="J69" s="51" t="s">
        <v>575</v>
      </c>
    </row>
    <row r="70" spans="1:10">
      <c r="A70" s="53"/>
      <c r="B70" s="48"/>
      <c r="C70" s="48"/>
      <c r="D70" s="48"/>
      <c r="E70" s="48"/>
      <c r="F70" s="48"/>
      <c r="G70" s="49"/>
      <c r="H70" s="50" t="s">
        <v>588</v>
      </c>
      <c r="I70" s="48">
        <v>305900</v>
      </c>
      <c r="J70" s="51" t="s">
        <v>589</v>
      </c>
    </row>
    <row r="71" spans="1:10">
      <c r="A71" s="53"/>
      <c r="B71" s="48"/>
      <c r="C71" s="48"/>
      <c r="D71" s="48"/>
      <c r="E71" s="48"/>
      <c r="F71" s="48"/>
      <c r="G71" s="48"/>
      <c r="H71" s="50" t="s">
        <v>590</v>
      </c>
      <c r="I71" s="48">
        <f>11985+30000+33010</f>
        <v>74995</v>
      </c>
      <c r="J71" s="51"/>
    </row>
    <row r="72" spans="1:10">
      <c r="A72" s="53"/>
      <c r="B72" s="48"/>
      <c r="C72" s="48"/>
      <c r="D72" s="48"/>
      <c r="E72" s="48"/>
      <c r="F72" s="48"/>
      <c r="G72" s="48"/>
      <c r="H72" s="48"/>
      <c r="I72" s="48"/>
      <c r="J72" s="51"/>
    </row>
    <row r="73" spans="1:10">
      <c r="A73" s="53"/>
      <c r="B73" s="48"/>
      <c r="C73" s="48"/>
      <c r="D73" s="48"/>
      <c r="E73" s="48"/>
      <c r="F73" s="48"/>
      <c r="G73" s="48"/>
      <c r="H73" s="48"/>
      <c r="I73" s="48"/>
      <c r="J73" s="51"/>
    </row>
    <row r="74" spans="1:10">
      <c r="A74" s="53"/>
      <c r="B74" s="48"/>
      <c r="C74" s="48"/>
      <c r="D74" s="48"/>
      <c r="E74" s="48"/>
      <c r="F74" s="48"/>
      <c r="G74" s="48"/>
      <c r="H74" s="48"/>
      <c r="I74" s="48"/>
      <c r="J74" s="51"/>
    </row>
    <row r="75" spans="1:10" ht="14.4" thickBot="1">
      <c r="A75" s="54"/>
      <c r="B75" s="55" t="s">
        <v>591</v>
      </c>
      <c r="C75" s="55">
        <f>SUM(C58:C73)</f>
        <v>577000</v>
      </c>
      <c r="D75" s="55"/>
      <c r="E75" s="55"/>
      <c r="F75" s="55"/>
      <c r="G75" s="55"/>
      <c r="H75" s="55" t="s">
        <v>592</v>
      </c>
      <c r="I75" s="55">
        <f>SUM(I58:I70)+SUM(I43:I45)</f>
        <v>573360</v>
      </c>
      <c r="J75" s="56"/>
    </row>
  </sheetData>
  <pageMargins left="0.7" right="0.7" top="0.75" bottom="0.75" header="0.3" footer="0.3"/>
  <pageSetup orientation="portrait" r:id="rId1"/>
  <headerFooter>
    <oddFooter>&amp;L&amp;1#&amp;"Calibri"&amp;10&amp;K737373Caterpillar: Confidential Green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8A4B-EE4C-4E64-A47F-DC931F09D8BF}">
  <dimension ref="A1:J366"/>
  <sheetViews>
    <sheetView topLeftCell="A70" workbookViewId="0">
      <selection activeCell="A88" sqref="A88:XFD88"/>
    </sheetView>
  </sheetViews>
  <sheetFormatPr defaultRowHeight="14.4"/>
  <cols>
    <col min="1" max="1" width="53.88671875" bestFit="1" customWidth="1"/>
    <col min="2" max="2" width="41.6640625" bestFit="1" customWidth="1"/>
    <col min="3" max="3" width="14.109375" bestFit="1" customWidth="1"/>
    <col min="4" max="4" width="11.33203125" bestFit="1" customWidth="1"/>
    <col min="5" max="5" width="11" bestFit="1" customWidth="1"/>
    <col min="6" max="6" width="17.44140625" bestFit="1" customWidth="1"/>
    <col min="7" max="7" width="18.109375" bestFit="1" customWidth="1"/>
    <col min="8" max="8" width="23" bestFit="1" customWidth="1"/>
    <col min="9" max="9" width="96.88671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>
        <v>1075</v>
      </c>
      <c r="D2" t="s">
        <v>11</v>
      </c>
      <c r="E2" s="1">
        <v>44371</v>
      </c>
      <c r="F2" s="2">
        <v>1070077.22</v>
      </c>
      <c r="G2" s="2">
        <v>1032930.9</v>
      </c>
      <c r="H2">
        <v>801</v>
      </c>
    </row>
    <row r="3" spans="1:10">
      <c r="A3" t="s">
        <v>12</v>
      </c>
      <c r="C3">
        <v>953</v>
      </c>
      <c r="D3" t="s">
        <v>11</v>
      </c>
      <c r="E3" s="1">
        <v>44188</v>
      </c>
      <c r="F3" s="2">
        <v>9195.44</v>
      </c>
      <c r="G3" s="2">
        <v>6548.3</v>
      </c>
      <c r="H3">
        <v>0</v>
      </c>
    </row>
    <row r="4" spans="1:10">
      <c r="A4" t="s">
        <v>13</v>
      </c>
      <c r="B4" t="s">
        <v>14</v>
      </c>
      <c r="C4">
        <v>208</v>
      </c>
      <c r="D4" t="s">
        <v>11</v>
      </c>
      <c r="E4" t="s">
        <v>15</v>
      </c>
      <c r="F4" s="2">
        <v>2585.44</v>
      </c>
      <c r="G4" s="2">
        <v>0</v>
      </c>
      <c r="I4" t="s">
        <v>16</v>
      </c>
      <c r="J4" t="s">
        <v>17</v>
      </c>
    </row>
    <row r="5" spans="1:10">
      <c r="A5" t="s">
        <v>18</v>
      </c>
      <c r="B5" t="s">
        <v>19</v>
      </c>
      <c r="C5">
        <v>247</v>
      </c>
      <c r="D5" t="s">
        <v>20</v>
      </c>
      <c r="E5" s="1">
        <v>43819</v>
      </c>
      <c r="F5" s="2">
        <v>1905</v>
      </c>
      <c r="G5" s="2">
        <v>1843.3</v>
      </c>
      <c r="I5" t="s">
        <v>16</v>
      </c>
      <c r="J5" t="s">
        <v>17</v>
      </c>
    </row>
    <row r="6" spans="1:10">
      <c r="A6" t="s">
        <v>21</v>
      </c>
      <c r="B6" t="s">
        <v>22</v>
      </c>
      <c r="C6">
        <v>249</v>
      </c>
      <c r="D6" t="s">
        <v>23</v>
      </c>
      <c r="E6" s="1">
        <v>44188</v>
      </c>
      <c r="F6" s="2">
        <v>4705</v>
      </c>
      <c r="G6" s="2">
        <v>4705</v>
      </c>
      <c r="I6" t="s">
        <v>16</v>
      </c>
      <c r="J6" t="s">
        <v>17</v>
      </c>
    </row>
    <row r="7" spans="1:10">
      <c r="A7" t="s">
        <v>24</v>
      </c>
      <c r="C7">
        <v>930</v>
      </c>
      <c r="D7" t="s">
        <v>25</v>
      </c>
      <c r="E7" s="1">
        <v>44188</v>
      </c>
      <c r="F7" s="2">
        <v>143371.32</v>
      </c>
      <c r="G7" s="2">
        <v>109775.78</v>
      </c>
      <c r="H7">
        <v>0</v>
      </c>
    </row>
    <row r="8" spans="1:10">
      <c r="A8" t="s">
        <v>26</v>
      </c>
      <c r="B8" t="s">
        <v>27</v>
      </c>
      <c r="C8">
        <v>185</v>
      </c>
      <c r="D8" t="s">
        <v>25</v>
      </c>
      <c r="E8" t="s">
        <v>15</v>
      </c>
      <c r="F8" s="2">
        <v>8050</v>
      </c>
      <c r="G8" s="2">
        <v>0</v>
      </c>
      <c r="I8" t="s">
        <v>28</v>
      </c>
      <c r="J8" t="s">
        <v>17</v>
      </c>
    </row>
    <row r="9" spans="1:10">
      <c r="A9" t="s">
        <v>29</v>
      </c>
      <c r="B9" t="s">
        <v>30</v>
      </c>
      <c r="C9">
        <v>185</v>
      </c>
      <c r="D9" t="s">
        <v>25</v>
      </c>
      <c r="E9" t="s">
        <v>15</v>
      </c>
      <c r="F9" s="2">
        <v>2760</v>
      </c>
      <c r="G9" s="2">
        <v>0</v>
      </c>
      <c r="I9" t="s">
        <v>31</v>
      </c>
      <c r="J9" t="s">
        <v>17</v>
      </c>
    </row>
    <row r="10" spans="1:10">
      <c r="A10" t="s">
        <v>32</v>
      </c>
      <c r="B10" t="s">
        <v>33</v>
      </c>
      <c r="C10">
        <v>185</v>
      </c>
      <c r="D10" t="s">
        <v>25</v>
      </c>
      <c r="E10" t="s">
        <v>15</v>
      </c>
      <c r="F10" s="2">
        <v>17250</v>
      </c>
      <c r="G10" s="2">
        <v>0</v>
      </c>
      <c r="I10" t="s">
        <v>34</v>
      </c>
      <c r="J10" t="s">
        <v>17</v>
      </c>
    </row>
    <row r="11" spans="1:10">
      <c r="A11" t="s">
        <v>35</v>
      </c>
      <c r="B11" t="s">
        <v>36</v>
      </c>
      <c r="C11">
        <v>165</v>
      </c>
      <c r="D11" t="s">
        <v>37</v>
      </c>
      <c r="E11" t="s">
        <v>15</v>
      </c>
      <c r="F11" s="2">
        <v>0</v>
      </c>
      <c r="G11" s="2">
        <v>0</v>
      </c>
      <c r="J11" t="s">
        <v>38</v>
      </c>
    </row>
    <row r="12" spans="1:10">
      <c r="A12" t="s">
        <v>39</v>
      </c>
      <c r="B12" t="s">
        <v>40</v>
      </c>
      <c r="C12">
        <v>5</v>
      </c>
      <c r="D12" t="s">
        <v>41</v>
      </c>
      <c r="E12" t="s">
        <v>42</v>
      </c>
      <c r="F12" s="2">
        <v>3750</v>
      </c>
      <c r="G12" s="2">
        <v>0</v>
      </c>
      <c r="I12" t="s">
        <v>34</v>
      </c>
      <c r="J12" t="s">
        <v>43</v>
      </c>
    </row>
    <row r="13" spans="1:10">
      <c r="A13" t="s">
        <v>44</v>
      </c>
      <c r="B13" t="s">
        <v>45</v>
      </c>
      <c r="C13">
        <v>247</v>
      </c>
      <c r="D13" t="s">
        <v>20</v>
      </c>
      <c r="E13" s="1">
        <v>43819</v>
      </c>
      <c r="F13" s="2">
        <v>6104</v>
      </c>
      <c r="G13" s="2">
        <v>5906.3</v>
      </c>
      <c r="I13" t="s">
        <v>31</v>
      </c>
      <c r="J13" t="s">
        <v>17</v>
      </c>
    </row>
    <row r="14" spans="1:10">
      <c r="A14" t="s">
        <v>46</v>
      </c>
      <c r="B14" t="s">
        <v>47</v>
      </c>
      <c r="C14">
        <v>247</v>
      </c>
      <c r="D14" t="s">
        <v>20</v>
      </c>
      <c r="E14" s="1">
        <v>43819</v>
      </c>
      <c r="F14" s="2">
        <v>23980</v>
      </c>
      <c r="G14" s="2">
        <v>23203.32</v>
      </c>
      <c r="I14" t="s">
        <v>34</v>
      </c>
      <c r="J14" t="s">
        <v>17</v>
      </c>
    </row>
    <row r="15" spans="1:10">
      <c r="A15" t="s">
        <v>48</v>
      </c>
      <c r="B15" t="s">
        <v>49</v>
      </c>
      <c r="C15">
        <v>247</v>
      </c>
      <c r="D15" t="s">
        <v>20</v>
      </c>
      <c r="E15" s="1">
        <v>43819</v>
      </c>
      <c r="F15" s="2">
        <v>25044.65</v>
      </c>
      <c r="G15" s="2">
        <v>24233.49</v>
      </c>
      <c r="I15" t="s">
        <v>50</v>
      </c>
      <c r="J15" t="s">
        <v>17</v>
      </c>
    </row>
    <row r="16" spans="1:10">
      <c r="A16" t="s">
        <v>51</v>
      </c>
      <c r="B16" t="s">
        <v>52</v>
      </c>
      <c r="C16">
        <v>5</v>
      </c>
      <c r="D16" t="s">
        <v>53</v>
      </c>
      <c r="E16" s="1">
        <v>43749</v>
      </c>
      <c r="F16" s="2">
        <v>8000</v>
      </c>
      <c r="G16" s="2">
        <v>8000</v>
      </c>
      <c r="I16" t="s">
        <v>34</v>
      </c>
      <c r="J16" t="s">
        <v>43</v>
      </c>
    </row>
    <row r="17" spans="1:10">
      <c r="A17" t="s">
        <v>54</v>
      </c>
      <c r="B17" t="s">
        <v>55</v>
      </c>
      <c r="C17">
        <v>249</v>
      </c>
      <c r="D17" t="s">
        <v>23</v>
      </c>
      <c r="E17" s="1">
        <v>44188</v>
      </c>
      <c r="F17" s="2">
        <v>17031.8</v>
      </c>
      <c r="G17" s="2">
        <v>17031.8</v>
      </c>
      <c r="I17" t="s">
        <v>34</v>
      </c>
      <c r="J17" t="s">
        <v>17</v>
      </c>
    </row>
    <row r="18" spans="1:10">
      <c r="A18" t="s">
        <v>56</v>
      </c>
      <c r="B18" t="s">
        <v>57</v>
      </c>
      <c r="C18">
        <v>249</v>
      </c>
      <c r="D18" t="s">
        <v>23</v>
      </c>
      <c r="E18" s="1">
        <v>44188</v>
      </c>
      <c r="F18" s="2">
        <v>25247.439999999999</v>
      </c>
      <c r="G18" s="2">
        <v>25247.439999999999</v>
      </c>
      <c r="I18" t="s">
        <v>50</v>
      </c>
      <c r="J18" t="s">
        <v>17</v>
      </c>
    </row>
    <row r="19" spans="1:10">
      <c r="A19" t="s">
        <v>58</v>
      </c>
      <c r="B19" t="s">
        <v>59</v>
      </c>
      <c r="C19">
        <v>249</v>
      </c>
      <c r="D19" t="s">
        <v>23</v>
      </c>
      <c r="E19" s="1">
        <v>44188</v>
      </c>
      <c r="F19" s="2">
        <v>6153.42</v>
      </c>
      <c r="G19" s="2">
        <v>6153.42</v>
      </c>
      <c r="I19" t="s">
        <v>31</v>
      </c>
      <c r="J19" t="s">
        <v>17</v>
      </c>
    </row>
    <row r="20" spans="1:10">
      <c r="A20" t="s">
        <v>60</v>
      </c>
      <c r="C20">
        <v>497</v>
      </c>
      <c r="D20" t="s">
        <v>20</v>
      </c>
      <c r="E20" s="1">
        <v>44188</v>
      </c>
      <c r="F20" s="2">
        <v>12039.64</v>
      </c>
      <c r="G20" s="2">
        <v>11136</v>
      </c>
      <c r="H20">
        <v>0</v>
      </c>
    </row>
    <row r="21" spans="1:10">
      <c r="A21" t="s">
        <v>61</v>
      </c>
      <c r="B21" t="s">
        <v>62</v>
      </c>
      <c r="C21">
        <v>247</v>
      </c>
      <c r="D21" t="s">
        <v>20</v>
      </c>
      <c r="E21" s="1">
        <v>43819</v>
      </c>
      <c r="F21" s="2">
        <v>2759.64</v>
      </c>
      <c r="G21" s="2">
        <v>1856</v>
      </c>
      <c r="I21" t="s">
        <v>63</v>
      </c>
      <c r="J21" t="s">
        <v>17</v>
      </c>
    </row>
    <row r="22" spans="1:10">
      <c r="A22" t="s">
        <v>64</v>
      </c>
      <c r="B22" t="s">
        <v>65</v>
      </c>
      <c r="C22">
        <v>249</v>
      </c>
      <c r="D22" t="s">
        <v>23</v>
      </c>
      <c r="E22" s="1">
        <v>44188</v>
      </c>
      <c r="F22" s="2">
        <v>9280</v>
      </c>
      <c r="G22" s="2">
        <v>9280</v>
      </c>
      <c r="I22" t="s">
        <v>63</v>
      </c>
      <c r="J22" t="s">
        <v>17</v>
      </c>
    </row>
    <row r="23" spans="1:10">
      <c r="A23" t="s">
        <v>66</v>
      </c>
      <c r="C23">
        <v>785</v>
      </c>
      <c r="D23" t="s">
        <v>67</v>
      </c>
      <c r="E23" s="1">
        <v>44302</v>
      </c>
      <c r="F23" s="2">
        <v>0</v>
      </c>
      <c r="G23" s="2">
        <v>0</v>
      </c>
      <c r="H23">
        <v>0</v>
      </c>
    </row>
    <row r="24" spans="1:10">
      <c r="A24" t="s">
        <v>68</v>
      </c>
      <c r="B24" t="s">
        <v>69</v>
      </c>
      <c r="C24">
        <v>0</v>
      </c>
      <c r="D24" t="s">
        <v>67</v>
      </c>
      <c r="F24" s="2">
        <v>0</v>
      </c>
      <c r="G24" s="2">
        <v>0</v>
      </c>
      <c r="I24" t="s">
        <v>34</v>
      </c>
      <c r="J24" t="s">
        <v>17</v>
      </c>
    </row>
    <row r="25" spans="1:10">
      <c r="A25" t="s">
        <v>70</v>
      </c>
      <c r="B25" t="s">
        <v>71</v>
      </c>
      <c r="C25">
        <v>0</v>
      </c>
      <c r="D25" t="s">
        <v>72</v>
      </c>
      <c r="F25" s="2">
        <v>0</v>
      </c>
      <c r="G25" s="2">
        <v>0</v>
      </c>
      <c r="I25" t="s">
        <v>34</v>
      </c>
      <c r="J25" t="s">
        <v>17</v>
      </c>
    </row>
    <row r="26" spans="1:10">
      <c r="A26" t="s">
        <v>73</v>
      </c>
      <c r="B26" t="s">
        <v>74</v>
      </c>
      <c r="C26">
        <v>0</v>
      </c>
      <c r="D26" t="s">
        <v>75</v>
      </c>
      <c r="F26" s="2">
        <v>0</v>
      </c>
      <c r="G26" s="2">
        <v>0</v>
      </c>
      <c r="I26" t="s">
        <v>34</v>
      </c>
      <c r="J26" t="s">
        <v>17</v>
      </c>
    </row>
    <row r="27" spans="1:10">
      <c r="A27" t="s">
        <v>76</v>
      </c>
      <c r="B27" t="s">
        <v>77</v>
      </c>
      <c r="C27">
        <v>0</v>
      </c>
      <c r="E27" t="s">
        <v>78</v>
      </c>
      <c r="F27" s="2">
        <v>0</v>
      </c>
      <c r="G27" s="2">
        <v>0</v>
      </c>
      <c r="I27" t="s">
        <v>34</v>
      </c>
      <c r="J27" t="s">
        <v>17</v>
      </c>
    </row>
    <row r="28" spans="1:10">
      <c r="A28" t="s">
        <v>79</v>
      </c>
      <c r="B28" t="s">
        <v>80</v>
      </c>
      <c r="C28">
        <v>0</v>
      </c>
      <c r="D28" t="s">
        <v>81</v>
      </c>
      <c r="F28" s="2">
        <v>0</v>
      </c>
      <c r="G28" s="2">
        <v>0</v>
      </c>
      <c r="I28" t="s">
        <v>28</v>
      </c>
      <c r="J28" t="s">
        <v>17</v>
      </c>
    </row>
    <row r="29" spans="1:10">
      <c r="A29" t="s">
        <v>82</v>
      </c>
      <c r="B29" t="s">
        <v>83</v>
      </c>
      <c r="C29">
        <v>0</v>
      </c>
      <c r="D29" t="s">
        <v>84</v>
      </c>
      <c r="F29" s="2">
        <v>0</v>
      </c>
      <c r="G29" s="2">
        <v>0</v>
      </c>
      <c r="I29" t="s">
        <v>34</v>
      </c>
      <c r="J29" t="s">
        <v>17</v>
      </c>
    </row>
    <row r="30" spans="1:10">
      <c r="A30" t="s">
        <v>85</v>
      </c>
      <c r="B30" t="s">
        <v>86</v>
      </c>
      <c r="C30">
        <v>0</v>
      </c>
      <c r="D30" t="s">
        <v>87</v>
      </c>
      <c r="F30" s="2">
        <v>0</v>
      </c>
      <c r="G30" s="2">
        <v>0</v>
      </c>
      <c r="I30" t="s">
        <v>34</v>
      </c>
      <c r="J30" t="s">
        <v>17</v>
      </c>
    </row>
    <row r="31" spans="1:10">
      <c r="A31" t="s">
        <v>88</v>
      </c>
      <c r="B31" t="s">
        <v>89</v>
      </c>
      <c r="C31">
        <v>0</v>
      </c>
      <c r="D31" t="s">
        <v>87</v>
      </c>
      <c r="F31" s="2">
        <v>0</v>
      </c>
      <c r="G31" s="2">
        <v>0</v>
      </c>
      <c r="I31" t="s">
        <v>34</v>
      </c>
      <c r="J31" t="s">
        <v>17</v>
      </c>
    </row>
    <row r="32" spans="1:10">
      <c r="A32" t="s">
        <v>90</v>
      </c>
      <c r="B32" t="s">
        <v>91</v>
      </c>
      <c r="C32">
        <v>0</v>
      </c>
      <c r="D32" t="s">
        <v>92</v>
      </c>
      <c r="F32" s="2">
        <v>0</v>
      </c>
      <c r="G32" s="2">
        <v>0</v>
      </c>
      <c r="I32" t="s">
        <v>34</v>
      </c>
      <c r="J32" t="s">
        <v>17</v>
      </c>
    </row>
    <row r="33" spans="1:10">
      <c r="A33" t="s">
        <v>93</v>
      </c>
      <c r="B33" t="s">
        <v>94</v>
      </c>
      <c r="C33">
        <v>0</v>
      </c>
      <c r="D33" t="s">
        <v>95</v>
      </c>
      <c r="F33" s="2">
        <v>0</v>
      </c>
      <c r="G33" s="2">
        <v>0</v>
      </c>
      <c r="I33" t="s">
        <v>34</v>
      </c>
      <c r="J33" t="s">
        <v>17</v>
      </c>
    </row>
    <row r="34" spans="1:10">
      <c r="A34" t="s">
        <v>96</v>
      </c>
      <c r="C34">
        <v>110</v>
      </c>
      <c r="D34" t="s">
        <v>97</v>
      </c>
      <c r="E34" t="s">
        <v>78</v>
      </c>
      <c r="F34" s="2">
        <v>0</v>
      </c>
      <c r="G34" s="2">
        <v>0</v>
      </c>
      <c r="H34">
        <v>0</v>
      </c>
    </row>
    <row r="35" spans="1:10">
      <c r="A35" t="s">
        <v>98</v>
      </c>
      <c r="B35" t="s">
        <v>99</v>
      </c>
      <c r="C35">
        <v>0</v>
      </c>
      <c r="D35" t="s">
        <v>97</v>
      </c>
      <c r="F35" s="2">
        <v>0</v>
      </c>
      <c r="G35" s="2">
        <v>0</v>
      </c>
      <c r="I35" t="s">
        <v>100</v>
      </c>
      <c r="J35" t="s">
        <v>17</v>
      </c>
    </row>
    <row r="36" spans="1:10">
      <c r="A36" t="s">
        <v>101</v>
      </c>
      <c r="B36" t="s">
        <v>102</v>
      </c>
      <c r="C36">
        <v>0</v>
      </c>
      <c r="D36" t="s">
        <v>103</v>
      </c>
      <c r="F36" s="2">
        <v>0</v>
      </c>
      <c r="G36" s="2">
        <v>0</v>
      </c>
      <c r="I36" t="s">
        <v>100</v>
      </c>
      <c r="J36" t="s">
        <v>17</v>
      </c>
    </row>
    <row r="37" spans="1:10">
      <c r="A37" t="s">
        <v>104</v>
      </c>
      <c r="B37" t="s">
        <v>105</v>
      </c>
      <c r="C37">
        <v>0</v>
      </c>
      <c r="D37" t="s">
        <v>106</v>
      </c>
      <c r="F37" s="2">
        <v>0</v>
      </c>
      <c r="G37" s="2">
        <v>0</v>
      </c>
      <c r="I37" t="s">
        <v>100</v>
      </c>
      <c r="J37" t="s">
        <v>17</v>
      </c>
    </row>
    <row r="38" spans="1:10">
      <c r="A38" t="s">
        <v>107</v>
      </c>
      <c r="B38" t="s">
        <v>108</v>
      </c>
      <c r="C38">
        <v>0</v>
      </c>
      <c r="D38" t="s">
        <v>78</v>
      </c>
      <c r="F38" s="2">
        <v>0</v>
      </c>
      <c r="G38" s="2">
        <v>0</v>
      </c>
      <c r="I38" t="s">
        <v>100</v>
      </c>
      <c r="J38" t="s">
        <v>17</v>
      </c>
    </row>
    <row r="39" spans="1:10">
      <c r="A39" t="s">
        <v>109</v>
      </c>
      <c r="C39">
        <v>149</v>
      </c>
      <c r="D39" s="1">
        <v>43479</v>
      </c>
      <c r="E39" s="1">
        <v>43690</v>
      </c>
      <c r="F39" s="2">
        <v>116952.89</v>
      </c>
      <c r="G39" s="2">
        <v>116952.89</v>
      </c>
      <c r="H39">
        <v>68</v>
      </c>
    </row>
    <row r="40" spans="1:10">
      <c r="A40" t="s">
        <v>110</v>
      </c>
      <c r="C40">
        <v>149</v>
      </c>
      <c r="D40" s="1">
        <v>43479</v>
      </c>
      <c r="E40" s="1">
        <v>43690</v>
      </c>
      <c r="F40" s="2">
        <v>116952.89</v>
      </c>
      <c r="G40" s="2">
        <v>116952.89</v>
      </c>
      <c r="H40">
        <v>68</v>
      </c>
    </row>
    <row r="41" spans="1:10">
      <c r="A41" t="s">
        <v>111</v>
      </c>
      <c r="C41">
        <v>110</v>
      </c>
      <c r="D41" s="1">
        <v>43535</v>
      </c>
      <c r="E41" s="1">
        <v>43690</v>
      </c>
      <c r="F41" s="2">
        <v>0</v>
      </c>
      <c r="G41" s="2">
        <v>0</v>
      </c>
      <c r="H41">
        <v>0</v>
      </c>
    </row>
    <row r="42" spans="1:10">
      <c r="A42" t="s">
        <v>112</v>
      </c>
      <c r="B42" t="s">
        <v>113</v>
      </c>
      <c r="C42">
        <v>0</v>
      </c>
      <c r="D42" s="1">
        <v>43535</v>
      </c>
      <c r="F42" s="2">
        <v>0</v>
      </c>
      <c r="G42" s="2">
        <v>0</v>
      </c>
      <c r="I42" t="s">
        <v>31</v>
      </c>
      <c r="J42" t="s">
        <v>17</v>
      </c>
    </row>
    <row r="43" spans="1:10">
      <c r="A43" t="s">
        <v>114</v>
      </c>
      <c r="B43" t="s">
        <v>115</v>
      </c>
      <c r="C43">
        <v>52</v>
      </c>
      <c r="D43" s="1">
        <v>43535</v>
      </c>
      <c r="E43" s="1">
        <v>43606</v>
      </c>
      <c r="F43" s="2">
        <v>0</v>
      </c>
      <c r="G43" s="2">
        <v>0</v>
      </c>
      <c r="I43" t="s">
        <v>31</v>
      </c>
      <c r="J43" t="s">
        <v>17</v>
      </c>
    </row>
    <row r="44" spans="1:10">
      <c r="A44" t="s">
        <v>116</v>
      </c>
      <c r="B44" t="s">
        <v>117</v>
      </c>
      <c r="C44">
        <v>0</v>
      </c>
      <c r="E44" s="1">
        <v>43606</v>
      </c>
      <c r="F44" s="2">
        <v>0</v>
      </c>
      <c r="G44" s="2">
        <v>0</v>
      </c>
      <c r="I44" t="s">
        <v>31</v>
      </c>
      <c r="J44" t="s">
        <v>17</v>
      </c>
    </row>
    <row r="45" spans="1:10">
      <c r="A45" t="s">
        <v>118</v>
      </c>
      <c r="B45" t="s">
        <v>119</v>
      </c>
      <c r="C45">
        <v>0</v>
      </c>
      <c r="E45" s="1">
        <v>43690</v>
      </c>
      <c r="F45" s="2">
        <v>0</v>
      </c>
      <c r="G45" s="2">
        <v>0</v>
      </c>
      <c r="I45" t="s">
        <v>31</v>
      </c>
      <c r="J45" t="s">
        <v>17</v>
      </c>
    </row>
    <row r="46" spans="1:10">
      <c r="A46" t="s">
        <v>120</v>
      </c>
      <c r="C46">
        <v>112</v>
      </c>
      <c r="D46" s="1">
        <v>43479</v>
      </c>
      <c r="E46" s="1">
        <v>43636</v>
      </c>
      <c r="F46" s="2">
        <v>50004.89</v>
      </c>
      <c r="G46" s="2">
        <v>50004.89</v>
      </c>
      <c r="H46">
        <v>48</v>
      </c>
    </row>
    <row r="47" spans="1:10">
      <c r="A47" t="s">
        <v>121</v>
      </c>
      <c r="B47" t="s">
        <v>122</v>
      </c>
      <c r="C47">
        <v>40</v>
      </c>
      <c r="D47" s="1">
        <v>43479</v>
      </c>
      <c r="E47" s="1">
        <v>43535</v>
      </c>
      <c r="F47" s="2">
        <v>3148.89</v>
      </c>
      <c r="G47" s="2">
        <v>3148.89</v>
      </c>
      <c r="I47" t="s">
        <v>123</v>
      </c>
      <c r="J47" t="s">
        <v>17</v>
      </c>
    </row>
    <row r="48" spans="1:10">
      <c r="A48" t="s">
        <v>124</v>
      </c>
      <c r="B48" t="s">
        <v>125</v>
      </c>
      <c r="C48">
        <v>3</v>
      </c>
      <c r="D48" s="1">
        <v>43530</v>
      </c>
      <c r="E48" s="1">
        <v>43532</v>
      </c>
      <c r="F48" s="2">
        <v>3161</v>
      </c>
      <c r="G48" s="2">
        <v>3161</v>
      </c>
      <c r="I48" t="s">
        <v>123</v>
      </c>
      <c r="J48" t="s">
        <v>17</v>
      </c>
    </row>
    <row r="49" spans="1:10">
      <c r="A49" t="s">
        <v>126</v>
      </c>
      <c r="B49" t="s">
        <v>127</v>
      </c>
      <c r="C49">
        <v>3</v>
      </c>
      <c r="D49" t="s">
        <v>128</v>
      </c>
      <c r="E49" s="1">
        <v>43537</v>
      </c>
      <c r="F49" s="2">
        <v>4972</v>
      </c>
      <c r="G49" s="2">
        <v>4972</v>
      </c>
      <c r="I49" t="s">
        <v>129</v>
      </c>
      <c r="J49" t="s">
        <v>17</v>
      </c>
    </row>
    <row r="50" spans="1:10">
      <c r="A50" t="s">
        <v>130</v>
      </c>
      <c r="B50" t="s">
        <v>131</v>
      </c>
      <c r="C50">
        <v>3</v>
      </c>
      <c r="D50" s="1">
        <v>43538</v>
      </c>
      <c r="E50" s="1">
        <v>43542</v>
      </c>
      <c r="F50" s="2">
        <v>9135</v>
      </c>
      <c r="G50" s="2">
        <v>9135</v>
      </c>
      <c r="H50">
        <v>48</v>
      </c>
      <c r="I50" t="s">
        <v>123</v>
      </c>
      <c r="J50" t="s">
        <v>17</v>
      </c>
    </row>
    <row r="51" spans="1:10">
      <c r="A51" t="s">
        <v>132</v>
      </c>
      <c r="B51" t="s">
        <v>133</v>
      </c>
      <c r="C51">
        <v>1</v>
      </c>
      <c r="D51" s="1">
        <v>43542</v>
      </c>
      <c r="E51" s="1">
        <v>43542</v>
      </c>
      <c r="F51" s="2">
        <v>8108</v>
      </c>
      <c r="G51" s="2">
        <v>8108</v>
      </c>
      <c r="I51" t="s">
        <v>123</v>
      </c>
      <c r="J51" t="s">
        <v>17</v>
      </c>
    </row>
    <row r="52" spans="1:10">
      <c r="A52" t="s">
        <v>134</v>
      </c>
      <c r="B52" t="s">
        <v>135</v>
      </c>
      <c r="C52">
        <v>4</v>
      </c>
      <c r="D52" s="1">
        <v>43543</v>
      </c>
      <c r="E52" s="1">
        <v>43546</v>
      </c>
      <c r="F52" s="2">
        <v>8632</v>
      </c>
      <c r="G52" s="2">
        <v>8632</v>
      </c>
      <c r="I52" t="s">
        <v>123</v>
      </c>
      <c r="J52" t="s">
        <v>17</v>
      </c>
    </row>
    <row r="53" spans="1:10">
      <c r="A53" t="s">
        <v>136</v>
      </c>
      <c r="B53" t="s">
        <v>137</v>
      </c>
      <c r="C53">
        <v>1</v>
      </c>
      <c r="D53" s="1">
        <v>43549</v>
      </c>
      <c r="E53" s="1">
        <v>43549</v>
      </c>
      <c r="F53" s="2">
        <v>1948</v>
      </c>
      <c r="G53" s="2">
        <v>1948</v>
      </c>
      <c r="I53" t="s">
        <v>129</v>
      </c>
      <c r="J53" t="s">
        <v>17</v>
      </c>
    </row>
    <row r="54" spans="1:10">
      <c r="A54" t="s">
        <v>138</v>
      </c>
      <c r="B54" t="s">
        <v>139</v>
      </c>
      <c r="C54">
        <v>3</v>
      </c>
      <c r="D54" s="1">
        <v>43549</v>
      </c>
      <c r="E54" s="1">
        <v>43551</v>
      </c>
      <c r="F54" s="2">
        <v>2180</v>
      </c>
      <c r="G54" s="2">
        <v>2180</v>
      </c>
      <c r="I54" t="s">
        <v>123</v>
      </c>
      <c r="J54" t="s">
        <v>17</v>
      </c>
    </row>
    <row r="55" spans="1:10">
      <c r="A55" t="s">
        <v>140</v>
      </c>
      <c r="B55" t="s">
        <v>141</v>
      </c>
      <c r="C55">
        <v>60</v>
      </c>
      <c r="D55" s="1">
        <v>43552</v>
      </c>
      <c r="E55" s="1">
        <v>43636</v>
      </c>
      <c r="F55" s="2">
        <v>8720</v>
      </c>
      <c r="G55" s="2">
        <v>8720</v>
      </c>
      <c r="I55" t="s">
        <v>123</v>
      </c>
      <c r="J55" t="s">
        <v>17</v>
      </c>
    </row>
    <row r="56" spans="1:10">
      <c r="A56" t="s">
        <v>142</v>
      </c>
      <c r="C56">
        <v>20</v>
      </c>
      <c r="D56" s="1">
        <v>43536</v>
      </c>
      <c r="E56" s="1">
        <v>43563</v>
      </c>
      <c r="F56" s="2">
        <v>10398</v>
      </c>
      <c r="G56" s="2">
        <v>10398</v>
      </c>
      <c r="H56">
        <v>0</v>
      </c>
    </row>
    <row r="57" spans="1:10">
      <c r="A57" t="s">
        <v>143</v>
      </c>
      <c r="B57" t="s">
        <v>144</v>
      </c>
      <c r="C57">
        <v>10</v>
      </c>
      <c r="D57" s="1">
        <v>43536</v>
      </c>
      <c r="E57" s="1">
        <v>43549</v>
      </c>
      <c r="F57" s="2">
        <v>1308</v>
      </c>
      <c r="G57" s="2">
        <v>1308</v>
      </c>
      <c r="I57" t="s">
        <v>50</v>
      </c>
      <c r="J57" t="s">
        <v>17</v>
      </c>
    </row>
    <row r="58" spans="1:10">
      <c r="A58" t="s">
        <v>145</v>
      </c>
      <c r="B58" t="s">
        <v>146</v>
      </c>
      <c r="C58">
        <v>10</v>
      </c>
      <c r="D58" s="1">
        <v>43550</v>
      </c>
      <c r="E58" s="1">
        <v>43563</v>
      </c>
      <c r="F58" s="2">
        <v>9090</v>
      </c>
      <c r="G58" s="2">
        <v>9090</v>
      </c>
      <c r="I58" t="s">
        <v>50</v>
      </c>
      <c r="J58" t="s">
        <v>17</v>
      </c>
    </row>
    <row r="59" spans="1:10">
      <c r="A59" t="s">
        <v>147</v>
      </c>
      <c r="C59">
        <v>13</v>
      </c>
      <c r="D59" s="1">
        <v>43550</v>
      </c>
      <c r="E59" s="1">
        <v>43566</v>
      </c>
      <c r="F59" s="2">
        <v>6189</v>
      </c>
      <c r="G59" s="2">
        <v>6189</v>
      </c>
      <c r="H59">
        <v>0</v>
      </c>
    </row>
    <row r="60" spans="1:10">
      <c r="A60" t="s">
        <v>148</v>
      </c>
      <c r="B60" t="s">
        <v>144</v>
      </c>
      <c r="C60">
        <v>10</v>
      </c>
      <c r="D60" s="1">
        <v>43550</v>
      </c>
      <c r="E60" s="1">
        <v>43563</v>
      </c>
      <c r="F60" s="2">
        <v>1635</v>
      </c>
      <c r="G60" s="2">
        <v>1635</v>
      </c>
      <c r="I60" t="s">
        <v>50</v>
      </c>
      <c r="J60" t="s">
        <v>17</v>
      </c>
    </row>
    <row r="61" spans="1:10">
      <c r="A61" t="s">
        <v>149</v>
      </c>
      <c r="B61" t="s">
        <v>135</v>
      </c>
      <c r="C61">
        <v>3</v>
      </c>
      <c r="D61" s="1">
        <v>43564</v>
      </c>
      <c r="E61" s="1">
        <v>43566</v>
      </c>
      <c r="F61" s="2">
        <v>4554</v>
      </c>
      <c r="G61" s="2">
        <v>4554</v>
      </c>
      <c r="I61" t="s">
        <v>50</v>
      </c>
      <c r="J61" t="s">
        <v>17</v>
      </c>
    </row>
    <row r="62" spans="1:10">
      <c r="A62" t="s">
        <v>150</v>
      </c>
      <c r="C62">
        <v>20</v>
      </c>
      <c r="D62" s="1">
        <v>43553</v>
      </c>
      <c r="E62" s="1">
        <v>43580</v>
      </c>
      <c r="F62" s="2">
        <v>8640</v>
      </c>
      <c r="G62" s="2">
        <v>8640</v>
      </c>
      <c r="H62">
        <v>0</v>
      </c>
    </row>
    <row r="63" spans="1:10">
      <c r="A63" t="s">
        <v>151</v>
      </c>
      <c r="B63" t="s">
        <v>144</v>
      </c>
      <c r="C63">
        <v>10</v>
      </c>
      <c r="D63" s="1">
        <v>43553</v>
      </c>
      <c r="E63" s="1">
        <v>43566</v>
      </c>
      <c r="F63" s="2">
        <v>2180</v>
      </c>
      <c r="G63" s="2">
        <v>2180</v>
      </c>
      <c r="I63" t="s">
        <v>152</v>
      </c>
      <c r="J63" t="s">
        <v>17</v>
      </c>
    </row>
    <row r="64" spans="1:10">
      <c r="A64" t="s">
        <v>153</v>
      </c>
      <c r="B64" t="s">
        <v>135</v>
      </c>
      <c r="C64">
        <v>10</v>
      </c>
      <c r="D64" s="1">
        <v>43567</v>
      </c>
      <c r="E64" s="1">
        <v>43580</v>
      </c>
      <c r="F64" s="2">
        <v>6460</v>
      </c>
      <c r="G64" s="2">
        <v>6460</v>
      </c>
      <c r="I64" t="s">
        <v>152</v>
      </c>
      <c r="J64" t="s">
        <v>17</v>
      </c>
    </row>
    <row r="65" spans="1:10">
      <c r="A65" t="s">
        <v>154</v>
      </c>
      <c r="C65">
        <v>3</v>
      </c>
      <c r="D65" s="1">
        <v>43581</v>
      </c>
      <c r="E65" s="1">
        <v>43585</v>
      </c>
      <c r="F65" s="2">
        <v>2877</v>
      </c>
      <c r="G65" s="2">
        <v>2877</v>
      </c>
      <c r="H65">
        <v>0</v>
      </c>
    </row>
    <row r="66" spans="1:10">
      <c r="A66" t="s">
        <v>155</v>
      </c>
      <c r="B66" t="s">
        <v>135</v>
      </c>
      <c r="C66">
        <v>3</v>
      </c>
      <c r="D66" s="1">
        <v>43581</v>
      </c>
      <c r="E66" s="1">
        <v>43585</v>
      </c>
      <c r="F66" s="2">
        <v>2877</v>
      </c>
      <c r="G66" s="2">
        <v>2877</v>
      </c>
      <c r="I66" t="s">
        <v>50</v>
      </c>
      <c r="J66" t="s">
        <v>17</v>
      </c>
    </row>
    <row r="67" spans="1:10">
      <c r="A67" t="s">
        <v>156</v>
      </c>
      <c r="C67">
        <v>83</v>
      </c>
      <c r="D67" s="1">
        <v>43572</v>
      </c>
      <c r="E67" s="1">
        <v>43690</v>
      </c>
      <c r="F67" s="2">
        <v>38844</v>
      </c>
      <c r="G67" s="2">
        <v>38844</v>
      </c>
      <c r="H67">
        <v>20</v>
      </c>
    </row>
    <row r="68" spans="1:10">
      <c r="A68" t="s">
        <v>157</v>
      </c>
      <c r="B68" t="s">
        <v>144</v>
      </c>
      <c r="C68">
        <v>10</v>
      </c>
      <c r="D68" s="1">
        <v>43572</v>
      </c>
      <c r="E68" s="1">
        <v>43585</v>
      </c>
      <c r="F68" s="2">
        <v>4360</v>
      </c>
      <c r="G68" s="2">
        <v>4360</v>
      </c>
      <c r="I68" t="s">
        <v>158</v>
      </c>
      <c r="J68" t="s">
        <v>17</v>
      </c>
    </row>
    <row r="69" spans="1:10">
      <c r="A69" t="s">
        <v>159</v>
      </c>
      <c r="B69" t="s">
        <v>146</v>
      </c>
      <c r="C69">
        <v>5</v>
      </c>
      <c r="D69" s="1">
        <v>43586</v>
      </c>
      <c r="E69" s="1">
        <v>43592</v>
      </c>
      <c r="F69" s="2">
        <v>7015</v>
      </c>
      <c r="G69" s="2">
        <v>7015</v>
      </c>
      <c r="I69" t="s">
        <v>129</v>
      </c>
      <c r="J69" t="s">
        <v>17</v>
      </c>
    </row>
    <row r="70" spans="1:10">
      <c r="A70" t="s">
        <v>160</v>
      </c>
      <c r="B70" t="s">
        <v>161</v>
      </c>
      <c r="C70">
        <v>3</v>
      </c>
      <c r="D70" s="1">
        <v>43593</v>
      </c>
      <c r="E70" s="1">
        <v>43595</v>
      </c>
      <c r="F70" s="2">
        <v>4099</v>
      </c>
      <c r="G70" s="2">
        <v>4099</v>
      </c>
      <c r="H70">
        <v>20</v>
      </c>
      <c r="I70" t="s">
        <v>162</v>
      </c>
      <c r="J70" t="s">
        <v>17</v>
      </c>
    </row>
    <row r="71" spans="1:10">
      <c r="A71" t="s">
        <v>163</v>
      </c>
      <c r="B71" t="s">
        <v>135</v>
      </c>
      <c r="C71">
        <v>5</v>
      </c>
      <c r="D71" s="1">
        <v>43598</v>
      </c>
      <c r="E71" s="1">
        <v>43602</v>
      </c>
      <c r="F71" s="2">
        <v>9010</v>
      </c>
      <c r="G71" s="2">
        <v>9010</v>
      </c>
      <c r="I71" t="s">
        <v>129</v>
      </c>
      <c r="J71" t="s">
        <v>17</v>
      </c>
    </row>
    <row r="72" spans="1:10">
      <c r="A72" t="s">
        <v>164</v>
      </c>
      <c r="B72" t="s">
        <v>137</v>
      </c>
      <c r="C72">
        <v>2</v>
      </c>
      <c r="D72" s="1">
        <v>43605</v>
      </c>
      <c r="E72" s="1">
        <v>43606</v>
      </c>
      <c r="F72" s="2">
        <v>1280</v>
      </c>
      <c r="G72" s="2">
        <v>1280</v>
      </c>
      <c r="I72" t="s">
        <v>129</v>
      </c>
      <c r="J72" t="s">
        <v>17</v>
      </c>
    </row>
    <row r="73" spans="1:10">
      <c r="A73" t="s">
        <v>165</v>
      </c>
      <c r="B73" t="s">
        <v>141</v>
      </c>
      <c r="C73">
        <v>60</v>
      </c>
      <c r="D73" s="1">
        <v>43605</v>
      </c>
      <c r="E73" s="1">
        <v>43690</v>
      </c>
      <c r="F73" s="2">
        <v>13080</v>
      </c>
      <c r="G73" s="2">
        <v>13080</v>
      </c>
      <c r="I73" t="s">
        <v>158</v>
      </c>
      <c r="J73" t="s">
        <v>17</v>
      </c>
    </row>
    <row r="74" spans="1:10">
      <c r="A74" t="s">
        <v>166</v>
      </c>
      <c r="C74">
        <v>220</v>
      </c>
      <c r="D74" s="1">
        <v>43829</v>
      </c>
      <c r="E74" s="1">
        <v>44145</v>
      </c>
      <c r="F74" s="2">
        <v>457454.74</v>
      </c>
      <c r="G74" s="2">
        <v>457454.74</v>
      </c>
      <c r="H74">
        <v>530</v>
      </c>
    </row>
    <row r="75" spans="1:10">
      <c r="A75" t="s">
        <v>167</v>
      </c>
      <c r="C75">
        <v>227</v>
      </c>
      <c r="D75" s="1">
        <v>43829</v>
      </c>
      <c r="E75" s="1">
        <v>44145</v>
      </c>
      <c r="F75" s="2">
        <v>158918.26999999999</v>
      </c>
      <c r="G75" s="2">
        <v>158918.26999999999</v>
      </c>
      <c r="H75">
        <v>311</v>
      </c>
    </row>
    <row r="76" spans="1:10">
      <c r="A76" t="s">
        <v>147</v>
      </c>
      <c r="C76">
        <v>24</v>
      </c>
      <c r="D76" s="1">
        <v>43829</v>
      </c>
      <c r="E76" s="1">
        <v>43860</v>
      </c>
      <c r="F76" s="2">
        <v>10073</v>
      </c>
      <c r="G76" s="2">
        <v>10073</v>
      </c>
      <c r="H76">
        <v>0</v>
      </c>
    </row>
    <row r="77" spans="1:10">
      <c r="A77" t="s">
        <v>168</v>
      </c>
      <c r="B77" t="s">
        <v>169</v>
      </c>
      <c r="C77">
        <v>10</v>
      </c>
      <c r="D77" s="1">
        <v>43829</v>
      </c>
      <c r="E77" s="1">
        <v>43840</v>
      </c>
      <c r="F77" s="2">
        <v>700</v>
      </c>
      <c r="G77" s="2">
        <v>700</v>
      </c>
      <c r="I77" t="s">
        <v>170</v>
      </c>
      <c r="J77" t="s">
        <v>171</v>
      </c>
    </row>
    <row r="78" spans="1:10">
      <c r="A78" t="s">
        <v>172</v>
      </c>
      <c r="B78" t="s">
        <v>173</v>
      </c>
      <c r="C78">
        <v>2</v>
      </c>
      <c r="D78" t="s">
        <v>174</v>
      </c>
      <c r="E78" s="1">
        <v>43844</v>
      </c>
      <c r="F78" s="2">
        <v>960</v>
      </c>
      <c r="G78" s="2">
        <v>960</v>
      </c>
      <c r="I78" t="s">
        <v>170</v>
      </c>
      <c r="J78" t="s">
        <v>171</v>
      </c>
    </row>
    <row r="79" spans="1:10">
      <c r="A79" t="s">
        <v>175</v>
      </c>
      <c r="B79" t="s">
        <v>135</v>
      </c>
      <c r="C79">
        <v>10</v>
      </c>
      <c r="D79" s="1">
        <v>43845</v>
      </c>
      <c r="E79" s="1">
        <v>43858</v>
      </c>
      <c r="F79" s="2">
        <v>7968</v>
      </c>
      <c r="G79" s="2">
        <v>7968</v>
      </c>
      <c r="I79" t="s">
        <v>170</v>
      </c>
      <c r="J79" t="s">
        <v>171</v>
      </c>
    </row>
    <row r="80" spans="1:10">
      <c r="A80" t="s">
        <v>176</v>
      </c>
      <c r="B80" t="s">
        <v>177</v>
      </c>
      <c r="C80">
        <v>1</v>
      </c>
      <c r="D80" s="1">
        <v>43859</v>
      </c>
      <c r="E80" s="1">
        <v>43859</v>
      </c>
      <c r="F80" s="2">
        <v>175</v>
      </c>
      <c r="G80" s="2">
        <v>175</v>
      </c>
      <c r="I80" t="s">
        <v>170</v>
      </c>
      <c r="J80" t="s">
        <v>171</v>
      </c>
    </row>
    <row r="81" spans="1:10">
      <c r="A81" t="s">
        <v>178</v>
      </c>
      <c r="B81" t="s">
        <v>137</v>
      </c>
      <c r="C81">
        <v>1</v>
      </c>
      <c r="D81" s="1">
        <v>43860</v>
      </c>
      <c r="E81" s="1">
        <v>43860</v>
      </c>
      <c r="F81" s="2">
        <v>270</v>
      </c>
      <c r="G81" s="2">
        <v>270</v>
      </c>
      <c r="I81" t="s">
        <v>170</v>
      </c>
      <c r="J81" t="s">
        <v>171</v>
      </c>
    </row>
    <row r="82" spans="1:10">
      <c r="A82" t="s">
        <v>179</v>
      </c>
      <c r="C82">
        <v>40</v>
      </c>
      <c r="D82" s="1">
        <v>43847</v>
      </c>
      <c r="E82" s="1">
        <v>43902</v>
      </c>
      <c r="F82" s="2">
        <v>6069</v>
      </c>
      <c r="G82" s="2">
        <v>6069</v>
      </c>
      <c r="H82">
        <v>0</v>
      </c>
    </row>
    <row r="83" spans="1:10">
      <c r="A83" t="s">
        <v>180</v>
      </c>
      <c r="B83" t="s">
        <v>169</v>
      </c>
      <c r="C83">
        <v>10</v>
      </c>
      <c r="D83" s="1">
        <v>43847</v>
      </c>
      <c r="E83" s="1">
        <v>43860</v>
      </c>
      <c r="F83" s="2">
        <v>350</v>
      </c>
      <c r="G83" s="2">
        <v>350</v>
      </c>
      <c r="I83" t="s">
        <v>170</v>
      </c>
      <c r="J83" t="s">
        <v>171</v>
      </c>
    </row>
    <row r="84" spans="1:10">
      <c r="A84" t="s">
        <v>181</v>
      </c>
      <c r="B84" t="s">
        <v>135</v>
      </c>
      <c r="C84">
        <v>10</v>
      </c>
      <c r="D84" s="1">
        <v>43861</v>
      </c>
      <c r="E84" s="1">
        <v>43874</v>
      </c>
      <c r="F84" s="2">
        <v>5019</v>
      </c>
      <c r="G84" s="2">
        <v>5019</v>
      </c>
      <c r="I84" t="s">
        <v>170</v>
      </c>
      <c r="J84" t="s">
        <v>171</v>
      </c>
    </row>
    <row r="85" spans="1:10">
      <c r="A85" t="s">
        <v>182</v>
      </c>
      <c r="B85" t="s">
        <v>183</v>
      </c>
      <c r="C85">
        <v>20</v>
      </c>
      <c r="D85" s="1">
        <v>43875</v>
      </c>
      <c r="E85" s="1">
        <v>43902</v>
      </c>
      <c r="F85" s="2">
        <v>700</v>
      </c>
      <c r="G85" s="2">
        <v>700</v>
      </c>
      <c r="I85" t="s">
        <v>170</v>
      </c>
      <c r="J85" t="s">
        <v>171</v>
      </c>
    </row>
    <row r="86" spans="1:10">
      <c r="A86" t="s">
        <v>184</v>
      </c>
      <c r="C86">
        <v>34</v>
      </c>
      <c r="D86" s="1">
        <v>43861</v>
      </c>
      <c r="E86" s="1">
        <v>43908</v>
      </c>
      <c r="F86" s="2">
        <v>3753</v>
      </c>
      <c r="G86" s="2">
        <v>3753</v>
      </c>
      <c r="H86">
        <v>0</v>
      </c>
    </row>
    <row r="87" spans="1:10">
      <c r="A87" t="s">
        <v>185</v>
      </c>
      <c r="B87" t="s">
        <v>144</v>
      </c>
      <c r="C87">
        <v>10</v>
      </c>
      <c r="D87" s="1">
        <v>43861</v>
      </c>
      <c r="E87" s="1">
        <v>43874</v>
      </c>
      <c r="F87" s="2">
        <v>350</v>
      </c>
      <c r="G87" s="2">
        <v>350</v>
      </c>
      <c r="I87" t="s">
        <v>170</v>
      </c>
      <c r="J87" t="s">
        <v>171</v>
      </c>
    </row>
    <row r="88" spans="1:10">
      <c r="A88" t="s">
        <v>186</v>
      </c>
      <c r="B88" t="s">
        <v>146</v>
      </c>
      <c r="C88">
        <v>1</v>
      </c>
      <c r="D88" s="1">
        <v>43875</v>
      </c>
      <c r="E88" s="1">
        <v>43875</v>
      </c>
      <c r="F88" s="2">
        <v>340</v>
      </c>
      <c r="G88" s="2">
        <v>340</v>
      </c>
      <c r="I88" t="s">
        <v>170</v>
      </c>
      <c r="J88" t="s">
        <v>171</v>
      </c>
    </row>
    <row r="89" spans="1:10">
      <c r="A89" t="s">
        <v>187</v>
      </c>
      <c r="B89" t="s">
        <v>135</v>
      </c>
      <c r="C89">
        <v>3</v>
      </c>
      <c r="D89" s="1">
        <v>43878</v>
      </c>
      <c r="E89" s="1">
        <v>43880</v>
      </c>
      <c r="F89" s="2">
        <v>2271</v>
      </c>
      <c r="G89" s="2">
        <v>2271</v>
      </c>
      <c r="I89" t="s">
        <v>170</v>
      </c>
      <c r="J89" t="s">
        <v>171</v>
      </c>
    </row>
    <row r="90" spans="1:10">
      <c r="A90" t="s">
        <v>188</v>
      </c>
      <c r="B90" t="s">
        <v>189</v>
      </c>
      <c r="C90">
        <v>20</v>
      </c>
      <c r="D90" s="1">
        <v>43881</v>
      </c>
      <c r="E90" s="1">
        <v>43908</v>
      </c>
      <c r="F90" s="2">
        <v>792</v>
      </c>
      <c r="G90" s="2">
        <v>792</v>
      </c>
      <c r="I90" t="s">
        <v>190</v>
      </c>
      <c r="J90" t="s">
        <v>171</v>
      </c>
    </row>
    <row r="91" spans="1:10">
      <c r="A91" t="s">
        <v>191</v>
      </c>
      <c r="C91">
        <v>7</v>
      </c>
      <c r="D91" s="1">
        <v>43874</v>
      </c>
      <c r="E91" s="1">
        <v>43882</v>
      </c>
      <c r="F91" s="2">
        <v>1279.1099999999999</v>
      </c>
      <c r="G91" s="2">
        <v>1279.1099999999999</v>
      </c>
      <c r="H91">
        <v>0</v>
      </c>
    </row>
    <row r="92" spans="1:10">
      <c r="A92" t="s">
        <v>192</v>
      </c>
      <c r="B92" t="s">
        <v>169</v>
      </c>
      <c r="C92">
        <v>5</v>
      </c>
      <c r="D92" s="1">
        <v>43874</v>
      </c>
      <c r="E92" s="1">
        <v>43880</v>
      </c>
      <c r="F92" s="2">
        <v>280</v>
      </c>
      <c r="G92" s="2">
        <v>280</v>
      </c>
      <c r="I92" t="s">
        <v>170</v>
      </c>
      <c r="J92" t="s">
        <v>171</v>
      </c>
    </row>
    <row r="93" spans="1:10">
      <c r="A93" t="s">
        <v>193</v>
      </c>
      <c r="B93" t="s">
        <v>135</v>
      </c>
      <c r="C93">
        <v>2</v>
      </c>
      <c r="D93" s="1">
        <v>43881</v>
      </c>
      <c r="E93" s="1">
        <v>43882</v>
      </c>
      <c r="F93" s="2">
        <v>999.11</v>
      </c>
      <c r="G93" s="2">
        <v>999.11</v>
      </c>
      <c r="I93" t="s">
        <v>170</v>
      </c>
      <c r="J93" t="s">
        <v>171</v>
      </c>
    </row>
    <row r="94" spans="1:10">
      <c r="A94" t="s">
        <v>194</v>
      </c>
      <c r="C94">
        <v>3</v>
      </c>
      <c r="D94" s="1">
        <v>43885</v>
      </c>
      <c r="E94" s="1">
        <v>43887</v>
      </c>
      <c r="F94" s="2">
        <v>1571.4</v>
      </c>
      <c r="G94" s="2">
        <v>1571.4</v>
      </c>
      <c r="H94">
        <v>0</v>
      </c>
    </row>
    <row r="95" spans="1:10">
      <c r="A95" t="s">
        <v>195</v>
      </c>
      <c r="B95" t="s">
        <v>135</v>
      </c>
      <c r="C95">
        <v>3</v>
      </c>
      <c r="D95" s="1">
        <v>43885</v>
      </c>
      <c r="E95" s="1">
        <v>43887</v>
      </c>
      <c r="F95" s="2">
        <v>1571.4</v>
      </c>
      <c r="G95" s="2">
        <v>1571.4</v>
      </c>
      <c r="I95" t="s">
        <v>170</v>
      </c>
      <c r="J95" t="s">
        <v>171</v>
      </c>
    </row>
    <row r="96" spans="1:10">
      <c r="A96" t="s">
        <v>196</v>
      </c>
      <c r="C96">
        <v>62</v>
      </c>
      <c r="D96" s="1">
        <v>43874</v>
      </c>
      <c r="E96" s="1">
        <v>43959</v>
      </c>
      <c r="F96" s="2">
        <v>11747.77</v>
      </c>
      <c r="G96" s="2">
        <v>11747.77</v>
      </c>
      <c r="H96">
        <v>32</v>
      </c>
    </row>
    <row r="97" spans="1:10">
      <c r="A97" t="s">
        <v>197</v>
      </c>
      <c r="B97" t="s">
        <v>169</v>
      </c>
      <c r="C97">
        <v>10</v>
      </c>
      <c r="D97" s="1">
        <v>43874</v>
      </c>
      <c r="E97" s="1">
        <v>43887</v>
      </c>
      <c r="F97" s="2">
        <v>560</v>
      </c>
      <c r="G97" s="2">
        <v>560</v>
      </c>
      <c r="I97" t="s">
        <v>170</v>
      </c>
      <c r="J97" t="s">
        <v>171</v>
      </c>
    </row>
    <row r="98" spans="1:10">
      <c r="A98" t="s">
        <v>198</v>
      </c>
      <c r="B98" t="s">
        <v>173</v>
      </c>
      <c r="C98">
        <v>5</v>
      </c>
      <c r="D98" s="1">
        <v>43888</v>
      </c>
      <c r="E98" s="1">
        <v>43894</v>
      </c>
      <c r="F98" s="2">
        <v>3100</v>
      </c>
      <c r="G98" s="2">
        <v>3100</v>
      </c>
      <c r="I98" t="s">
        <v>170</v>
      </c>
      <c r="J98" t="s">
        <v>171</v>
      </c>
    </row>
    <row r="99" spans="1:10">
      <c r="A99" t="s">
        <v>199</v>
      </c>
      <c r="B99" t="s">
        <v>200</v>
      </c>
      <c r="C99">
        <v>5</v>
      </c>
      <c r="D99" s="1">
        <v>43895</v>
      </c>
      <c r="E99" s="1">
        <v>43901</v>
      </c>
      <c r="F99" s="2">
        <v>3100</v>
      </c>
      <c r="G99" s="2">
        <v>3100</v>
      </c>
      <c r="H99">
        <v>32</v>
      </c>
      <c r="I99" t="s">
        <v>170</v>
      </c>
      <c r="J99" t="s">
        <v>171</v>
      </c>
    </row>
    <row r="100" spans="1:10">
      <c r="A100" t="s">
        <v>201</v>
      </c>
      <c r="B100" t="s">
        <v>135</v>
      </c>
      <c r="C100">
        <v>5</v>
      </c>
      <c r="D100" s="1">
        <v>43902</v>
      </c>
      <c r="E100" s="1">
        <v>43908</v>
      </c>
      <c r="F100" s="2">
        <v>2497.77</v>
      </c>
      <c r="G100" s="2">
        <v>2497.77</v>
      </c>
      <c r="I100" t="s">
        <v>170</v>
      </c>
      <c r="J100" t="s">
        <v>171</v>
      </c>
    </row>
    <row r="101" spans="1:10">
      <c r="A101" t="s">
        <v>202</v>
      </c>
      <c r="B101" t="s">
        <v>177</v>
      </c>
      <c r="C101">
        <v>4</v>
      </c>
      <c r="D101" s="1">
        <v>43909</v>
      </c>
      <c r="E101" s="1">
        <v>43914</v>
      </c>
      <c r="F101" s="2">
        <v>560</v>
      </c>
      <c r="G101" s="2">
        <v>560</v>
      </c>
      <c r="I101" t="s">
        <v>170</v>
      </c>
      <c r="J101" t="s">
        <v>171</v>
      </c>
    </row>
    <row r="102" spans="1:10">
      <c r="A102" t="s">
        <v>203</v>
      </c>
      <c r="B102" t="s">
        <v>137</v>
      </c>
      <c r="C102">
        <v>3</v>
      </c>
      <c r="D102" s="1">
        <v>43915</v>
      </c>
      <c r="E102" s="1">
        <v>43917</v>
      </c>
      <c r="F102" s="2">
        <v>1230</v>
      </c>
      <c r="G102" s="2">
        <v>1230</v>
      </c>
      <c r="I102" t="s">
        <v>170</v>
      </c>
      <c r="J102" t="s">
        <v>171</v>
      </c>
    </row>
    <row r="103" spans="1:10">
      <c r="A103" t="s">
        <v>204</v>
      </c>
      <c r="B103" t="s">
        <v>183</v>
      </c>
      <c r="C103">
        <v>30</v>
      </c>
      <c r="D103" s="1">
        <v>43920</v>
      </c>
      <c r="E103" s="1">
        <v>43959</v>
      </c>
      <c r="F103" s="2">
        <v>700</v>
      </c>
      <c r="G103" s="2">
        <v>700</v>
      </c>
      <c r="I103" t="s">
        <v>170</v>
      </c>
      <c r="J103" t="s">
        <v>171</v>
      </c>
    </row>
    <row r="104" spans="1:10">
      <c r="A104" t="s">
        <v>205</v>
      </c>
      <c r="C104">
        <v>35</v>
      </c>
      <c r="D104" s="1">
        <v>43906</v>
      </c>
      <c r="E104" s="1">
        <v>43952</v>
      </c>
      <c r="F104" s="2">
        <v>3559.5</v>
      </c>
      <c r="G104" s="2">
        <v>3559.5</v>
      </c>
      <c r="H104">
        <v>0</v>
      </c>
    </row>
    <row r="105" spans="1:10">
      <c r="A105" t="s">
        <v>206</v>
      </c>
      <c r="B105" t="s">
        <v>169</v>
      </c>
      <c r="C105">
        <v>10</v>
      </c>
      <c r="D105" s="1">
        <v>43906</v>
      </c>
      <c r="E105" s="1">
        <v>43917</v>
      </c>
      <c r="F105" s="2">
        <v>350</v>
      </c>
      <c r="G105" s="2">
        <v>350</v>
      </c>
      <c r="I105" t="s">
        <v>170</v>
      </c>
      <c r="J105" t="s">
        <v>171</v>
      </c>
    </row>
    <row r="106" spans="1:10">
      <c r="A106" t="s">
        <v>207</v>
      </c>
      <c r="B106" t="s">
        <v>135</v>
      </c>
      <c r="C106">
        <v>5</v>
      </c>
      <c r="D106" s="1">
        <v>43920</v>
      </c>
      <c r="E106" s="1">
        <v>43924</v>
      </c>
      <c r="F106" s="2">
        <v>2509.5</v>
      </c>
      <c r="G106" s="2">
        <v>2509.5</v>
      </c>
      <c r="I106" t="s">
        <v>170</v>
      </c>
      <c r="J106" t="s">
        <v>171</v>
      </c>
    </row>
    <row r="107" spans="1:10">
      <c r="A107" t="s">
        <v>208</v>
      </c>
      <c r="B107" t="s">
        <v>183</v>
      </c>
      <c r="C107">
        <v>20</v>
      </c>
      <c r="D107" s="1">
        <v>43927</v>
      </c>
      <c r="E107" s="1">
        <v>43952</v>
      </c>
      <c r="F107" s="2">
        <v>700</v>
      </c>
      <c r="G107" s="2">
        <v>700</v>
      </c>
      <c r="I107" t="s">
        <v>170</v>
      </c>
      <c r="J107" t="s">
        <v>171</v>
      </c>
    </row>
    <row r="108" spans="1:10">
      <c r="A108" t="s">
        <v>209</v>
      </c>
      <c r="C108">
        <v>3</v>
      </c>
      <c r="D108" s="1">
        <v>43927</v>
      </c>
      <c r="E108" s="1">
        <v>43929</v>
      </c>
      <c r="F108" s="2">
        <v>1571.4</v>
      </c>
      <c r="G108" s="2">
        <v>1571.4</v>
      </c>
      <c r="H108">
        <v>0</v>
      </c>
    </row>
    <row r="109" spans="1:10">
      <c r="A109" t="s">
        <v>210</v>
      </c>
      <c r="B109" t="s">
        <v>135</v>
      </c>
      <c r="C109">
        <v>3</v>
      </c>
      <c r="D109" s="1">
        <v>43927</v>
      </c>
      <c r="E109" s="1">
        <v>43929</v>
      </c>
      <c r="F109" s="2">
        <v>1571.4</v>
      </c>
      <c r="G109" s="2">
        <v>1571.4</v>
      </c>
      <c r="I109" t="s">
        <v>170</v>
      </c>
      <c r="J109" t="s">
        <v>171</v>
      </c>
    </row>
    <row r="110" spans="1:10">
      <c r="A110" t="s">
        <v>211</v>
      </c>
      <c r="C110">
        <v>44</v>
      </c>
      <c r="D110" s="1">
        <v>43916</v>
      </c>
      <c r="E110" s="1">
        <v>43977</v>
      </c>
      <c r="F110" s="2">
        <v>20523.400000000001</v>
      </c>
      <c r="G110" s="2">
        <v>20523.400000000001</v>
      </c>
      <c r="H110">
        <v>0</v>
      </c>
    </row>
    <row r="111" spans="1:10">
      <c r="A111" t="s">
        <v>212</v>
      </c>
      <c r="B111" t="s">
        <v>169</v>
      </c>
      <c r="C111">
        <v>10</v>
      </c>
      <c r="D111" s="1">
        <v>43916</v>
      </c>
      <c r="E111" s="1">
        <v>43929</v>
      </c>
      <c r="F111" s="2">
        <v>9880</v>
      </c>
      <c r="G111" s="2">
        <v>9880</v>
      </c>
      <c r="I111" t="s">
        <v>170</v>
      </c>
      <c r="J111" t="s">
        <v>171</v>
      </c>
    </row>
    <row r="112" spans="1:10">
      <c r="A112" t="s">
        <v>213</v>
      </c>
      <c r="B112" t="s">
        <v>173</v>
      </c>
      <c r="C112">
        <v>1</v>
      </c>
      <c r="D112" s="1">
        <v>43930</v>
      </c>
      <c r="E112" s="1">
        <v>43930</v>
      </c>
      <c r="F112" s="2">
        <v>1408</v>
      </c>
      <c r="G112" s="2">
        <v>1408</v>
      </c>
      <c r="I112" t="s">
        <v>170</v>
      </c>
      <c r="J112" t="s">
        <v>171</v>
      </c>
    </row>
    <row r="113" spans="1:10">
      <c r="A113" t="s">
        <v>214</v>
      </c>
      <c r="B113" t="s">
        <v>135</v>
      </c>
      <c r="C113">
        <v>3</v>
      </c>
      <c r="D113" s="1">
        <v>43931</v>
      </c>
      <c r="E113" s="1">
        <v>43935</v>
      </c>
      <c r="F113" s="2">
        <v>4355.3999999999996</v>
      </c>
      <c r="G113" s="2">
        <v>4355.3999999999996</v>
      </c>
      <c r="I113" t="s">
        <v>170</v>
      </c>
      <c r="J113" t="s">
        <v>171</v>
      </c>
    </row>
    <row r="114" spans="1:10">
      <c r="A114" t="s">
        <v>215</v>
      </c>
      <c r="B114" t="s">
        <v>183</v>
      </c>
      <c r="C114">
        <v>30</v>
      </c>
      <c r="D114" s="1">
        <v>43936</v>
      </c>
      <c r="E114" s="1">
        <v>43977</v>
      </c>
      <c r="F114" s="2">
        <v>4880</v>
      </c>
      <c r="G114" s="2">
        <v>4880</v>
      </c>
      <c r="I114" t="s">
        <v>170</v>
      </c>
      <c r="J114" t="s">
        <v>171</v>
      </c>
    </row>
    <row r="115" spans="1:10">
      <c r="A115" t="s">
        <v>216</v>
      </c>
      <c r="C115">
        <v>65</v>
      </c>
      <c r="D115" s="1">
        <v>43922</v>
      </c>
      <c r="E115" s="1">
        <v>44012</v>
      </c>
      <c r="F115" s="2">
        <v>12108</v>
      </c>
      <c r="G115" s="2">
        <v>12108</v>
      </c>
      <c r="H115">
        <v>15</v>
      </c>
    </row>
    <row r="116" spans="1:10">
      <c r="A116" t="s">
        <v>217</v>
      </c>
      <c r="B116" t="s">
        <v>169</v>
      </c>
      <c r="C116">
        <v>10</v>
      </c>
      <c r="D116" s="1">
        <v>43922</v>
      </c>
      <c r="E116" s="1">
        <v>43935</v>
      </c>
      <c r="F116" s="2">
        <v>560</v>
      </c>
      <c r="G116" s="2">
        <v>560</v>
      </c>
      <c r="I116" t="s">
        <v>170</v>
      </c>
      <c r="J116" t="s">
        <v>171</v>
      </c>
    </row>
    <row r="117" spans="1:10">
      <c r="A117" t="s">
        <v>218</v>
      </c>
      <c r="B117" t="s">
        <v>173</v>
      </c>
      <c r="C117">
        <v>5</v>
      </c>
      <c r="D117" s="1">
        <v>43936</v>
      </c>
      <c r="E117" s="1">
        <v>43942</v>
      </c>
      <c r="F117" s="2">
        <v>1350</v>
      </c>
      <c r="G117" s="2">
        <v>1350</v>
      </c>
      <c r="I117" t="s">
        <v>170</v>
      </c>
      <c r="J117" t="s">
        <v>171</v>
      </c>
    </row>
    <row r="118" spans="1:10">
      <c r="A118" t="s">
        <v>219</v>
      </c>
      <c r="B118" t="s">
        <v>200</v>
      </c>
      <c r="C118">
        <v>5</v>
      </c>
      <c r="D118" s="1">
        <v>43943</v>
      </c>
      <c r="E118" s="1">
        <v>43949</v>
      </c>
      <c r="F118" s="2">
        <v>3100</v>
      </c>
      <c r="G118" s="2">
        <v>3100</v>
      </c>
      <c r="H118">
        <v>15</v>
      </c>
      <c r="I118" t="s">
        <v>170</v>
      </c>
      <c r="J118" t="s">
        <v>171</v>
      </c>
    </row>
    <row r="119" spans="1:10">
      <c r="A119" t="s">
        <v>220</v>
      </c>
      <c r="B119" t="s">
        <v>135</v>
      </c>
      <c r="C119">
        <v>10</v>
      </c>
      <c r="D119" s="1">
        <v>43950</v>
      </c>
      <c r="E119" s="1">
        <v>43963</v>
      </c>
      <c r="F119" s="2">
        <v>5238</v>
      </c>
      <c r="G119" s="2">
        <v>5238</v>
      </c>
      <c r="I119" t="s">
        <v>170</v>
      </c>
      <c r="J119" t="s">
        <v>171</v>
      </c>
    </row>
    <row r="120" spans="1:10">
      <c r="A120" t="s">
        <v>221</v>
      </c>
      <c r="B120" t="s">
        <v>177</v>
      </c>
      <c r="C120">
        <v>2</v>
      </c>
      <c r="D120" s="1">
        <v>43964</v>
      </c>
      <c r="E120" s="1">
        <v>43965</v>
      </c>
      <c r="F120" s="2">
        <v>350</v>
      </c>
      <c r="G120" s="2">
        <v>350</v>
      </c>
      <c r="I120" t="s">
        <v>170</v>
      </c>
      <c r="J120" t="s">
        <v>171</v>
      </c>
    </row>
    <row r="121" spans="1:10">
      <c r="A121" t="s">
        <v>222</v>
      </c>
      <c r="B121" t="s">
        <v>137</v>
      </c>
      <c r="C121">
        <v>3</v>
      </c>
      <c r="D121" s="1">
        <v>43966</v>
      </c>
      <c r="E121" s="1">
        <v>43970</v>
      </c>
      <c r="F121" s="2">
        <v>810</v>
      </c>
      <c r="G121" s="2">
        <v>810</v>
      </c>
      <c r="I121" t="s">
        <v>170</v>
      </c>
      <c r="J121" t="s">
        <v>171</v>
      </c>
    </row>
    <row r="122" spans="1:10">
      <c r="A122" t="s">
        <v>223</v>
      </c>
      <c r="B122" t="s">
        <v>183</v>
      </c>
      <c r="C122">
        <v>30</v>
      </c>
      <c r="D122" s="1">
        <v>43971</v>
      </c>
      <c r="E122" s="1">
        <v>44012</v>
      </c>
      <c r="F122" s="2">
        <v>700</v>
      </c>
      <c r="G122" s="2">
        <v>700</v>
      </c>
      <c r="I122" t="s">
        <v>170</v>
      </c>
      <c r="J122" t="s">
        <v>171</v>
      </c>
    </row>
    <row r="123" spans="1:10">
      <c r="A123" t="s">
        <v>224</v>
      </c>
      <c r="C123">
        <v>4</v>
      </c>
      <c r="D123" s="1">
        <v>43971</v>
      </c>
      <c r="E123" s="1">
        <v>43976</v>
      </c>
      <c r="F123" s="2">
        <v>1587.6</v>
      </c>
      <c r="G123" s="2">
        <v>1587.6</v>
      </c>
      <c r="H123">
        <v>0</v>
      </c>
    </row>
    <row r="124" spans="1:10">
      <c r="A124" t="s">
        <v>225</v>
      </c>
      <c r="B124" t="s">
        <v>173</v>
      </c>
      <c r="C124">
        <v>2</v>
      </c>
      <c r="D124" s="1">
        <v>43971</v>
      </c>
      <c r="E124" s="1">
        <v>43972</v>
      </c>
      <c r="F124" s="2">
        <v>540</v>
      </c>
      <c r="G124" s="2">
        <v>540</v>
      </c>
      <c r="I124" t="s">
        <v>170</v>
      </c>
      <c r="J124" t="s">
        <v>171</v>
      </c>
    </row>
    <row r="125" spans="1:10">
      <c r="A125" t="s">
        <v>226</v>
      </c>
      <c r="B125" t="s">
        <v>135</v>
      </c>
      <c r="C125">
        <v>2</v>
      </c>
      <c r="D125" s="1">
        <v>43973</v>
      </c>
      <c r="E125" s="1">
        <v>43976</v>
      </c>
      <c r="F125" s="2">
        <v>1047.5999999999999</v>
      </c>
      <c r="G125" s="2">
        <v>1047.5999999999999</v>
      </c>
      <c r="I125" t="s">
        <v>170</v>
      </c>
      <c r="J125" t="s">
        <v>171</v>
      </c>
    </row>
    <row r="126" spans="1:10">
      <c r="A126" t="s">
        <v>227</v>
      </c>
      <c r="C126">
        <v>160</v>
      </c>
      <c r="D126" s="1">
        <v>43865</v>
      </c>
      <c r="E126" s="1">
        <v>44088</v>
      </c>
      <c r="F126" s="2">
        <v>39724</v>
      </c>
      <c r="G126" s="2">
        <v>39724</v>
      </c>
      <c r="H126">
        <v>200</v>
      </c>
    </row>
    <row r="127" spans="1:10">
      <c r="A127" t="s">
        <v>228</v>
      </c>
      <c r="B127" t="s">
        <v>144</v>
      </c>
      <c r="C127">
        <v>80</v>
      </c>
      <c r="D127" s="1">
        <v>43865</v>
      </c>
      <c r="E127" s="1">
        <v>43976</v>
      </c>
      <c r="F127" s="2">
        <v>14250</v>
      </c>
      <c r="G127" s="2">
        <v>14250</v>
      </c>
      <c r="I127" t="s">
        <v>123</v>
      </c>
      <c r="J127" t="s">
        <v>171</v>
      </c>
    </row>
    <row r="128" spans="1:10">
      <c r="A128" t="s">
        <v>229</v>
      </c>
      <c r="B128" t="s">
        <v>230</v>
      </c>
      <c r="C128">
        <v>10</v>
      </c>
      <c r="D128" s="1">
        <v>43977</v>
      </c>
      <c r="E128" s="1">
        <v>43990</v>
      </c>
      <c r="F128" s="2">
        <v>4800</v>
      </c>
      <c r="G128" s="2">
        <v>4800</v>
      </c>
      <c r="H128">
        <v>200</v>
      </c>
      <c r="I128" t="s">
        <v>170</v>
      </c>
      <c r="J128" t="s">
        <v>171</v>
      </c>
    </row>
    <row r="129" spans="1:10">
      <c r="A129" t="s">
        <v>231</v>
      </c>
      <c r="B129" t="s">
        <v>135</v>
      </c>
      <c r="C129">
        <v>7</v>
      </c>
      <c r="D129" s="1">
        <v>43980</v>
      </c>
      <c r="E129" s="1">
        <v>43990</v>
      </c>
      <c r="F129" s="2">
        <v>11144</v>
      </c>
      <c r="G129" s="2">
        <v>11144</v>
      </c>
      <c r="I129" t="s">
        <v>123</v>
      </c>
      <c r="J129" t="s">
        <v>171</v>
      </c>
    </row>
    <row r="130" spans="1:10">
      <c r="A130" t="s">
        <v>232</v>
      </c>
      <c r="B130" t="s">
        <v>137</v>
      </c>
      <c r="C130">
        <v>3</v>
      </c>
      <c r="D130" s="1">
        <v>43991</v>
      </c>
      <c r="E130" s="1">
        <v>43993</v>
      </c>
      <c r="F130" s="2">
        <v>810</v>
      </c>
      <c r="G130" s="2">
        <v>810</v>
      </c>
      <c r="I130" t="s">
        <v>170</v>
      </c>
      <c r="J130" t="s">
        <v>171</v>
      </c>
    </row>
    <row r="131" spans="1:10">
      <c r="A131" t="s">
        <v>233</v>
      </c>
      <c r="B131" t="s">
        <v>234</v>
      </c>
      <c r="C131">
        <v>10</v>
      </c>
      <c r="D131" s="1">
        <v>43991</v>
      </c>
      <c r="E131" s="1">
        <v>44004</v>
      </c>
      <c r="F131" s="2">
        <v>4360</v>
      </c>
      <c r="G131" s="2">
        <v>4360</v>
      </c>
      <c r="I131" t="s">
        <v>123</v>
      </c>
      <c r="J131" t="s">
        <v>17</v>
      </c>
    </row>
    <row r="132" spans="1:10">
      <c r="A132" t="s">
        <v>235</v>
      </c>
      <c r="B132" t="s">
        <v>141</v>
      </c>
      <c r="C132">
        <v>60</v>
      </c>
      <c r="D132" s="1">
        <v>44005</v>
      </c>
      <c r="E132" s="1">
        <v>44088</v>
      </c>
      <c r="F132" s="2">
        <v>4360</v>
      </c>
      <c r="G132" s="2">
        <v>4360</v>
      </c>
      <c r="I132" t="s">
        <v>123</v>
      </c>
      <c r="J132" t="s">
        <v>17</v>
      </c>
    </row>
    <row r="133" spans="1:10">
      <c r="A133" t="s">
        <v>236</v>
      </c>
      <c r="C133">
        <v>35</v>
      </c>
      <c r="D133" s="1">
        <v>43980</v>
      </c>
      <c r="E133" s="1">
        <v>44028</v>
      </c>
      <c r="F133" s="2">
        <v>3559.5</v>
      </c>
      <c r="G133" s="2">
        <v>3559.5</v>
      </c>
      <c r="H133">
        <v>0</v>
      </c>
    </row>
    <row r="134" spans="1:10">
      <c r="A134" t="s">
        <v>237</v>
      </c>
      <c r="B134" t="s">
        <v>169</v>
      </c>
      <c r="C134">
        <v>10</v>
      </c>
      <c r="D134" s="1">
        <v>43980</v>
      </c>
      <c r="E134" s="1">
        <v>43993</v>
      </c>
      <c r="F134" s="2">
        <v>350</v>
      </c>
      <c r="G134" s="2">
        <v>350</v>
      </c>
      <c r="I134" t="s">
        <v>170</v>
      </c>
      <c r="J134" t="s">
        <v>171</v>
      </c>
    </row>
    <row r="135" spans="1:10">
      <c r="A135" t="s">
        <v>238</v>
      </c>
      <c r="B135" t="s">
        <v>135</v>
      </c>
      <c r="C135">
        <v>5</v>
      </c>
      <c r="D135" s="1">
        <v>43994</v>
      </c>
      <c r="E135" s="1">
        <v>44000</v>
      </c>
      <c r="F135" s="2">
        <v>2509.5</v>
      </c>
      <c r="G135" s="2">
        <v>2509.5</v>
      </c>
      <c r="I135" t="s">
        <v>170</v>
      </c>
      <c r="J135" t="s">
        <v>171</v>
      </c>
    </row>
    <row r="136" spans="1:10">
      <c r="A136" t="s">
        <v>239</v>
      </c>
      <c r="B136" t="s">
        <v>183</v>
      </c>
      <c r="C136">
        <v>20</v>
      </c>
      <c r="D136" s="1">
        <v>44001</v>
      </c>
      <c r="E136" s="1">
        <v>44028</v>
      </c>
      <c r="F136" s="2">
        <v>700</v>
      </c>
      <c r="G136" s="2">
        <v>700</v>
      </c>
      <c r="I136" t="s">
        <v>170</v>
      </c>
      <c r="J136" t="s">
        <v>171</v>
      </c>
    </row>
    <row r="137" spans="1:10">
      <c r="A137" t="s">
        <v>240</v>
      </c>
      <c r="C137">
        <v>81</v>
      </c>
      <c r="D137" s="1">
        <v>43987</v>
      </c>
      <c r="E137" s="1">
        <v>44099</v>
      </c>
      <c r="F137" s="2">
        <v>11028</v>
      </c>
      <c r="G137" s="2">
        <v>11028</v>
      </c>
      <c r="H137">
        <v>32</v>
      </c>
    </row>
    <row r="138" spans="1:10">
      <c r="A138" t="s">
        <v>241</v>
      </c>
      <c r="B138" t="s">
        <v>169</v>
      </c>
      <c r="C138">
        <v>10</v>
      </c>
      <c r="D138" s="1">
        <v>43987</v>
      </c>
      <c r="E138" s="1">
        <v>44000</v>
      </c>
      <c r="F138" s="2">
        <v>560</v>
      </c>
      <c r="G138" s="2">
        <v>560</v>
      </c>
      <c r="I138" t="s">
        <v>170</v>
      </c>
      <c r="J138" t="s">
        <v>171</v>
      </c>
    </row>
    <row r="139" spans="1:10">
      <c r="A139" t="s">
        <v>242</v>
      </c>
      <c r="B139" t="s">
        <v>173</v>
      </c>
      <c r="C139">
        <v>3</v>
      </c>
      <c r="D139" s="1">
        <v>44001</v>
      </c>
      <c r="E139" s="1">
        <v>44005</v>
      </c>
      <c r="F139" s="2">
        <v>1440</v>
      </c>
      <c r="G139" s="2">
        <v>1440</v>
      </c>
      <c r="I139" t="s">
        <v>170</v>
      </c>
      <c r="J139" t="s">
        <v>171</v>
      </c>
    </row>
    <row r="140" spans="1:10">
      <c r="A140" t="s">
        <v>243</v>
      </c>
      <c r="B140" t="s">
        <v>200</v>
      </c>
      <c r="C140">
        <v>3</v>
      </c>
      <c r="D140" s="1">
        <v>44006</v>
      </c>
      <c r="E140" s="1">
        <v>44008</v>
      </c>
      <c r="F140" s="2">
        <v>1230</v>
      </c>
      <c r="G140" s="2">
        <v>1230</v>
      </c>
      <c r="H140">
        <v>32</v>
      </c>
      <c r="I140" t="s">
        <v>170</v>
      </c>
      <c r="J140" t="s">
        <v>171</v>
      </c>
    </row>
    <row r="141" spans="1:10">
      <c r="A141" t="s">
        <v>244</v>
      </c>
      <c r="B141" t="s">
        <v>135</v>
      </c>
      <c r="C141">
        <v>10</v>
      </c>
      <c r="D141" s="1">
        <v>44011</v>
      </c>
      <c r="E141" s="1">
        <v>44022</v>
      </c>
      <c r="F141" s="2">
        <v>5238</v>
      </c>
      <c r="G141" s="2">
        <v>5238</v>
      </c>
      <c r="I141" t="s">
        <v>170</v>
      </c>
      <c r="J141" t="s">
        <v>171</v>
      </c>
    </row>
    <row r="142" spans="1:10">
      <c r="A142" t="s">
        <v>245</v>
      </c>
      <c r="B142" t="s">
        <v>177</v>
      </c>
      <c r="C142">
        <v>2</v>
      </c>
      <c r="D142" s="1">
        <v>44025</v>
      </c>
      <c r="E142" s="1">
        <v>44026</v>
      </c>
      <c r="F142" s="2">
        <v>350</v>
      </c>
      <c r="G142" s="2">
        <v>350</v>
      </c>
      <c r="I142" t="s">
        <v>170</v>
      </c>
      <c r="J142" t="s">
        <v>171</v>
      </c>
    </row>
    <row r="143" spans="1:10">
      <c r="A143" t="s">
        <v>246</v>
      </c>
      <c r="B143" t="s">
        <v>137</v>
      </c>
      <c r="C143">
        <v>3</v>
      </c>
      <c r="D143" s="1">
        <v>44027</v>
      </c>
      <c r="E143" s="1">
        <v>44029</v>
      </c>
      <c r="F143" s="2">
        <v>810</v>
      </c>
      <c r="G143" s="2">
        <v>810</v>
      </c>
      <c r="I143" t="s">
        <v>170</v>
      </c>
      <c r="J143" t="s">
        <v>171</v>
      </c>
    </row>
    <row r="144" spans="1:10">
      <c r="A144" t="s">
        <v>247</v>
      </c>
      <c r="B144" t="s">
        <v>248</v>
      </c>
      <c r="C144">
        <v>50</v>
      </c>
      <c r="D144" s="1">
        <v>44032</v>
      </c>
      <c r="E144" s="1">
        <v>44099</v>
      </c>
      <c r="F144" s="2">
        <v>1400</v>
      </c>
      <c r="G144" s="2">
        <v>1400</v>
      </c>
      <c r="I144" t="s">
        <v>170</v>
      </c>
      <c r="J144" t="s">
        <v>171</v>
      </c>
    </row>
    <row r="145" spans="1:10">
      <c r="A145" t="s">
        <v>249</v>
      </c>
      <c r="C145">
        <v>76</v>
      </c>
      <c r="D145" s="1">
        <v>44018</v>
      </c>
      <c r="E145" s="1">
        <v>44123</v>
      </c>
      <c r="F145" s="2">
        <v>8452.7999999999993</v>
      </c>
      <c r="G145" s="2">
        <v>8452.7999999999993</v>
      </c>
      <c r="H145">
        <v>32</v>
      </c>
    </row>
    <row r="146" spans="1:10">
      <c r="A146" t="s">
        <v>250</v>
      </c>
      <c r="B146" t="s">
        <v>169</v>
      </c>
      <c r="C146">
        <v>10</v>
      </c>
      <c r="D146" s="1">
        <v>44018</v>
      </c>
      <c r="E146" s="1">
        <v>44029</v>
      </c>
      <c r="F146" s="2">
        <v>560</v>
      </c>
      <c r="G146" s="2">
        <v>560</v>
      </c>
      <c r="I146" t="s">
        <v>170</v>
      </c>
      <c r="J146" t="s">
        <v>171</v>
      </c>
    </row>
    <row r="147" spans="1:10">
      <c r="A147" t="s">
        <v>251</v>
      </c>
      <c r="B147" t="s">
        <v>173</v>
      </c>
      <c r="C147">
        <v>2</v>
      </c>
      <c r="D147" s="1">
        <v>44032</v>
      </c>
      <c r="E147" s="1">
        <v>44033</v>
      </c>
      <c r="F147" s="2">
        <v>960</v>
      </c>
      <c r="G147" s="2">
        <v>960</v>
      </c>
      <c r="I147" t="s">
        <v>170</v>
      </c>
      <c r="J147" t="s">
        <v>171</v>
      </c>
    </row>
    <row r="148" spans="1:10">
      <c r="A148" t="s">
        <v>252</v>
      </c>
      <c r="B148" t="s">
        <v>200</v>
      </c>
      <c r="C148">
        <v>3</v>
      </c>
      <c r="D148" s="1">
        <v>44034</v>
      </c>
      <c r="E148" s="1">
        <v>44036</v>
      </c>
      <c r="F148" s="2">
        <v>1230</v>
      </c>
      <c r="G148" s="2">
        <v>1230</v>
      </c>
      <c r="H148">
        <v>32</v>
      </c>
      <c r="I148" t="s">
        <v>170</v>
      </c>
      <c r="J148" t="s">
        <v>171</v>
      </c>
    </row>
    <row r="149" spans="1:10">
      <c r="A149" t="s">
        <v>253</v>
      </c>
      <c r="B149" t="s">
        <v>135</v>
      </c>
      <c r="C149">
        <v>6</v>
      </c>
      <c r="D149" s="1">
        <v>44039</v>
      </c>
      <c r="E149" s="1">
        <v>44046</v>
      </c>
      <c r="F149" s="2">
        <v>3142.8</v>
      </c>
      <c r="G149" s="2">
        <v>3142.8</v>
      </c>
      <c r="I149" t="s">
        <v>170</v>
      </c>
      <c r="J149" t="s">
        <v>171</v>
      </c>
    </row>
    <row r="150" spans="1:10">
      <c r="A150" t="s">
        <v>254</v>
      </c>
      <c r="B150" t="s">
        <v>177</v>
      </c>
      <c r="C150">
        <v>2</v>
      </c>
      <c r="D150" s="1">
        <v>44047</v>
      </c>
      <c r="E150" s="1">
        <v>44048</v>
      </c>
      <c r="F150" s="2">
        <v>350</v>
      </c>
      <c r="G150" s="2">
        <v>350</v>
      </c>
      <c r="I150" t="s">
        <v>170</v>
      </c>
      <c r="J150" t="s">
        <v>171</v>
      </c>
    </row>
    <row r="151" spans="1:10">
      <c r="A151" t="s">
        <v>255</v>
      </c>
      <c r="B151" t="s">
        <v>137</v>
      </c>
      <c r="C151">
        <v>3</v>
      </c>
      <c r="D151" s="1">
        <v>44049</v>
      </c>
      <c r="E151" s="1">
        <v>44053</v>
      </c>
      <c r="F151" s="2">
        <v>810</v>
      </c>
      <c r="G151" s="2">
        <v>810</v>
      </c>
      <c r="I151" t="s">
        <v>170</v>
      </c>
      <c r="J151" t="s">
        <v>171</v>
      </c>
    </row>
    <row r="152" spans="1:10">
      <c r="A152" t="s">
        <v>256</v>
      </c>
      <c r="B152" t="s">
        <v>141</v>
      </c>
      <c r="C152">
        <v>50</v>
      </c>
      <c r="D152" s="1">
        <v>44054</v>
      </c>
      <c r="E152" s="1">
        <v>44123</v>
      </c>
      <c r="F152" s="2">
        <v>1400</v>
      </c>
      <c r="G152" s="2">
        <v>1400</v>
      </c>
      <c r="I152" t="s">
        <v>170</v>
      </c>
      <c r="J152" t="s">
        <v>171</v>
      </c>
    </row>
    <row r="153" spans="1:10">
      <c r="A153" t="s">
        <v>257</v>
      </c>
      <c r="C153">
        <v>86</v>
      </c>
      <c r="D153" s="1">
        <v>44026</v>
      </c>
      <c r="E153" s="1">
        <v>44145</v>
      </c>
      <c r="F153" s="2">
        <v>22310.799999999999</v>
      </c>
      <c r="G153" s="2">
        <v>22310.799999999999</v>
      </c>
      <c r="H153">
        <v>0</v>
      </c>
    </row>
    <row r="154" spans="1:10">
      <c r="A154" t="s">
        <v>258</v>
      </c>
      <c r="B154" t="s">
        <v>144</v>
      </c>
      <c r="C154">
        <v>20</v>
      </c>
      <c r="D154" s="1">
        <v>44026</v>
      </c>
      <c r="E154" s="1">
        <v>44053</v>
      </c>
      <c r="F154" s="2">
        <v>350</v>
      </c>
      <c r="G154" s="2">
        <v>350</v>
      </c>
      <c r="I154" t="s">
        <v>170</v>
      </c>
      <c r="J154" t="s">
        <v>171</v>
      </c>
    </row>
    <row r="155" spans="1:10">
      <c r="A155" t="s">
        <v>259</v>
      </c>
      <c r="B155" t="s">
        <v>260</v>
      </c>
      <c r="C155">
        <v>32</v>
      </c>
      <c r="D155" s="1">
        <v>44054</v>
      </c>
      <c r="E155" s="1">
        <v>44097</v>
      </c>
      <c r="F155" s="2">
        <v>10640.4</v>
      </c>
      <c r="G155" s="2">
        <v>10640.4</v>
      </c>
      <c r="I155" t="s">
        <v>170</v>
      </c>
      <c r="J155" t="s">
        <v>171</v>
      </c>
    </row>
    <row r="156" spans="1:10">
      <c r="A156" t="s">
        <v>261</v>
      </c>
      <c r="B156" t="s">
        <v>262</v>
      </c>
      <c r="C156">
        <v>1</v>
      </c>
      <c r="D156" s="1">
        <v>44098</v>
      </c>
      <c r="E156" s="1">
        <v>44098</v>
      </c>
      <c r="F156" s="2">
        <v>340</v>
      </c>
      <c r="G156" s="2">
        <v>340</v>
      </c>
      <c r="I156" t="s">
        <v>170</v>
      </c>
      <c r="J156" t="s">
        <v>171</v>
      </c>
    </row>
    <row r="157" spans="1:10">
      <c r="A157" t="s">
        <v>263</v>
      </c>
      <c r="B157" t="s">
        <v>264</v>
      </c>
      <c r="C157">
        <v>32</v>
      </c>
      <c r="D157" s="1">
        <v>44099</v>
      </c>
      <c r="E157" s="1">
        <v>44144</v>
      </c>
      <c r="F157" s="2">
        <v>10640.4</v>
      </c>
      <c r="G157" s="2">
        <v>10640.4</v>
      </c>
      <c r="I157" t="s">
        <v>170</v>
      </c>
      <c r="J157" t="s">
        <v>171</v>
      </c>
    </row>
    <row r="158" spans="1:10">
      <c r="A158" t="s">
        <v>265</v>
      </c>
      <c r="B158" t="s">
        <v>266</v>
      </c>
      <c r="C158">
        <v>1</v>
      </c>
      <c r="D158" s="1">
        <v>44145</v>
      </c>
      <c r="E158" s="1">
        <v>44145</v>
      </c>
      <c r="F158" s="2">
        <v>340</v>
      </c>
      <c r="G158" s="2">
        <v>340</v>
      </c>
      <c r="I158" t="s">
        <v>170</v>
      </c>
      <c r="J158" t="s">
        <v>171</v>
      </c>
    </row>
    <row r="159" spans="1:10">
      <c r="A159" t="s">
        <v>267</v>
      </c>
      <c r="C159">
        <v>193</v>
      </c>
      <c r="D159" s="1">
        <v>43833</v>
      </c>
      <c r="E159" s="1">
        <v>44109</v>
      </c>
      <c r="F159" s="2">
        <v>298536.46999999997</v>
      </c>
      <c r="G159" s="2">
        <v>298536.46999999997</v>
      </c>
      <c r="H159">
        <v>219</v>
      </c>
    </row>
    <row r="160" spans="1:10">
      <c r="A160" t="s">
        <v>111</v>
      </c>
      <c r="C160">
        <v>182</v>
      </c>
      <c r="D160" s="1">
        <v>43851</v>
      </c>
      <c r="E160" s="1">
        <v>44109</v>
      </c>
      <c r="F160" s="2">
        <v>0</v>
      </c>
      <c r="G160" s="2">
        <v>0</v>
      </c>
      <c r="H160">
        <v>0</v>
      </c>
    </row>
    <row r="161" spans="1:10">
      <c r="A161" t="s">
        <v>268</v>
      </c>
      <c r="B161" t="s">
        <v>269</v>
      </c>
      <c r="C161">
        <v>0</v>
      </c>
      <c r="D161" s="1">
        <v>43851</v>
      </c>
      <c r="F161" s="2">
        <v>0</v>
      </c>
      <c r="G161" s="2">
        <v>0</v>
      </c>
      <c r="I161" t="s">
        <v>31</v>
      </c>
      <c r="J161" t="s">
        <v>17</v>
      </c>
    </row>
    <row r="162" spans="1:10">
      <c r="A162" t="s">
        <v>270</v>
      </c>
      <c r="B162" t="s">
        <v>271</v>
      </c>
      <c r="C162">
        <v>122</v>
      </c>
      <c r="D162" s="1">
        <v>43851</v>
      </c>
      <c r="E162" s="1">
        <v>44022</v>
      </c>
      <c r="F162" s="2">
        <v>0</v>
      </c>
      <c r="G162" s="2">
        <v>0</v>
      </c>
      <c r="I162" t="s">
        <v>31</v>
      </c>
      <c r="J162" t="s">
        <v>17</v>
      </c>
    </row>
    <row r="163" spans="1:10">
      <c r="A163" t="s">
        <v>272</v>
      </c>
      <c r="B163" t="s">
        <v>273</v>
      </c>
      <c r="C163">
        <v>0</v>
      </c>
      <c r="E163" s="1">
        <v>44022</v>
      </c>
      <c r="F163" s="2">
        <v>0</v>
      </c>
      <c r="G163" s="2">
        <v>0</v>
      </c>
      <c r="I163" t="s">
        <v>31</v>
      </c>
      <c r="J163" t="s">
        <v>17</v>
      </c>
    </row>
    <row r="164" spans="1:10">
      <c r="A164" t="s">
        <v>274</v>
      </c>
      <c r="B164" t="s">
        <v>275</v>
      </c>
      <c r="C164">
        <v>0</v>
      </c>
      <c r="E164" s="1">
        <v>44109</v>
      </c>
      <c r="F164" s="2">
        <v>0</v>
      </c>
      <c r="G164" s="2">
        <v>0</v>
      </c>
      <c r="I164" t="s">
        <v>31</v>
      </c>
      <c r="J164" t="s">
        <v>17</v>
      </c>
    </row>
    <row r="165" spans="1:10">
      <c r="A165" t="s">
        <v>147</v>
      </c>
      <c r="C165">
        <v>8</v>
      </c>
      <c r="D165" s="1">
        <v>43843</v>
      </c>
      <c r="E165" s="1">
        <v>43853</v>
      </c>
      <c r="F165" s="2">
        <v>5371.5</v>
      </c>
      <c r="G165" s="2">
        <v>5371.5</v>
      </c>
      <c r="H165">
        <v>0</v>
      </c>
    </row>
    <row r="166" spans="1:10">
      <c r="A166" t="s">
        <v>276</v>
      </c>
      <c r="B166" t="s">
        <v>144</v>
      </c>
      <c r="C166">
        <v>5</v>
      </c>
      <c r="D166" s="1">
        <v>43843</v>
      </c>
      <c r="E166" s="1">
        <v>43847</v>
      </c>
      <c r="F166" s="2">
        <v>817.5</v>
      </c>
      <c r="G166" s="2">
        <v>817.5</v>
      </c>
      <c r="I166" t="s">
        <v>50</v>
      </c>
      <c r="J166" t="s">
        <v>17</v>
      </c>
    </row>
    <row r="167" spans="1:10">
      <c r="A167" t="s">
        <v>277</v>
      </c>
      <c r="B167" t="s">
        <v>135</v>
      </c>
      <c r="C167">
        <v>3</v>
      </c>
      <c r="D167" t="s">
        <v>278</v>
      </c>
      <c r="E167" s="1">
        <v>43853</v>
      </c>
      <c r="F167" s="2">
        <v>4554</v>
      </c>
      <c r="G167" s="2">
        <v>4554</v>
      </c>
      <c r="I167" t="s">
        <v>50</v>
      </c>
      <c r="J167" t="s">
        <v>17</v>
      </c>
    </row>
    <row r="168" spans="1:10">
      <c r="A168" t="s">
        <v>154</v>
      </c>
      <c r="C168">
        <v>3</v>
      </c>
      <c r="D168" s="1">
        <v>43854</v>
      </c>
      <c r="E168" s="1">
        <v>43858</v>
      </c>
      <c r="F168" s="2">
        <v>3204</v>
      </c>
      <c r="G168" s="2">
        <v>3204</v>
      </c>
      <c r="H168">
        <v>0</v>
      </c>
    </row>
    <row r="169" spans="1:10">
      <c r="A169" t="s">
        <v>279</v>
      </c>
      <c r="B169" t="s">
        <v>135</v>
      </c>
      <c r="C169">
        <v>3</v>
      </c>
      <c r="D169" s="1">
        <v>43854</v>
      </c>
      <c r="E169" s="1">
        <v>43858</v>
      </c>
      <c r="F169" s="2">
        <v>3204</v>
      </c>
      <c r="G169" s="2">
        <v>3204</v>
      </c>
      <c r="I169" t="s">
        <v>50</v>
      </c>
      <c r="J169" t="s">
        <v>17</v>
      </c>
    </row>
    <row r="170" spans="1:10">
      <c r="A170" t="s">
        <v>280</v>
      </c>
      <c r="C170">
        <v>12</v>
      </c>
      <c r="D170" s="1">
        <v>43852</v>
      </c>
      <c r="E170" s="1">
        <v>43867</v>
      </c>
      <c r="F170" s="2">
        <v>4591</v>
      </c>
      <c r="G170" s="2">
        <v>4591</v>
      </c>
      <c r="H170">
        <v>0</v>
      </c>
    </row>
    <row r="171" spans="1:10">
      <c r="A171" t="s">
        <v>281</v>
      </c>
      <c r="B171" t="s">
        <v>144</v>
      </c>
      <c r="C171">
        <v>5</v>
      </c>
      <c r="D171" s="1">
        <v>43852</v>
      </c>
      <c r="E171" s="1">
        <v>43858</v>
      </c>
      <c r="F171" s="2">
        <v>545</v>
      </c>
      <c r="G171" s="2">
        <v>545</v>
      </c>
      <c r="I171" t="s">
        <v>50</v>
      </c>
      <c r="J171" t="s">
        <v>17</v>
      </c>
    </row>
    <row r="172" spans="1:10">
      <c r="A172" t="s">
        <v>282</v>
      </c>
      <c r="B172" t="s">
        <v>135</v>
      </c>
      <c r="C172">
        <v>7</v>
      </c>
      <c r="D172" s="1">
        <v>43859</v>
      </c>
      <c r="E172" s="1">
        <v>43867</v>
      </c>
      <c r="F172" s="2">
        <v>4046</v>
      </c>
      <c r="G172" s="2">
        <v>4046</v>
      </c>
      <c r="I172" t="s">
        <v>50</v>
      </c>
      <c r="J172" t="s">
        <v>17</v>
      </c>
    </row>
    <row r="173" spans="1:10">
      <c r="A173" t="s">
        <v>283</v>
      </c>
      <c r="C173">
        <v>56</v>
      </c>
      <c r="D173" s="1">
        <v>43833</v>
      </c>
      <c r="E173" s="1">
        <v>43913</v>
      </c>
      <c r="F173" s="2">
        <v>33683</v>
      </c>
      <c r="G173" s="2">
        <v>33683</v>
      </c>
      <c r="H173">
        <v>24</v>
      </c>
    </row>
    <row r="174" spans="1:10">
      <c r="A174" t="s">
        <v>284</v>
      </c>
      <c r="B174" t="s">
        <v>144</v>
      </c>
      <c r="C174">
        <v>20</v>
      </c>
      <c r="D174" s="1">
        <v>43833</v>
      </c>
      <c r="E174" s="1">
        <v>43861</v>
      </c>
      <c r="F174" s="2">
        <v>4360</v>
      </c>
      <c r="G174" s="2">
        <v>4360</v>
      </c>
      <c r="I174" t="s">
        <v>50</v>
      </c>
      <c r="J174" t="s">
        <v>17</v>
      </c>
    </row>
    <row r="175" spans="1:10">
      <c r="A175" t="s">
        <v>285</v>
      </c>
      <c r="B175" t="s">
        <v>125</v>
      </c>
      <c r="C175">
        <v>4</v>
      </c>
      <c r="D175" s="1">
        <v>43864</v>
      </c>
      <c r="E175" s="1">
        <v>43867</v>
      </c>
      <c r="F175" s="2">
        <v>3924</v>
      </c>
      <c r="G175" s="2">
        <v>3924</v>
      </c>
      <c r="I175" t="s">
        <v>50</v>
      </c>
      <c r="J175" t="s">
        <v>17</v>
      </c>
    </row>
    <row r="176" spans="1:10">
      <c r="A176" t="s">
        <v>286</v>
      </c>
      <c r="B176" t="s">
        <v>146</v>
      </c>
      <c r="C176">
        <v>2</v>
      </c>
      <c r="D176" s="1">
        <v>43868</v>
      </c>
      <c r="E176" s="1">
        <v>43871</v>
      </c>
      <c r="F176" s="2">
        <v>2996</v>
      </c>
      <c r="G176" s="2">
        <v>2996</v>
      </c>
      <c r="I176" t="s">
        <v>50</v>
      </c>
      <c r="J176" t="s">
        <v>17</v>
      </c>
    </row>
    <row r="177" spans="1:10">
      <c r="A177" t="s">
        <v>287</v>
      </c>
      <c r="B177" t="s">
        <v>161</v>
      </c>
      <c r="C177">
        <v>2</v>
      </c>
      <c r="D177" s="1">
        <v>43872</v>
      </c>
      <c r="E177" s="1">
        <v>43873</v>
      </c>
      <c r="F177" s="2">
        <v>4352</v>
      </c>
      <c r="G177" s="2">
        <v>4352</v>
      </c>
      <c r="H177">
        <v>24</v>
      </c>
      <c r="I177" t="s">
        <v>50</v>
      </c>
      <c r="J177" t="s">
        <v>17</v>
      </c>
    </row>
    <row r="178" spans="1:10">
      <c r="A178" t="s">
        <v>288</v>
      </c>
      <c r="B178" t="s">
        <v>135</v>
      </c>
      <c r="C178">
        <v>7</v>
      </c>
      <c r="D178" s="1">
        <v>43874</v>
      </c>
      <c r="E178" s="1">
        <v>43882</v>
      </c>
      <c r="F178" s="2">
        <v>7833</v>
      </c>
      <c r="G178" s="2">
        <v>7833</v>
      </c>
      <c r="I178" t="s">
        <v>50</v>
      </c>
      <c r="J178" t="s">
        <v>17</v>
      </c>
    </row>
    <row r="179" spans="1:10">
      <c r="A179" t="s">
        <v>289</v>
      </c>
      <c r="B179" t="s">
        <v>137</v>
      </c>
      <c r="C179">
        <v>1</v>
      </c>
      <c r="D179" s="1">
        <v>43885</v>
      </c>
      <c r="E179" s="1">
        <v>43885</v>
      </c>
      <c r="F179" s="2">
        <v>1498</v>
      </c>
      <c r="G179" s="2">
        <v>1498</v>
      </c>
      <c r="I179" t="s">
        <v>50</v>
      </c>
      <c r="J179" t="s">
        <v>17</v>
      </c>
    </row>
    <row r="180" spans="1:10">
      <c r="A180" t="s">
        <v>290</v>
      </c>
      <c r="B180" t="s">
        <v>234</v>
      </c>
      <c r="C180">
        <v>5</v>
      </c>
      <c r="D180" s="1">
        <v>43886</v>
      </c>
      <c r="E180" s="1">
        <v>43892</v>
      </c>
      <c r="F180" s="2">
        <v>2180</v>
      </c>
      <c r="G180" s="2">
        <v>2180</v>
      </c>
      <c r="I180" t="s">
        <v>50</v>
      </c>
      <c r="J180" t="s">
        <v>17</v>
      </c>
    </row>
    <row r="181" spans="1:10">
      <c r="A181" t="s">
        <v>291</v>
      </c>
      <c r="B181" t="s">
        <v>189</v>
      </c>
      <c r="C181">
        <v>15</v>
      </c>
      <c r="D181" s="1">
        <v>43893</v>
      </c>
      <c r="E181" s="1">
        <v>43913</v>
      </c>
      <c r="F181" s="2">
        <v>6540</v>
      </c>
      <c r="G181" s="2">
        <v>6540</v>
      </c>
      <c r="I181" t="s">
        <v>50</v>
      </c>
      <c r="J181" t="s">
        <v>17</v>
      </c>
    </row>
    <row r="182" spans="1:10">
      <c r="A182" t="s">
        <v>292</v>
      </c>
      <c r="C182">
        <v>5</v>
      </c>
      <c r="D182" s="1">
        <v>43886</v>
      </c>
      <c r="E182" s="1">
        <v>43892</v>
      </c>
      <c r="F182" s="2">
        <v>2180</v>
      </c>
      <c r="G182" s="2">
        <v>2180</v>
      </c>
      <c r="H182">
        <v>0</v>
      </c>
    </row>
    <row r="183" spans="1:10">
      <c r="A183" t="s">
        <v>293</v>
      </c>
      <c r="B183" t="s">
        <v>135</v>
      </c>
      <c r="C183">
        <v>5</v>
      </c>
      <c r="D183" s="1">
        <v>43886</v>
      </c>
      <c r="E183" s="1">
        <v>43892</v>
      </c>
      <c r="F183" s="2">
        <v>2180</v>
      </c>
      <c r="G183" s="2">
        <v>2180</v>
      </c>
      <c r="I183" t="s">
        <v>100</v>
      </c>
      <c r="J183" t="s">
        <v>17</v>
      </c>
    </row>
    <row r="184" spans="1:10">
      <c r="A184" t="s">
        <v>294</v>
      </c>
      <c r="C184">
        <v>10</v>
      </c>
      <c r="D184" s="1">
        <v>43893</v>
      </c>
      <c r="E184" s="1">
        <v>43906</v>
      </c>
      <c r="F184" s="2">
        <v>8700</v>
      </c>
      <c r="G184" s="2">
        <v>8700</v>
      </c>
      <c r="H184">
        <v>24</v>
      </c>
    </row>
    <row r="185" spans="1:10">
      <c r="A185" t="s">
        <v>295</v>
      </c>
      <c r="B185" t="s">
        <v>146</v>
      </c>
      <c r="C185">
        <v>2</v>
      </c>
      <c r="D185" s="1">
        <v>43893</v>
      </c>
      <c r="E185" s="1">
        <v>43894</v>
      </c>
      <c r="F185" s="2">
        <v>2192</v>
      </c>
      <c r="G185" s="2">
        <v>2192</v>
      </c>
      <c r="I185" t="s">
        <v>296</v>
      </c>
      <c r="J185" t="s">
        <v>17</v>
      </c>
    </row>
    <row r="186" spans="1:10">
      <c r="A186" t="s">
        <v>297</v>
      </c>
      <c r="B186" t="s">
        <v>161</v>
      </c>
      <c r="C186">
        <v>2</v>
      </c>
      <c r="D186" s="1">
        <v>43895</v>
      </c>
      <c r="E186" s="1">
        <v>43896</v>
      </c>
      <c r="F186" s="2">
        <v>4362</v>
      </c>
      <c r="G186" s="2">
        <v>4362</v>
      </c>
      <c r="H186">
        <v>24</v>
      </c>
      <c r="I186" t="s">
        <v>296</v>
      </c>
      <c r="J186" t="s">
        <v>17</v>
      </c>
    </row>
    <row r="187" spans="1:10">
      <c r="A187" t="s">
        <v>298</v>
      </c>
      <c r="B187" t="s">
        <v>135</v>
      </c>
      <c r="C187">
        <v>5</v>
      </c>
      <c r="D187" s="1">
        <v>43899</v>
      </c>
      <c r="E187" s="1">
        <v>43903</v>
      </c>
      <c r="F187" s="2">
        <v>1050</v>
      </c>
      <c r="G187" s="2">
        <v>1050</v>
      </c>
      <c r="I187" t="s">
        <v>296</v>
      </c>
      <c r="J187" t="s">
        <v>17</v>
      </c>
    </row>
    <row r="188" spans="1:10">
      <c r="A188" t="s">
        <v>299</v>
      </c>
      <c r="B188" t="s">
        <v>137</v>
      </c>
      <c r="C188">
        <v>1</v>
      </c>
      <c r="D188" s="1">
        <v>43906</v>
      </c>
      <c r="E188" s="1">
        <v>43906</v>
      </c>
      <c r="F188" s="2">
        <v>1096</v>
      </c>
      <c r="G188" s="2">
        <v>1096</v>
      </c>
      <c r="I188" t="s">
        <v>296</v>
      </c>
      <c r="J188" t="s">
        <v>17</v>
      </c>
    </row>
    <row r="189" spans="1:10">
      <c r="A189" t="s">
        <v>300</v>
      </c>
      <c r="C189">
        <v>8</v>
      </c>
      <c r="D189" s="1">
        <v>43900</v>
      </c>
      <c r="E189" s="1">
        <v>43909</v>
      </c>
      <c r="F189" s="2">
        <v>3959</v>
      </c>
      <c r="G189" s="2">
        <v>3959</v>
      </c>
      <c r="H189">
        <v>0</v>
      </c>
    </row>
    <row r="190" spans="1:10">
      <c r="A190" t="s">
        <v>301</v>
      </c>
      <c r="B190" t="s">
        <v>144</v>
      </c>
      <c r="C190">
        <v>5</v>
      </c>
      <c r="D190" s="1">
        <v>43900</v>
      </c>
      <c r="E190" s="1">
        <v>43906</v>
      </c>
      <c r="F190" s="2">
        <v>545</v>
      </c>
      <c r="G190" s="2">
        <v>545</v>
      </c>
      <c r="I190" t="s">
        <v>50</v>
      </c>
      <c r="J190" t="s">
        <v>17</v>
      </c>
    </row>
    <row r="191" spans="1:10">
      <c r="A191" t="s">
        <v>302</v>
      </c>
      <c r="B191" t="s">
        <v>135</v>
      </c>
      <c r="C191">
        <v>3</v>
      </c>
      <c r="D191" s="1">
        <v>43907</v>
      </c>
      <c r="E191" s="1">
        <v>43909</v>
      </c>
      <c r="F191" s="2">
        <v>3414</v>
      </c>
      <c r="G191" s="2">
        <v>3414</v>
      </c>
      <c r="I191" t="s">
        <v>50</v>
      </c>
      <c r="J191" t="s">
        <v>17</v>
      </c>
    </row>
    <row r="192" spans="1:10">
      <c r="A192" t="s">
        <v>184</v>
      </c>
      <c r="C192">
        <v>32</v>
      </c>
      <c r="D192" s="1">
        <v>43910</v>
      </c>
      <c r="E192" s="1">
        <v>43955</v>
      </c>
      <c r="F192" s="2">
        <v>10068</v>
      </c>
      <c r="G192" s="2">
        <v>10068</v>
      </c>
      <c r="H192">
        <v>0</v>
      </c>
    </row>
    <row r="193" spans="1:10">
      <c r="A193" t="s">
        <v>303</v>
      </c>
      <c r="B193" t="s">
        <v>135</v>
      </c>
      <c r="C193">
        <v>2</v>
      </c>
      <c r="D193" s="1">
        <v>43910</v>
      </c>
      <c r="E193" s="1">
        <v>43913</v>
      </c>
      <c r="F193" s="2">
        <v>8212</v>
      </c>
      <c r="G193" s="2">
        <v>8212</v>
      </c>
      <c r="I193" t="s">
        <v>63</v>
      </c>
      <c r="J193" t="s">
        <v>304</v>
      </c>
    </row>
    <row r="194" spans="1:10">
      <c r="A194" t="s">
        <v>305</v>
      </c>
      <c r="B194" t="s">
        <v>189</v>
      </c>
      <c r="C194">
        <v>20</v>
      </c>
      <c r="D194" s="1">
        <v>43928</v>
      </c>
      <c r="E194" s="1">
        <v>43955</v>
      </c>
      <c r="F194" s="2">
        <v>1856</v>
      </c>
      <c r="G194" s="2">
        <v>1856</v>
      </c>
      <c r="I194" t="s">
        <v>63</v>
      </c>
      <c r="J194" t="s">
        <v>17</v>
      </c>
    </row>
    <row r="195" spans="1:10">
      <c r="A195" t="s">
        <v>306</v>
      </c>
      <c r="C195">
        <v>81</v>
      </c>
      <c r="D195" s="1">
        <v>43843</v>
      </c>
      <c r="E195" s="1">
        <v>43956</v>
      </c>
      <c r="F195" s="2">
        <v>29724</v>
      </c>
      <c r="G195" s="2">
        <v>29724</v>
      </c>
      <c r="H195">
        <v>0</v>
      </c>
    </row>
    <row r="196" spans="1:10">
      <c r="A196" t="s">
        <v>307</v>
      </c>
      <c r="B196" t="s">
        <v>144</v>
      </c>
      <c r="C196">
        <v>50</v>
      </c>
      <c r="D196" s="1">
        <v>43843</v>
      </c>
      <c r="E196" s="1">
        <v>43913</v>
      </c>
      <c r="F196" s="2">
        <v>5770</v>
      </c>
      <c r="G196" s="2">
        <v>5770</v>
      </c>
      <c r="I196" t="s">
        <v>308</v>
      </c>
      <c r="J196" t="s">
        <v>17</v>
      </c>
    </row>
    <row r="197" spans="1:10">
      <c r="A197" t="s">
        <v>309</v>
      </c>
      <c r="B197" t="s">
        <v>146</v>
      </c>
      <c r="C197">
        <v>1</v>
      </c>
      <c r="D197" s="1">
        <v>43914</v>
      </c>
      <c r="E197" s="1">
        <v>43914</v>
      </c>
      <c r="F197" s="2">
        <v>1076</v>
      </c>
      <c r="G197" s="2">
        <v>1076</v>
      </c>
      <c r="I197" t="s">
        <v>50</v>
      </c>
      <c r="J197" t="s">
        <v>17</v>
      </c>
    </row>
    <row r="198" spans="1:10">
      <c r="A198" t="s">
        <v>310</v>
      </c>
      <c r="B198" t="s">
        <v>135</v>
      </c>
      <c r="C198">
        <v>5</v>
      </c>
      <c r="D198" s="1">
        <v>43915</v>
      </c>
      <c r="E198" s="1">
        <v>43921</v>
      </c>
      <c r="F198" s="2">
        <v>13160</v>
      </c>
      <c r="G198" s="2">
        <v>13160</v>
      </c>
      <c r="I198" t="s">
        <v>308</v>
      </c>
      <c r="J198" t="s">
        <v>17</v>
      </c>
    </row>
    <row r="199" spans="1:10">
      <c r="A199" t="s">
        <v>311</v>
      </c>
      <c r="B199" t="s">
        <v>137</v>
      </c>
      <c r="C199">
        <v>1</v>
      </c>
      <c r="D199" s="1">
        <v>43922</v>
      </c>
      <c r="E199" s="1">
        <v>43922</v>
      </c>
      <c r="F199" s="2">
        <v>1076</v>
      </c>
      <c r="G199" s="2">
        <v>1076</v>
      </c>
      <c r="I199" t="s">
        <v>129</v>
      </c>
      <c r="J199" t="s">
        <v>17</v>
      </c>
    </row>
    <row r="200" spans="1:10">
      <c r="A200" t="s">
        <v>312</v>
      </c>
      <c r="B200" t="s">
        <v>313</v>
      </c>
      <c r="C200">
        <v>4</v>
      </c>
      <c r="D200" s="1">
        <v>43923</v>
      </c>
      <c r="E200" s="1">
        <v>43928</v>
      </c>
      <c r="F200" s="2">
        <v>3744</v>
      </c>
      <c r="G200" s="2">
        <v>3744</v>
      </c>
      <c r="I200" t="s">
        <v>308</v>
      </c>
      <c r="J200" t="s">
        <v>17</v>
      </c>
    </row>
    <row r="201" spans="1:10">
      <c r="A201" t="s">
        <v>314</v>
      </c>
      <c r="B201" t="s">
        <v>189</v>
      </c>
      <c r="C201">
        <v>20</v>
      </c>
      <c r="D201" s="1">
        <v>43929</v>
      </c>
      <c r="E201" s="1">
        <v>43956</v>
      </c>
      <c r="F201" s="2">
        <v>4898</v>
      </c>
      <c r="G201" s="2">
        <v>4898</v>
      </c>
      <c r="I201" t="s">
        <v>308</v>
      </c>
      <c r="J201" t="s">
        <v>17</v>
      </c>
    </row>
    <row r="202" spans="1:10">
      <c r="A202" t="s">
        <v>315</v>
      </c>
      <c r="C202">
        <v>20</v>
      </c>
      <c r="D202" s="1">
        <v>43909</v>
      </c>
      <c r="E202" s="1">
        <v>43936</v>
      </c>
      <c r="F202" s="2">
        <v>10969</v>
      </c>
      <c r="G202" s="2">
        <v>10969</v>
      </c>
      <c r="H202">
        <v>0</v>
      </c>
    </row>
    <row r="203" spans="1:10">
      <c r="A203" t="s">
        <v>316</v>
      </c>
      <c r="B203" t="s">
        <v>144</v>
      </c>
      <c r="C203">
        <v>10</v>
      </c>
      <c r="D203" s="1">
        <v>43909</v>
      </c>
      <c r="E203" s="1">
        <v>43922</v>
      </c>
      <c r="F203" s="2">
        <v>1160</v>
      </c>
      <c r="G203" s="2">
        <v>1160</v>
      </c>
      <c r="I203" t="s">
        <v>63</v>
      </c>
      <c r="J203" t="s">
        <v>17</v>
      </c>
    </row>
    <row r="204" spans="1:10">
      <c r="A204" t="s">
        <v>317</v>
      </c>
      <c r="B204" t="s">
        <v>318</v>
      </c>
      <c r="C204">
        <v>4</v>
      </c>
      <c r="D204" s="1">
        <v>43923</v>
      </c>
      <c r="E204" s="1">
        <v>43928</v>
      </c>
      <c r="F204" s="2">
        <v>8256</v>
      </c>
      <c r="G204" s="2">
        <v>8256</v>
      </c>
      <c r="I204" t="s">
        <v>63</v>
      </c>
      <c r="J204" t="s">
        <v>17</v>
      </c>
    </row>
    <row r="205" spans="1:10">
      <c r="A205" t="s">
        <v>319</v>
      </c>
      <c r="B205" t="s">
        <v>137</v>
      </c>
      <c r="C205">
        <v>1</v>
      </c>
      <c r="D205" s="1">
        <v>43929</v>
      </c>
      <c r="E205" s="1">
        <v>43929</v>
      </c>
      <c r="F205" s="2">
        <v>625</v>
      </c>
      <c r="G205" s="2">
        <v>625</v>
      </c>
      <c r="I205" t="s">
        <v>63</v>
      </c>
      <c r="J205" t="s">
        <v>17</v>
      </c>
    </row>
    <row r="206" spans="1:10">
      <c r="A206" t="s">
        <v>320</v>
      </c>
      <c r="B206" t="s">
        <v>321</v>
      </c>
      <c r="C206">
        <v>6</v>
      </c>
      <c r="D206" s="1">
        <v>43929</v>
      </c>
      <c r="E206" s="1">
        <v>43936</v>
      </c>
      <c r="F206" s="2">
        <v>928</v>
      </c>
      <c r="G206" s="2">
        <v>928</v>
      </c>
      <c r="I206" t="s">
        <v>63</v>
      </c>
      <c r="J206" t="s">
        <v>17</v>
      </c>
    </row>
    <row r="207" spans="1:10">
      <c r="A207" t="s">
        <v>322</v>
      </c>
      <c r="C207">
        <v>20</v>
      </c>
      <c r="D207" s="1">
        <v>43916</v>
      </c>
      <c r="E207" s="1">
        <v>43943</v>
      </c>
      <c r="F207" s="2">
        <v>8945</v>
      </c>
      <c r="G207" s="2">
        <v>8945</v>
      </c>
      <c r="H207">
        <v>0</v>
      </c>
    </row>
    <row r="208" spans="1:10">
      <c r="A208" t="s">
        <v>323</v>
      </c>
      <c r="B208" t="s">
        <v>144</v>
      </c>
      <c r="C208">
        <v>10</v>
      </c>
      <c r="D208" s="1">
        <v>43916</v>
      </c>
      <c r="E208" s="1">
        <v>43929</v>
      </c>
      <c r="F208" s="2">
        <v>1160</v>
      </c>
      <c r="G208" s="2">
        <v>1160</v>
      </c>
      <c r="I208" t="s">
        <v>63</v>
      </c>
      <c r="J208" t="s">
        <v>17</v>
      </c>
    </row>
    <row r="209" spans="1:10">
      <c r="A209" t="s">
        <v>324</v>
      </c>
      <c r="B209" t="s">
        <v>318</v>
      </c>
      <c r="C209">
        <v>4</v>
      </c>
      <c r="D209" s="1">
        <v>43930</v>
      </c>
      <c r="E209" s="1">
        <v>43935</v>
      </c>
      <c r="F209" s="2">
        <v>6232</v>
      </c>
      <c r="G209" s="2">
        <v>6232</v>
      </c>
      <c r="I209" t="s">
        <v>63</v>
      </c>
      <c r="J209" t="s">
        <v>17</v>
      </c>
    </row>
    <row r="210" spans="1:10">
      <c r="A210" t="s">
        <v>325</v>
      </c>
      <c r="B210" t="s">
        <v>137</v>
      </c>
      <c r="C210">
        <v>1</v>
      </c>
      <c r="D210" s="1">
        <v>43936</v>
      </c>
      <c r="E210" s="1">
        <v>43936</v>
      </c>
      <c r="F210" s="2">
        <v>625</v>
      </c>
      <c r="G210" s="2">
        <v>625</v>
      </c>
      <c r="I210" t="s">
        <v>63</v>
      </c>
      <c r="J210" t="s">
        <v>17</v>
      </c>
    </row>
    <row r="211" spans="1:10">
      <c r="A211" t="s">
        <v>326</v>
      </c>
      <c r="B211" t="s">
        <v>321</v>
      </c>
      <c r="C211">
        <v>6</v>
      </c>
      <c r="D211" s="1">
        <v>43936</v>
      </c>
      <c r="E211" s="1">
        <v>43943</v>
      </c>
      <c r="F211" s="2">
        <v>928</v>
      </c>
      <c r="G211" s="2">
        <v>928</v>
      </c>
      <c r="I211" t="s">
        <v>63</v>
      </c>
      <c r="J211" t="s">
        <v>17</v>
      </c>
    </row>
    <row r="212" spans="1:10">
      <c r="A212" t="s">
        <v>327</v>
      </c>
      <c r="C212">
        <v>110</v>
      </c>
      <c r="D212" s="1">
        <v>43853</v>
      </c>
      <c r="E212" s="1">
        <v>44007</v>
      </c>
      <c r="F212" s="2">
        <v>92051.8</v>
      </c>
      <c r="G212" s="2">
        <v>92051.8</v>
      </c>
      <c r="H212">
        <v>112</v>
      </c>
    </row>
    <row r="213" spans="1:10">
      <c r="A213" t="s">
        <v>328</v>
      </c>
      <c r="B213" t="s">
        <v>144</v>
      </c>
      <c r="C213">
        <v>60</v>
      </c>
      <c r="D213" s="1">
        <v>43853</v>
      </c>
      <c r="E213" s="1">
        <v>43936</v>
      </c>
      <c r="F213" s="2">
        <v>3375</v>
      </c>
      <c r="G213" s="2">
        <v>3375</v>
      </c>
      <c r="I213" t="s">
        <v>63</v>
      </c>
      <c r="J213" t="s">
        <v>17</v>
      </c>
    </row>
    <row r="214" spans="1:10">
      <c r="A214" t="s">
        <v>329</v>
      </c>
      <c r="B214" t="s">
        <v>146</v>
      </c>
      <c r="C214">
        <v>6</v>
      </c>
      <c r="D214" s="1">
        <v>43937</v>
      </c>
      <c r="E214" s="1">
        <v>43944</v>
      </c>
      <c r="F214" s="2">
        <v>10716</v>
      </c>
      <c r="G214" s="2">
        <v>10716</v>
      </c>
      <c r="I214" t="s">
        <v>63</v>
      </c>
      <c r="J214" t="s">
        <v>17</v>
      </c>
    </row>
    <row r="215" spans="1:10">
      <c r="A215" t="s">
        <v>330</v>
      </c>
      <c r="B215" t="s">
        <v>161</v>
      </c>
      <c r="C215">
        <v>6</v>
      </c>
      <c r="D215" s="1">
        <v>43945</v>
      </c>
      <c r="E215" s="1">
        <v>43952</v>
      </c>
      <c r="F215" s="2">
        <v>25980</v>
      </c>
      <c r="G215" s="2">
        <v>25980</v>
      </c>
      <c r="H215">
        <v>112</v>
      </c>
      <c r="I215" t="s">
        <v>63</v>
      </c>
      <c r="J215" t="s">
        <v>17</v>
      </c>
    </row>
    <row r="216" spans="1:10">
      <c r="A216" t="s">
        <v>331</v>
      </c>
      <c r="B216" t="s">
        <v>332</v>
      </c>
      <c r="C216">
        <v>3</v>
      </c>
      <c r="D216" s="1">
        <v>43950</v>
      </c>
      <c r="E216" s="1">
        <v>43952</v>
      </c>
      <c r="F216" s="2">
        <v>2029</v>
      </c>
      <c r="G216" s="2">
        <v>2029</v>
      </c>
      <c r="I216" t="s">
        <v>333</v>
      </c>
      <c r="J216" t="s">
        <v>17</v>
      </c>
    </row>
    <row r="217" spans="1:10">
      <c r="A217" t="s">
        <v>334</v>
      </c>
      <c r="B217" t="s">
        <v>135</v>
      </c>
      <c r="C217">
        <v>8</v>
      </c>
      <c r="D217" s="1">
        <v>43955</v>
      </c>
      <c r="E217" s="1">
        <v>43964</v>
      </c>
      <c r="F217" s="2">
        <v>35468</v>
      </c>
      <c r="G217" s="2">
        <v>35468</v>
      </c>
      <c r="I217" t="s">
        <v>63</v>
      </c>
      <c r="J217" t="s">
        <v>17</v>
      </c>
    </row>
    <row r="218" spans="1:10">
      <c r="A218" t="s">
        <v>335</v>
      </c>
      <c r="B218" t="s">
        <v>137</v>
      </c>
      <c r="C218">
        <v>2</v>
      </c>
      <c r="D218" s="1">
        <v>43965</v>
      </c>
      <c r="E218" s="1">
        <v>43966</v>
      </c>
      <c r="F218" s="2">
        <v>2862</v>
      </c>
      <c r="G218" s="2">
        <v>2862</v>
      </c>
      <c r="I218" t="s">
        <v>63</v>
      </c>
      <c r="J218" t="s">
        <v>17</v>
      </c>
    </row>
    <row r="219" spans="1:10">
      <c r="A219" t="s">
        <v>336</v>
      </c>
      <c r="B219" t="s">
        <v>337</v>
      </c>
      <c r="C219">
        <v>30</v>
      </c>
      <c r="D219" s="1">
        <v>43965</v>
      </c>
      <c r="E219" s="1">
        <v>44007</v>
      </c>
      <c r="F219" s="2">
        <v>11621.8</v>
      </c>
      <c r="G219" s="2">
        <v>11621.8</v>
      </c>
      <c r="I219" t="s">
        <v>63</v>
      </c>
      <c r="J219" t="s">
        <v>17</v>
      </c>
    </row>
    <row r="220" spans="1:10">
      <c r="A220" t="s">
        <v>338</v>
      </c>
      <c r="C220">
        <v>37</v>
      </c>
      <c r="D220" s="1">
        <v>43955</v>
      </c>
      <c r="E220" s="1">
        <v>44006</v>
      </c>
      <c r="F220" s="2">
        <v>19571</v>
      </c>
      <c r="G220" s="2">
        <v>19571</v>
      </c>
      <c r="H220">
        <v>32</v>
      </c>
    </row>
    <row r="221" spans="1:10">
      <c r="A221" t="s">
        <v>339</v>
      </c>
      <c r="B221" t="s">
        <v>144</v>
      </c>
      <c r="C221">
        <v>10</v>
      </c>
      <c r="D221" s="1">
        <v>43955</v>
      </c>
      <c r="E221" s="1">
        <v>43966</v>
      </c>
      <c r="F221" s="2">
        <v>2180</v>
      </c>
      <c r="G221" s="2">
        <v>2180</v>
      </c>
      <c r="I221" t="s">
        <v>50</v>
      </c>
      <c r="J221" t="s">
        <v>17</v>
      </c>
    </row>
    <row r="222" spans="1:10">
      <c r="A222" t="s">
        <v>340</v>
      </c>
      <c r="B222" t="s">
        <v>146</v>
      </c>
      <c r="C222">
        <v>2</v>
      </c>
      <c r="D222" s="1">
        <v>43969</v>
      </c>
      <c r="E222" s="1">
        <v>43970</v>
      </c>
      <c r="F222" s="2">
        <v>2152</v>
      </c>
      <c r="G222" s="2">
        <v>2152</v>
      </c>
      <c r="I222" t="s">
        <v>129</v>
      </c>
      <c r="J222" t="s">
        <v>17</v>
      </c>
    </row>
    <row r="223" spans="1:10">
      <c r="A223" t="s">
        <v>341</v>
      </c>
      <c r="B223" t="s">
        <v>161</v>
      </c>
      <c r="C223">
        <v>3</v>
      </c>
      <c r="D223" s="1">
        <v>43971</v>
      </c>
      <c r="E223" s="1">
        <v>43973</v>
      </c>
      <c r="F223" s="2">
        <v>6141</v>
      </c>
      <c r="G223" s="2">
        <v>6141</v>
      </c>
      <c r="H223">
        <v>32</v>
      </c>
      <c r="I223" t="s">
        <v>162</v>
      </c>
      <c r="J223" t="s">
        <v>17</v>
      </c>
    </row>
    <row r="224" spans="1:10">
      <c r="A224" t="s">
        <v>342</v>
      </c>
      <c r="B224" t="s">
        <v>135</v>
      </c>
      <c r="C224">
        <v>2</v>
      </c>
      <c r="D224" s="1">
        <v>43977</v>
      </c>
      <c r="E224" s="1">
        <v>43978</v>
      </c>
      <c r="F224" s="2">
        <v>3444</v>
      </c>
      <c r="G224" s="2">
        <v>3444</v>
      </c>
      <c r="I224" t="s">
        <v>343</v>
      </c>
      <c r="J224" t="s">
        <v>17</v>
      </c>
    </row>
    <row r="225" spans="1:10">
      <c r="A225" t="s">
        <v>344</v>
      </c>
      <c r="B225" t="s">
        <v>137</v>
      </c>
      <c r="C225">
        <v>1</v>
      </c>
      <c r="D225" s="1">
        <v>43979</v>
      </c>
      <c r="E225" s="1">
        <v>43979</v>
      </c>
      <c r="F225" s="2">
        <v>1294</v>
      </c>
      <c r="G225" s="2">
        <v>1294</v>
      </c>
      <c r="I225" t="s">
        <v>129</v>
      </c>
      <c r="J225" t="s">
        <v>17</v>
      </c>
    </row>
    <row r="226" spans="1:10">
      <c r="A226" t="s">
        <v>345</v>
      </c>
      <c r="B226" t="s">
        <v>189</v>
      </c>
      <c r="C226">
        <v>20</v>
      </c>
      <c r="D226" s="1">
        <v>43979</v>
      </c>
      <c r="E226" s="1">
        <v>44006</v>
      </c>
      <c r="F226" s="2">
        <v>4360</v>
      </c>
      <c r="G226" s="2">
        <v>4360</v>
      </c>
      <c r="I226" t="s">
        <v>50</v>
      </c>
      <c r="J226" t="s">
        <v>17</v>
      </c>
    </row>
    <row r="227" spans="1:10">
      <c r="A227" t="s">
        <v>240</v>
      </c>
      <c r="C227">
        <v>28</v>
      </c>
      <c r="D227" s="1">
        <v>43958</v>
      </c>
      <c r="E227" s="1">
        <v>43998</v>
      </c>
      <c r="F227" s="2">
        <v>26054.67</v>
      </c>
      <c r="G227" s="2">
        <v>26054.67</v>
      </c>
      <c r="H227">
        <v>16</v>
      </c>
    </row>
    <row r="228" spans="1:10">
      <c r="A228" t="s">
        <v>346</v>
      </c>
      <c r="B228" t="s">
        <v>144</v>
      </c>
      <c r="C228">
        <v>15</v>
      </c>
      <c r="D228" s="1">
        <v>43958</v>
      </c>
      <c r="E228" s="1">
        <v>43979</v>
      </c>
      <c r="F228" s="2">
        <v>4905</v>
      </c>
      <c r="G228" s="2">
        <v>4905</v>
      </c>
      <c r="I228" t="s">
        <v>158</v>
      </c>
      <c r="J228" t="s">
        <v>17</v>
      </c>
    </row>
    <row r="229" spans="1:10">
      <c r="A229" t="s">
        <v>347</v>
      </c>
      <c r="B229" t="s">
        <v>146</v>
      </c>
      <c r="C229">
        <v>2</v>
      </c>
      <c r="D229" s="1">
        <v>43980</v>
      </c>
      <c r="E229" s="1">
        <v>43983</v>
      </c>
      <c r="F229" s="2">
        <v>4958</v>
      </c>
      <c r="G229" s="2">
        <v>4958</v>
      </c>
      <c r="I229" t="s">
        <v>158</v>
      </c>
      <c r="J229" t="s">
        <v>17</v>
      </c>
    </row>
    <row r="230" spans="1:10">
      <c r="A230" t="s">
        <v>348</v>
      </c>
      <c r="B230" t="s">
        <v>161</v>
      </c>
      <c r="C230">
        <v>3</v>
      </c>
      <c r="D230" s="1">
        <v>43984</v>
      </c>
      <c r="E230" s="1">
        <v>43986</v>
      </c>
      <c r="F230" s="2">
        <v>3078</v>
      </c>
      <c r="G230" s="2">
        <v>3078</v>
      </c>
      <c r="H230">
        <v>16</v>
      </c>
      <c r="I230" t="s">
        <v>50</v>
      </c>
      <c r="J230" t="s">
        <v>17</v>
      </c>
    </row>
    <row r="231" spans="1:10">
      <c r="A231" t="s">
        <v>349</v>
      </c>
      <c r="B231" t="s">
        <v>135</v>
      </c>
      <c r="C231">
        <v>5</v>
      </c>
      <c r="D231" s="1">
        <v>43987</v>
      </c>
      <c r="E231" s="1">
        <v>43993</v>
      </c>
      <c r="F231" s="2">
        <v>10511.67</v>
      </c>
      <c r="G231" s="2">
        <v>10511.67</v>
      </c>
      <c r="I231" t="s">
        <v>158</v>
      </c>
      <c r="J231" t="s">
        <v>17</v>
      </c>
    </row>
    <row r="232" spans="1:10">
      <c r="A232" t="s">
        <v>350</v>
      </c>
      <c r="B232" t="s">
        <v>137</v>
      </c>
      <c r="C232">
        <v>1</v>
      </c>
      <c r="D232" s="1">
        <v>43994</v>
      </c>
      <c r="E232" s="1">
        <v>43994</v>
      </c>
      <c r="F232" s="2">
        <v>858</v>
      </c>
      <c r="G232" s="2">
        <v>858</v>
      </c>
      <c r="I232" t="s">
        <v>50</v>
      </c>
      <c r="J232" t="s">
        <v>17</v>
      </c>
    </row>
    <row r="233" spans="1:10">
      <c r="A233" t="s">
        <v>351</v>
      </c>
      <c r="B233" t="s">
        <v>234</v>
      </c>
      <c r="C233">
        <v>2</v>
      </c>
      <c r="D233" s="1">
        <v>43997</v>
      </c>
      <c r="E233" s="1">
        <v>43998</v>
      </c>
      <c r="F233" s="2">
        <v>1744</v>
      </c>
      <c r="G233" s="2">
        <v>1744</v>
      </c>
      <c r="I233" t="s">
        <v>158</v>
      </c>
      <c r="J233" t="s">
        <v>17</v>
      </c>
    </row>
    <row r="234" spans="1:10">
      <c r="A234" t="s">
        <v>249</v>
      </c>
      <c r="C234">
        <v>89</v>
      </c>
      <c r="D234" s="1">
        <v>43983</v>
      </c>
      <c r="E234" s="1">
        <v>44109</v>
      </c>
      <c r="F234" s="2">
        <v>39464.5</v>
      </c>
      <c r="G234" s="2">
        <v>39464.5</v>
      </c>
      <c r="H234">
        <v>11</v>
      </c>
    </row>
    <row r="235" spans="1:10">
      <c r="A235" t="s">
        <v>352</v>
      </c>
      <c r="B235" t="s">
        <v>144</v>
      </c>
      <c r="C235">
        <v>10</v>
      </c>
      <c r="D235" s="1">
        <v>43983</v>
      </c>
      <c r="E235" s="1">
        <v>43994</v>
      </c>
      <c r="F235" s="2">
        <v>2180</v>
      </c>
      <c r="G235" s="2">
        <v>2180</v>
      </c>
      <c r="I235" t="s">
        <v>50</v>
      </c>
      <c r="J235" t="s">
        <v>17</v>
      </c>
    </row>
    <row r="236" spans="1:10">
      <c r="A236" t="s">
        <v>353</v>
      </c>
      <c r="B236" t="s">
        <v>146</v>
      </c>
      <c r="C236">
        <v>4</v>
      </c>
      <c r="D236" s="1">
        <v>43997</v>
      </c>
      <c r="E236" s="1">
        <v>44000</v>
      </c>
      <c r="F236" s="2">
        <v>4712</v>
      </c>
      <c r="G236" s="2">
        <v>4712</v>
      </c>
      <c r="I236" t="s">
        <v>50</v>
      </c>
      <c r="J236" t="s">
        <v>17</v>
      </c>
    </row>
    <row r="237" spans="1:10">
      <c r="A237" t="s">
        <v>354</v>
      </c>
      <c r="B237" t="s">
        <v>161</v>
      </c>
      <c r="C237">
        <v>1</v>
      </c>
      <c r="D237" s="1">
        <v>44001</v>
      </c>
      <c r="E237" s="1">
        <v>44001</v>
      </c>
      <c r="F237" s="2">
        <v>1992.5</v>
      </c>
      <c r="G237" s="2">
        <v>1992.5</v>
      </c>
      <c r="H237">
        <v>11</v>
      </c>
      <c r="I237" t="s">
        <v>50</v>
      </c>
      <c r="J237" t="s">
        <v>17</v>
      </c>
    </row>
    <row r="238" spans="1:10">
      <c r="A238" t="s">
        <v>355</v>
      </c>
      <c r="B238" t="s">
        <v>135</v>
      </c>
      <c r="C238">
        <v>12</v>
      </c>
      <c r="D238" s="1">
        <v>44004</v>
      </c>
      <c r="E238" s="1">
        <v>44020</v>
      </c>
      <c r="F238" s="2">
        <v>24504</v>
      </c>
      <c r="G238" s="2">
        <v>24504</v>
      </c>
      <c r="I238" t="s">
        <v>50</v>
      </c>
      <c r="J238" t="s">
        <v>17</v>
      </c>
    </row>
    <row r="239" spans="1:10">
      <c r="A239" t="s">
        <v>356</v>
      </c>
      <c r="B239" t="s">
        <v>137</v>
      </c>
      <c r="C239">
        <v>2</v>
      </c>
      <c r="D239" s="1">
        <v>44021</v>
      </c>
      <c r="E239" s="1">
        <v>44022</v>
      </c>
      <c r="F239" s="2">
        <v>1716</v>
      </c>
      <c r="G239" s="2">
        <v>1716</v>
      </c>
      <c r="I239" t="s">
        <v>50</v>
      </c>
      <c r="J239" t="s">
        <v>17</v>
      </c>
    </row>
    <row r="240" spans="1:10">
      <c r="A240" t="s">
        <v>357</v>
      </c>
      <c r="B240" t="s">
        <v>141</v>
      </c>
      <c r="C240">
        <v>60</v>
      </c>
      <c r="D240" s="1">
        <v>44025</v>
      </c>
      <c r="E240" s="1">
        <v>44109</v>
      </c>
      <c r="F240" s="2">
        <v>4360</v>
      </c>
      <c r="G240" s="2">
        <v>4360</v>
      </c>
      <c r="I240" t="s">
        <v>50</v>
      </c>
      <c r="J240" t="s">
        <v>17</v>
      </c>
    </row>
    <row r="241" spans="1:10">
      <c r="A241" t="s">
        <v>358</v>
      </c>
      <c r="C241">
        <v>315</v>
      </c>
      <c r="D241" s="1">
        <v>43913</v>
      </c>
      <c r="E241" s="1">
        <v>44371</v>
      </c>
      <c r="F241" s="2">
        <v>331063.19</v>
      </c>
      <c r="G241" s="2">
        <v>331063.19</v>
      </c>
      <c r="H241">
        <v>203</v>
      </c>
    </row>
    <row r="242" spans="1:10">
      <c r="A242" t="s">
        <v>359</v>
      </c>
      <c r="C242">
        <v>176</v>
      </c>
      <c r="D242" s="1">
        <v>44111</v>
      </c>
      <c r="E242" s="1">
        <v>44371</v>
      </c>
      <c r="F242" s="2">
        <v>200557.67</v>
      </c>
      <c r="G242" s="2">
        <v>200557.67</v>
      </c>
      <c r="H242">
        <v>75</v>
      </c>
    </row>
    <row r="243" spans="1:10">
      <c r="A243" t="s">
        <v>111</v>
      </c>
      <c r="C243">
        <v>110</v>
      </c>
      <c r="D243" s="1">
        <v>44166</v>
      </c>
      <c r="E243" s="1">
        <v>44329</v>
      </c>
      <c r="F243" s="2">
        <v>0</v>
      </c>
      <c r="G243" s="2">
        <v>0</v>
      </c>
      <c r="H243">
        <v>0</v>
      </c>
    </row>
    <row r="244" spans="1:10">
      <c r="A244" t="s">
        <v>360</v>
      </c>
      <c r="B244" t="s">
        <v>361</v>
      </c>
      <c r="C244">
        <v>0</v>
      </c>
      <c r="D244" s="1">
        <v>44166</v>
      </c>
      <c r="F244" s="2">
        <v>0</v>
      </c>
      <c r="G244" s="2">
        <v>0</v>
      </c>
      <c r="I244" t="s">
        <v>31</v>
      </c>
      <c r="J244" t="s">
        <v>17</v>
      </c>
    </row>
    <row r="245" spans="1:10">
      <c r="A245" t="s">
        <v>362</v>
      </c>
      <c r="B245" t="s">
        <v>363</v>
      </c>
      <c r="C245">
        <v>86</v>
      </c>
      <c r="D245" s="1">
        <v>44166</v>
      </c>
      <c r="E245" s="1">
        <v>44295</v>
      </c>
      <c r="F245" s="2">
        <v>0</v>
      </c>
      <c r="G245" s="2">
        <v>0</v>
      </c>
      <c r="I245" t="s">
        <v>31</v>
      </c>
      <c r="J245" t="s">
        <v>17</v>
      </c>
    </row>
    <row r="246" spans="1:10">
      <c r="A246" t="s">
        <v>364</v>
      </c>
      <c r="B246" t="s">
        <v>365</v>
      </c>
      <c r="C246">
        <v>0</v>
      </c>
      <c r="E246" s="1">
        <v>44295</v>
      </c>
      <c r="F246" s="2">
        <v>0</v>
      </c>
      <c r="G246" s="2">
        <v>0</v>
      </c>
      <c r="I246" t="s">
        <v>31</v>
      </c>
      <c r="J246" t="s">
        <v>17</v>
      </c>
    </row>
    <row r="247" spans="1:10">
      <c r="A247" t="s">
        <v>366</v>
      </c>
      <c r="B247" t="s">
        <v>367</v>
      </c>
      <c r="C247">
        <v>0</v>
      </c>
      <c r="E247" s="1">
        <v>44329</v>
      </c>
      <c r="F247" s="2">
        <v>0</v>
      </c>
      <c r="G247" s="2">
        <v>0</v>
      </c>
      <c r="I247" t="s">
        <v>31</v>
      </c>
      <c r="J247" t="s">
        <v>17</v>
      </c>
    </row>
    <row r="248" spans="1:10">
      <c r="A248" t="s">
        <v>147</v>
      </c>
      <c r="C248">
        <v>8</v>
      </c>
      <c r="D248" s="1">
        <v>44155</v>
      </c>
      <c r="E248" s="1">
        <v>44168</v>
      </c>
      <c r="F248" s="2">
        <v>5371.5</v>
      </c>
      <c r="G248" s="2">
        <v>5371.5</v>
      </c>
      <c r="H248">
        <v>0</v>
      </c>
    </row>
    <row r="249" spans="1:10">
      <c r="A249" t="s">
        <v>368</v>
      </c>
      <c r="B249" t="s">
        <v>144</v>
      </c>
      <c r="C249">
        <v>5</v>
      </c>
      <c r="D249" s="1">
        <v>44155</v>
      </c>
      <c r="E249" s="1">
        <v>44165</v>
      </c>
      <c r="F249" s="2">
        <v>817.5</v>
      </c>
      <c r="G249" s="2">
        <v>817.5</v>
      </c>
      <c r="I249" t="s">
        <v>50</v>
      </c>
      <c r="J249" t="s">
        <v>17</v>
      </c>
    </row>
    <row r="250" spans="1:10">
      <c r="A250" t="s">
        <v>369</v>
      </c>
      <c r="B250" t="s">
        <v>135</v>
      </c>
      <c r="C250">
        <v>3</v>
      </c>
      <c r="D250" t="s">
        <v>370</v>
      </c>
      <c r="E250" s="1">
        <v>44168</v>
      </c>
      <c r="F250" s="2">
        <v>4554</v>
      </c>
      <c r="G250" s="2">
        <v>4554</v>
      </c>
      <c r="I250" t="s">
        <v>50</v>
      </c>
      <c r="J250" t="s">
        <v>17</v>
      </c>
    </row>
    <row r="251" spans="1:10">
      <c r="A251" t="s">
        <v>371</v>
      </c>
      <c r="C251">
        <v>10</v>
      </c>
      <c r="D251" s="1">
        <v>44169</v>
      </c>
      <c r="E251" s="1">
        <v>44182</v>
      </c>
      <c r="F251" s="2">
        <v>4360</v>
      </c>
      <c r="G251" s="2">
        <v>4360</v>
      </c>
      <c r="H251">
        <v>0</v>
      </c>
    </row>
    <row r="252" spans="1:10">
      <c r="A252" t="s">
        <v>372</v>
      </c>
      <c r="B252" t="s">
        <v>135</v>
      </c>
      <c r="C252">
        <v>10</v>
      </c>
      <c r="D252" s="1">
        <v>44169</v>
      </c>
      <c r="E252" s="1">
        <v>44182</v>
      </c>
      <c r="F252" s="2">
        <v>4360</v>
      </c>
      <c r="G252" s="2">
        <v>4360</v>
      </c>
      <c r="I252" t="s">
        <v>100</v>
      </c>
      <c r="J252" t="s">
        <v>17</v>
      </c>
    </row>
    <row r="253" spans="1:10">
      <c r="A253" t="s">
        <v>184</v>
      </c>
      <c r="C253">
        <v>32</v>
      </c>
      <c r="D253" s="1">
        <v>44183</v>
      </c>
      <c r="E253" s="1">
        <v>44238</v>
      </c>
      <c r="F253" s="2">
        <v>10068</v>
      </c>
      <c r="G253" s="2">
        <v>10068</v>
      </c>
      <c r="H253">
        <v>0</v>
      </c>
    </row>
    <row r="254" spans="1:10">
      <c r="A254" t="s">
        <v>373</v>
      </c>
      <c r="B254" t="s">
        <v>135</v>
      </c>
      <c r="C254">
        <v>2</v>
      </c>
      <c r="D254" s="1">
        <v>44183</v>
      </c>
      <c r="E254" s="1">
        <v>44186</v>
      </c>
      <c r="F254" s="2">
        <v>8212</v>
      </c>
      <c r="G254" s="2">
        <v>8212</v>
      </c>
      <c r="I254" t="s">
        <v>63</v>
      </c>
      <c r="J254" t="s">
        <v>304</v>
      </c>
    </row>
    <row r="255" spans="1:10">
      <c r="A255" t="s">
        <v>374</v>
      </c>
      <c r="B255" t="s">
        <v>189</v>
      </c>
      <c r="C255">
        <v>20</v>
      </c>
      <c r="D255" s="1">
        <v>44210</v>
      </c>
      <c r="E255" s="1">
        <v>44238</v>
      </c>
      <c r="F255" s="2">
        <v>1856</v>
      </c>
      <c r="G255" s="2">
        <v>1856</v>
      </c>
      <c r="I255" t="s">
        <v>63</v>
      </c>
      <c r="J255" t="s">
        <v>17</v>
      </c>
    </row>
    <row r="256" spans="1:10">
      <c r="A256" t="s">
        <v>194</v>
      </c>
      <c r="C256">
        <v>3</v>
      </c>
      <c r="D256" s="1">
        <v>44187</v>
      </c>
      <c r="E256" s="1">
        <v>44200</v>
      </c>
      <c r="F256" s="2">
        <v>3204</v>
      </c>
      <c r="G256" s="2">
        <v>3204</v>
      </c>
      <c r="H256">
        <v>0</v>
      </c>
    </row>
    <row r="257" spans="1:10">
      <c r="A257" t="s">
        <v>375</v>
      </c>
      <c r="B257" t="s">
        <v>135</v>
      </c>
      <c r="C257">
        <v>3</v>
      </c>
      <c r="D257" s="1">
        <v>44187</v>
      </c>
      <c r="E257" s="1">
        <v>44200</v>
      </c>
      <c r="F257" s="2">
        <v>3204</v>
      </c>
      <c r="G257" s="2">
        <v>3204</v>
      </c>
      <c r="I257" t="s">
        <v>50</v>
      </c>
      <c r="J257" t="s">
        <v>17</v>
      </c>
    </row>
    <row r="258" spans="1:10">
      <c r="A258" t="s">
        <v>376</v>
      </c>
      <c r="C258">
        <v>5</v>
      </c>
      <c r="D258" s="1">
        <v>44201</v>
      </c>
      <c r="E258" s="1">
        <v>44207</v>
      </c>
      <c r="F258" s="2">
        <v>2180</v>
      </c>
      <c r="G258" s="2">
        <v>2180</v>
      </c>
      <c r="H258">
        <v>0</v>
      </c>
    </row>
    <row r="259" spans="1:10">
      <c r="A259" t="s">
        <v>377</v>
      </c>
      <c r="B259" t="s">
        <v>135</v>
      </c>
      <c r="C259">
        <v>5</v>
      </c>
      <c r="D259" s="1">
        <v>44201</v>
      </c>
      <c r="E259" s="1">
        <v>44207</v>
      </c>
      <c r="F259" s="2">
        <v>2180</v>
      </c>
      <c r="G259" s="2">
        <v>2180</v>
      </c>
      <c r="I259" t="s">
        <v>100</v>
      </c>
      <c r="J259" t="s">
        <v>17</v>
      </c>
    </row>
    <row r="260" spans="1:10">
      <c r="A260" t="s">
        <v>209</v>
      </c>
      <c r="C260">
        <v>3</v>
      </c>
      <c r="D260" s="1">
        <v>44208</v>
      </c>
      <c r="E260" s="1">
        <v>44210</v>
      </c>
      <c r="F260" s="2">
        <v>3204</v>
      </c>
      <c r="G260" s="2">
        <v>3204</v>
      </c>
      <c r="H260">
        <v>0</v>
      </c>
    </row>
    <row r="261" spans="1:10">
      <c r="A261" t="s">
        <v>378</v>
      </c>
      <c r="B261" t="s">
        <v>135</v>
      </c>
      <c r="C261">
        <v>3</v>
      </c>
      <c r="D261" s="1">
        <v>44208</v>
      </c>
      <c r="E261" s="1">
        <v>44210</v>
      </c>
      <c r="F261" s="2">
        <v>3204</v>
      </c>
      <c r="G261" s="2">
        <v>3204</v>
      </c>
      <c r="I261" t="s">
        <v>50</v>
      </c>
      <c r="J261" t="s">
        <v>17</v>
      </c>
    </row>
    <row r="262" spans="1:10">
      <c r="A262" t="s">
        <v>379</v>
      </c>
      <c r="C262">
        <v>141</v>
      </c>
      <c r="D262" s="1">
        <v>44111</v>
      </c>
      <c r="E262" s="1">
        <v>44321</v>
      </c>
      <c r="F262" s="2">
        <v>68319.33</v>
      </c>
      <c r="G262" s="2">
        <v>68319.33</v>
      </c>
      <c r="H262">
        <v>48</v>
      </c>
    </row>
    <row r="263" spans="1:10">
      <c r="A263" t="s">
        <v>380</v>
      </c>
      <c r="B263" t="s">
        <v>122</v>
      </c>
      <c r="C263">
        <v>60</v>
      </c>
      <c r="D263" s="1">
        <v>44111</v>
      </c>
      <c r="E263" s="1">
        <v>44207</v>
      </c>
      <c r="F263" s="2">
        <v>4723.33</v>
      </c>
      <c r="G263" s="2">
        <v>4723.33</v>
      </c>
      <c r="I263" t="s">
        <v>123</v>
      </c>
      <c r="J263" t="s">
        <v>17</v>
      </c>
    </row>
    <row r="264" spans="1:10">
      <c r="A264" t="s">
        <v>381</v>
      </c>
      <c r="B264" t="s">
        <v>125</v>
      </c>
      <c r="C264">
        <v>3</v>
      </c>
      <c r="D264" s="1">
        <v>44208</v>
      </c>
      <c r="E264" s="1">
        <v>44210</v>
      </c>
      <c r="F264" s="2">
        <v>3161</v>
      </c>
      <c r="G264" s="2">
        <v>3161</v>
      </c>
      <c r="I264" t="s">
        <v>123</v>
      </c>
      <c r="J264" t="s">
        <v>17</v>
      </c>
    </row>
    <row r="265" spans="1:10">
      <c r="A265" t="s">
        <v>382</v>
      </c>
      <c r="B265" t="s">
        <v>127</v>
      </c>
      <c r="C265">
        <v>3</v>
      </c>
      <c r="D265" s="1">
        <v>44211</v>
      </c>
      <c r="E265" s="1">
        <v>44216</v>
      </c>
      <c r="F265" s="2">
        <v>4972</v>
      </c>
      <c r="G265" s="2">
        <v>4972</v>
      </c>
      <c r="I265" t="s">
        <v>129</v>
      </c>
      <c r="J265" t="s">
        <v>17</v>
      </c>
    </row>
    <row r="266" spans="1:10">
      <c r="A266" t="s">
        <v>383</v>
      </c>
      <c r="B266" t="s">
        <v>131</v>
      </c>
      <c r="C266">
        <v>3</v>
      </c>
      <c r="D266" s="1">
        <v>44217</v>
      </c>
      <c r="E266" s="1">
        <v>44221</v>
      </c>
      <c r="F266" s="2">
        <v>9135</v>
      </c>
      <c r="G266" s="2">
        <v>9135</v>
      </c>
      <c r="H266">
        <v>48</v>
      </c>
      <c r="I266" t="s">
        <v>123</v>
      </c>
      <c r="J266" t="s">
        <v>17</v>
      </c>
    </row>
    <row r="267" spans="1:10">
      <c r="A267" t="s">
        <v>384</v>
      </c>
      <c r="B267" t="s">
        <v>133</v>
      </c>
      <c r="C267">
        <v>2</v>
      </c>
      <c r="D267" s="1">
        <v>44218</v>
      </c>
      <c r="E267" s="1">
        <v>44221</v>
      </c>
      <c r="F267" s="2">
        <v>16216</v>
      </c>
      <c r="G267" s="2">
        <v>16216</v>
      </c>
      <c r="I267" t="s">
        <v>123</v>
      </c>
      <c r="J267" t="s">
        <v>17</v>
      </c>
    </row>
    <row r="268" spans="1:10">
      <c r="A268" t="s">
        <v>385</v>
      </c>
      <c r="B268" t="s">
        <v>135</v>
      </c>
      <c r="C268">
        <v>8</v>
      </c>
      <c r="D268" s="1">
        <v>44222</v>
      </c>
      <c r="E268" s="1">
        <v>44231</v>
      </c>
      <c r="F268" s="2">
        <v>17264</v>
      </c>
      <c r="G268" s="2">
        <v>17264</v>
      </c>
      <c r="I268" t="s">
        <v>123</v>
      </c>
      <c r="J268" t="s">
        <v>17</v>
      </c>
    </row>
    <row r="269" spans="1:10">
      <c r="A269" t="s">
        <v>386</v>
      </c>
      <c r="B269" t="s">
        <v>137</v>
      </c>
      <c r="C269">
        <v>1</v>
      </c>
      <c r="D269" s="1">
        <v>44232</v>
      </c>
      <c r="E269" s="1">
        <v>44232</v>
      </c>
      <c r="F269" s="2">
        <v>1948</v>
      </c>
      <c r="G269" s="2">
        <v>1948</v>
      </c>
      <c r="I269" t="s">
        <v>129</v>
      </c>
      <c r="J269" t="s">
        <v>17</v>
      </c>
    </row>
    <row r="270" spans="1:10">
      <c r="A270" t="s">
        <v>387</v>
      </c>
      <c r="B270" t="s">
        <v>139</v>
      </c>
      <c r="C270">
        <v>3</v>
      </c>
      <c r="D270" s="1">
        <v>44232</v>
      </c>
      <c r="E270" s="1">
        <v>44236</v>
      </c>
      <c r="F270" s="2">
        <v>2180</v>
      </c>
      <c r="G270" s="2">
        <v>2180</v>
      </c>
      <c r="I270" t="s">
        <v>123</v>
      </c>
      <c r="J270" t="s">
        <v>17</v>
      </c>
    </row>
    <row r="271" spans="1:10">
      <c r="A271" t="s">
        <v>388</v>
      </c>
      <c r="B271" t="s">
        <v>141</v>
      </c>
      <c r="C271">
        <v>61</v>
      </c>
      <c r="D271" s="1">
        <v>44237</v>
      </c>
      <c r="E271" s="1">
        <v>44321</v>
      </c>
      <c r="F271" s="2">
        <v>8720</v>
      </c>
      <c r="G271" s="2">
        <v>8720</v>
      </c>
      <c r="I271" t="s">
        <v>123</v>
      </c>
      <c r="J271" t="s">
        <v>17</v>
      </c>
    </row>
    <row r="272" spans="1:10">
      <c r="A272" t="s">
        <v>389</v>
      </c>
      <c r="C272">
        <v>5</v>
      </c>
      <c r="D272" s="1">
        <v>44235</v>
      </c>
      <c r="E272" s="1">
        <v>44239</v>
      </c>
      <c r="F272" s="2">
        <v>2180</v>
      </c>
      <c r="G272" s="2">
        <v>2180</v>
      </c>
      <c r="H272">
        <v>0</v>
      </c>
    </row>
    <row r="273" spans="1:10">
      <c r="A273" t="s">
        <v>390</v>
      </c>
      <c r="B273" t="s">
        <v>391</v>
      </c>
      <c r="C273">
        <v>5</v>
      </c>
      <c r="D273" s="1">
        <v>44235</v>
      </c>
      <c r="E273" s="1">
        <v>44239</v>
      </c>
      <c r="F273" s="2">
        <v>2180</v>
      </c>
      <c r="G273" s="2">
        <v>2180</v>
      </c>
      <c r="I273" t="s">
        <v>100</v>
      </c>
      <c r="J273" t="s">
        <v>17</v>
      </c>
    </row>
    <row r="274" spans="1:10">
      <c r="A274" t="s">
        <v>240</v>
      </c>
      <c r="C274">
        <v>33</v>
      </c>
      <c r="D274" s="1">
        <v>44221</v>
      </c>
      <c r="E274" s="1">
        <v>44265</v>
      </c>
      <c r="F274" s="2">
        <v>36566.33</v>
      </c>
      <c r="G274" s="2">
        <v>36566.33</v>
      </c>
      <c r="H274">
        <v>16</v>
      </c>
    </row>
    <row r="275" spans="1:10">
      <c r="A275" t="s">
        <v>392</v>
      </c>
      <c r="B275" t="s">
        <v>144</v>
      </c>
      <c r="C275">
        <v>15</v>
      </c>
      <c r="D275" s="1">
        <v>44221</v>
      </c>
      <c r="E275" s="1">
        <v>44239</v>
      </c>
      <c r="F275" s="2">
        <v>4905</v>
      </c>
      <c r="G275" s="2">
        <v>4905</v>
      </c>
      <c r="I275" t="s">
        <v>158</v>
      </c>
      <c r="J275" t="s">
        <v>17</v>
      </c>
    </row>
    <row r="276" spans="1:10">
      <c r="A276" t="s">
        <v>393</v>
      </c>
      <c r="B276" t="s">
        <v>146</v>
      </c>
      <c r="C276">
        <v>2</v>
      </c>
      <c r="D276" s="1">
        <v>44242</v>
      </c>
      <c r="E276" s="1">
        <v>44243</v>
      </c>
      <c r="F276" s="2">
        <v>4958</v>
      </c>
      <c r="G276" s="2">
        <v>4958</v>
      </c>
      <c r="I276" t="s">
        <v>158</v>
      </c>
      <c r="J276" t="s">
        <v>17</v>
      </c>
    </row>
    <row r="277" spans="1:10">
      <c r="A277" t="s">
        <v>394</v>
      </c>
      <c r="B277" t="s">
        <v>161</v>
      </c>
      <c r="C277">
        <v>3</v>
      </c>
      <c r="D277" s="1">
        <v>44244</v>
      </c>
      <c r="E277" s="1">
        <v>44246</v>
      </c>
      <c r="F277" s="2">
        <v>3078</v>
      </c>
      <c r="G277" s="2">
        <v>3078</v>
      </c>
      <c r="H277">
        <v>16</v>
      </c>
      <c r="I277" t="s">
        <v>50</v>
      </c>
      <c r="J277" t="s">
        <v>17</v>
      </c>
    </row>
    <row r="278" spans="1:10">
      <c r="A278" t="s">
        <v>395</v>
      </c>
      <c r="B278" t="s">
        <v>135</v>
      </c>
      <c r="C278">
        <v>10</v>
      </c>
      <c r="D278" s="1">
        <v>44249</v>
      </c>
      <c r="E278" s="1">
        <v>44260</v>
      </c>
      <c r="F278" s="2">
        <v>21023.33</v>
      </c>
      <c r="G278" s="2">
        <v>21023.33</v>
      </c>
      <c r="I278" t="s">
        <v>158</v>
      </c>
      <c r="J278" t="s">
        <v>17</v>
      </c>
    </row>
    <row r="279" spans="1:10">
      <c r="A279" t="s">
        <v>396</v>
      </c>
      <c r="B279" t="s">
        <v>137</v>
      </c>
      <c r="C279">
        <v>1</v>
      </c>
      <c r="D279" s="1">
        <v>44263</v>
      </c>
      <c r="E279" s="1">
        <v>44263</v>
      </c>
      <c r="F279" s="2">
        <v>858</v>
      </c>
      <c r="G279" s="2">
        <v>858</v>
      </c>
      <c r="I279" t="s">
        <v>50</v>
      </c>
      <c r="J279" t="s">
        <v>17</v>
      </c>
    </row>
    <row r="280" spans="1:10">
      <c r="A280" t="s">
        <v>397</v>
      </c>
      <c r="B280" t="s">
        <v>234</v>
      </c>
      <c r="C280">
        <v>2</v>
      </c>
      <c r="D280" s="1">
        <v>44264</v>
      </c>
      <c r="E280" s="1">
        <v>44265</v>
      </c>
      <c r="F280" s="2">
        <v>1744</v>
      </c>
      <c r="G280" s="2">
        <v>1744</v>
      </c>
      <c r="I280" t="s">
        <v>158</v>
      </c>
      <c r="J280" t="s">
        <v>17</v>
      </c>
    </row>
    <row r="281" spans="1:10">
      <c r="A281" t="s">
        <v>249</v>
      </c>
      <c r="C281">
        <v>87</v>
      </c>
      <c r="D281" s="1">
        <v>44250</v>
      </c>
      <c r="E281" s="1">
        <v>44371</v>
      </c>
      <c r="F281" s="2">
        <v>35380.5</v>
      </c>
      <c r="G281" s="2">
        <v>35380.5</v>
      </c>
      <c r="H281">
        <v>11</v>
      </c>
    </row>
    <row r="282" spans="1:10">
      <c r="A282" t="s">
        <v>398</v>
      </c>
      <c r="B282" t="s">
        <v>144</v>
      </c>
      <c r="C282">
        <v>10</v>
      </c>
      <c r="D282" s="1">
        <v>44250</v>
      </c>
      <c r="E282" s="1">
        <v>44263</v>
      </c>
      <c r="F282" s="2">
        <v>2180</v>
      </c>
      <c r="G282" s="2">
        <v>2180</v>
      </c>
      <c r="I282" t="s">
        <v>50</v>
      </c>
      <c r="J282" t="s">
        <v>17</v>
      </c>
    </row>
    <row r="283" spans="1:10">
      <c r="A283" t="s">
        <v>399</v>
      </c>
      <c r="B283" t="s">
        <v>146</v>
      </c>
      <c r="C283">
        <v>4</v>
      </c>
      <c r="D283" s="1">
        <v>44264</v>
      </c>
      <c r="E283" s="1">
        <v>44267</v>
      </c>
      <c r="F283" s="2">
        <v>4712</v>
      </c>
      <c r="G283" s="2">
        <v>4712</v>
      </c>
      <c r="I283" t="s">
        <v>50</v>
      </c>
      <c r="J283" t="s">
        <v>17</v>
      </c>
    </row>
    <row r="284" spans="1:10">
      <c r="A284" t="s">
        <v>400</v>
      </c>
      <c r="B284" t="s">
        <v>161</v>
      </c>
      <c r="C284">
        <v>1</v>
      </c>
      <c r="D284" s="1">
        <v>44270</v>
      </c>
      <c r="E284" s="1">
        <v>44270</v>
      </c>
      <c r="F284" s="2">
        <v>1992.5</v>
      </c>
      <c r="G284" s="2">
        <v>1992.5</v>
      </c>
      <c r="H284">
        <v>11</v>
      </c>
      <c r="I284" t="s">
        <v>50</v>
      </c>
      <c r="J284" t="s">
        <v>17</v>
      </c>
    </row>
    <row r="285" spans="1:10">
      <c r="A285" t="s">
        <v>401</v>
      </c>
      <c r="B285" t="s">
        <v>135</v>
      </c>
      <c r="C285">
        <v>10</v>
      </c>
      <c r="D285" s="1">
        <v>44271</v>
      </c>
      <c r="E285" s="1">
        <v>44284</v>
      </c>
      <c r="F285" s="2">
        <v>20420</v>
      </c>
      <c r="G285" s="2">
        <v>20420</v>
      </c>
      <c r="I285" t="s">
        <v>50</v>
      </c>
      <c r="J285" t="s">
        <v>17</v>
      </c>
    </row>
    <row r="286" spans="1:10">
      <c r="A286" t="s">
        <v>402</v>
      </c>
      <c r="B286" t="s">
        <v>137</v>
      </c>
      <c r="C286">
        <v>2</v>
      </c>
      <c r="D286" s="1">
        <v>44285</v>
      </c>
      <c r="E286" s="1">
        <v>44286</v>
      </c>
      <c r="F286" s="2">
        <v>1716</v>
      </c>
      <c r="G286" s="2">
        <v>1716</v>
      </c>
      <c r="I286" t="s">
        <v>50</v>
      </c>
      <c r="J286" t="s">
        <v>17</v>
      </c>
    </row>
    <row r="287" spans="1:10">
      <c r="A287" t="s">
        <v>403</v>
      </c>
      <c r="B287" t="s">
        <v>141</v>
      </c>
      <c r="C287">
        <v>60</v>
      </c>
      <c r="D287" s="1">
        <v>44287</v>
      </c>
      <c r="E287" s="1">
        <v>44371</v>
      </c>
      <c r="F287" s="2">
        <v>4360</v>
      </c>
      <c r="G287" s="2">
        <v>4360</v>
      </c>
      <c r="I287" t="s">
        <v>50</v>
      </c>
      <c r="J287" t="s">
        <v>17</v>
      </c>
    </row>
    <row r="288" spans="1:10">
      <c r="A288" t="s">
        <v>306</v>
      </c>
      <c r="C288">
        <v>81</v>
      </c>
      <c r="D288" s="1">
        <v>44217</v>
      </c>
      <c r="E288" s="1">
        <v>44329</v>
      </c>
      <c r="F288" s="2">
        <v>29724</v>
      </c>
      <c r="G288" s="2">
        <v>29724</v>
      </c>
      <c r="H288">
        <v>0</v>
      </c>
    </row>
    <row r="289" spans="1:10">
      <c r="A289" t="s">
        <v>404</v>
      </c>
      <c r="B289" t="s">
        <v>144</v>
      </c>
      <c r="C289">
        <v>50</v>
      </c>
      <c r="D289" s="1">
        <v>44217</v>
      </c>
      <c r="E289" s="1">
        <v>44286</v>
      </c>
      <c r="F289" s="2">
        <v>5770</v>
      </c>
      <c r="G289" s="2">
        <v>5770</v>
      </c>
      <c r="I289" t="s">
        <v>308</v>
      </c>
      <c r="J289" t="s">
        <v>17</v>
      </c>
    </row>
    <row r="290" spans="1:10">
      <c r="A290" t="s">
        <v>405</v>
      </c>
      <c r="B290" t="s">
        <v>146</v>
      </c>
      <c r="C290">
        <v>1</v>
      </c>
      <c r="D290" s="1">
        <v>44287</v>
      </c>
      <c r="E290" s="1">
        <v>44287</v>
      </c>
      <c r="F290" s="2">
        <v>1076</v>
      </c>
      <c r="G290" s="2">
        <v>1076</v>
      </c>
      <c r="I290" t="s">
        <v>50</v>
      </c>
      <c r="J290" t="s">
        <v>17</v>
      </c>
    </row>
    <row r="291" spans="1:10">
      <c r="A291" t="s">
        <v>406</v>
      </c>
      <c r="B291" t="s">
        <v>135</v>
      </c>
      <c r="C291">
        <v>5</v>
      </c>
      <c r="D291" s="1">
        <v>44288</v>
      </c>
      <c r="E291" s="1">
        <v>44294</v>
      </c>
      <c r="F291" s="2">
        <v>13160</v>
      </c>
      <c r="G291" s="2">
        <v>13160</v>
      </c>
      <c r="I291" t="s">
        <v>308</v>
      </c>
      <c r="J291" t="s">
        <v>17</v>
      </c>
    </row>
    <row r="292" spans="1:10">
      <c r="A292" t="s">
        <v>407</v>
      </c>
      <c r="B292" t="s">
        <v>137</v>
      </c>
      <c r="C292">
        <v>1</v>
      </c>
      <c r="D292" s="1">
        <v>44295</v>
      </c>
      <c r="E292" s="1">
        <v>44295</v>
      </c>
      <c r="F292" s="2">
        <v>1076</v>
      </c>
      <c r="G292" s="2">
        <v>1076</v>
      </c>
      <c r="I292" t="s">
        <v>129</v>
      </c>
      <c r="J292" t="s">
        <v>17</v>
      </c>
    </row>
    <row r="293" spans="1:10">
      <c r="A293" t="s">
        <v>408</v>
      </c>
      <c r="B293" t="s">
        <v>313</v>
      </c>
      <c r="C293">
        <v>4</v>
      </c>
      <c r="D293" s="1">
        <v>44298</v>
      </c>
      <c r="E293" s="1">
        <v>44301</v>
      </c>
      <c r="F293" s="2">
        <v>3744</v>
      </c>
      <c r="G293" s="2">
        <v>3744</v>
      </c>
      <c r="I293" t="s">
        <v>308</v>
      </c>
      <c r="J293" t="s">
        <v>17</v>
      </c>
    </row>
    <row r="294" spans="1:10">
      <c r="A294" t="s">
        <v>409</v>
      </c>
      <c r="B294" t="s">
        <v>189</v>
      </c>
      <c r="C294">
        <v>20</v>
      </c>
      <c r="D294" s="1">
        <v>44302</v>
      </c>
      <c r="E294" s="1">
        <v>44329</v>
      </c>
      <c r="F294" s="2">
        <v>4898</v>
      </c>
      <c r="G294" s="2">
        <v>4898</v>
      </c>
      <c r="I294" t="s">
        <v>308</v>
      </c>
      <c r="J294" t="s">
        <v>17</v>
      </c>
    </row>
    <row r="295" spans="1:10">
      <c r="A295" t="s">
        <v>410</v>
      </c>
      <c r="C295">
        <v>136</v>
      </c>
      <c r="D295" s="1">
        <v>43913</v>
      </c>
      <c r="E295" s="1">
        <v>44103</v>
      </c>
      <c r="F295" s="2">
        <v>54366.25</v>
      </c>
      <c r="G295" s="2">
        <v>54366.25</v>
      </c>
      <c r="H295">
        <v>128</v>
      </c>
    </row>
    <row r="296" spans="1:10">
      <c r="A296" t="s">
        <v>147</v>
      </c>
      <c r="C296">
        <v>16</v>
      </c>
      <c r="D296" s="1">
        <v>43913</v>
      </c>
      <c r="E296" s="1">
        <v>43935</v>
      </c>
      <c r="F296" s="2">
        <v>3121.88</v>
      </c>
      <c r="G296" s="2">
        <v>3121.88</v>
      </c>
      <c r="H296">
        <v>0</v>
      </c>
    </row>
    <row r="297" spans="1:10">
      <c r="A297" t="s">
        <v>411</v>
      </c>
      <c r="B297" t="s">
        <v>169</v>
      </c>
      <c r="C297">
        <v>10</v>
      </c>
      <c r="D297" s="1">
        <v>43913</v>
      </c>
      <c r="E297" s="1">
        <v>43924</v>
      </c>
      <c r="F297" s="2">
        <v>560</v>
      </c>
      <c r="G297" s="2">
        <v>560</v>
      </c>
      <c r="I297" t="s">
        <v>170</v>
      </c>
      <c r="J297" t="s">
        <v>171</v>
      </c>
    </row>
    <row r="298" spans="1:10">
      <c r="A298" t="s">
        <v>412</v>
      </c>
      <c r="B298" t="s">
        <v>173</v>
      </c>
      <c r="C298">
        <v>1</v>
      </c>
      <c r="D298" t="s">
        <v>413</v>
      </c>
      <c r="E298" s="1">
        <v>43927</v>
      </c>
      <c r="F298" s="2">
        <v>480</v>
      </c>
      <c r="G298" s="2">
        <v>480</v>
      </c>
      <c r="I298" t="s">
        <v>170</v>
      </c>
      <c r="J298" t="s">
        <v>171</v>
      </c>
    </row>
    <row r="299" spans="1:10">
      <c r="A299" t="s">
        <v>414</v>
      </c>
      <c r="B299" t="s">
        <v>135</v>
      </c>
      <c r="C299">
        <v>3</v>
      </c>
      <c r="D299" s="1">
        <v>43928</v>
      </c>
      <c r="E299" s="1">
        <v>43931</v>
      </c>
      <c r="F299" s="2">
        <v>1636.88</v>
      </c>
      <c r="G299" s="2">
        <v>1636.88</v>
      </c>
      <c r="I299" t="s">
        <v>170</v>
      </c>
      <c r="J299" t="s">
        <v>171</v>
      </c>
    </row>
    <row r="300" spans="1:10">
      <c r="A300" t="s">
        <v>415</v>
      </c>
      <c r="B300" t="s">
        <v>177</v>
      </c>
      <c r="C300">
        <v>1</v>
      </c>
      <c r="D300" s="1">
        <v>43931</v>
      </c>
      <c r="E300" s="1">
        <v>43934</v>
      </c>
      <c r="F300" s="2">
        <v>175</v>
      </c>
      <c r="G300" s="2">
        <v>175</v>
      </c>
      <c r="I300" t="s">
        <v>170</v>
      </c>
      <c r="J300" t="s">
        <v>171</v>
      </c>
    </row>
    <row r="301" spans="1:10">
      <c r="A301" t="s">
        <v>416</v>
      </c>
      <c r="B301" t="s">
        <v>137</v>
      </c>
      <c r="C301">
        <v>1</v>
      </c>
      <c r="D301" s="1">
        <v>43934</v>
      </c>
      <c r="E301" s="1">
        <v>43935</v>
      </c>
      <c r="F301" s="2">
        <v>270</v>
      </c>
      <c r="G301" s="2">
        <v>270</v>
      </c>
      <c r="I301" t="s">
        <v>170</v>
      </c>
      <c r="J301" t="s">
        <v>171</v>
      </c>
    </row>
    <row r="302" spans="1:10">
      <c r="A302" t="s">
        <v>417</v>
      </c>
      <c r="C302">
        <v>35</v>
      </c>
      <c r="D302" s="1">
        <v>43921</v>
      </c>
      <c r="E302" s="1">
        <v>43970</v>
      </c>
      <c r="F302" s="2">
        <v>3559.5</v>
      </c>
      <c r="G302" s="2">
        <v>3559.5</v>
      </c>
      <c r="H302">
        <v>0</v>
      </c>
    </row>
    <row r="303" spans="1:10">
      <c r="A303" t="s">
        <v>418</v>
      </c>
      <c r="B303" t="s">
        <v>169</v>
      </c>
      <c r="C303">
        <v>10</v>
      </c>
      <c r="D303" s="1">
        <v>43921</v>
      </c>
      <c r="E303" s="1">
        <v>43935</v>
      </c>
      <c r="F303" s="2">
        <v>350</v>
      </c>
      <c r="G303" s="2">
        <v>350</v>
      </c>
      <c r="I303" t="s">
        <v>170</v>
      </c>
      <c r="J303" t="s">
        <v>171</v>
      </c>
    </row>
    <row r="304" spans="1:10">
      <c r="A304" t="s">
        <v>419</v>
      </c>
      <c r="B304" t="s">
        <v>135</v>
      </c>
      <c r="C304">
        <v>5</v>
      </c>
      <c r="D304" s="1">
        <v>43935</v>
      </c>
      <c r="E304" s="1">
        <v>43942</v>
      </c>
      <c r="F304" s="2">
        <v>2509.5</v>
      </c>
      <c r="G304" s="2">
        <v>2509.5</v>
      </c>
      <c r="I304" t="s">
        <v>170</v>
      </c>
      <c r="J304" t="s">
        <v>171</v>
      </c>
    </row>
    <row r="305" spans="1:10">
      <c r="A305" t="s">
        <v>420</v>
      </c>
      <c r="B305" t="s">
        <v>183</v>
      </c>
      <c r="C305">
        <v>20</v>
      </c>
      <c r="D305" s="1">
        <v>43942</v>
      </c>
      <c r="E305" s="1">
        <v>43970</v>
      </c>
      <c r="F305" s="2">
        <v>700</v>
      </c>
      <c r="G305" s="2">
        <v>700</v>
      </c>
      <c r="I305" t="s">
        <v>170</v>
      </c>
      <c r="J305" t="s">
        <v>171</v>
      </c>
    </row>
    <row r="306" spans="1:10">
      <c r="A306" t="s">
        <v>240</v>
      </c>
      <c r="C306">
        <v>75</v>
      </c>
      <c r="D306" s="1">
        <v>43928</v>
      </c>
      <c r="E306" s="1">
        <v>44033</v>
      </c>
      <c r="F306" s="2">
        <v>7885.2</v>
      </c>
      <c r="G306" s="2">
        <v>7885.2</v>
      </c>
      <c r="H306">
        <v>32</v>
      </c>
    </row>
    <row r="307" spans="1:10">
      <c r="A307" t="s">
        <v>421</v>
      </c>
      <c r="B307" t="s">
        <v>169</v>
      </c>
      <c r="C307">
        <v>10</v>
      </c>
      <c r="D307" s="1">
        <v>43928</v>
      </c>
      <c r="E307" s="1">
        <v>43942</v>
      </c>
      <c r="F307" s="2">
        <v>560</v>
      </c>
      <c r="G307" s="2">
        <v>560</v>
      </c>
      <c r="I307" t="s">
        <v>170</v>
      </c>
      <c r="J307" t="s">
        <v>171</v>
      </c>
    </row>
    <row r="308" spans="1:10">
      <c r="A308" t="s">
        <v>422</v>
      </c>
      <c r="B308" t="s">
        <v>173</v>
      </c>
      <c r="C308">
        <v>3</v>
      </c>
      <c r="D308" s="1">
        <v>43942</v>
      </c>
      <c r="E308" s="1">
        <v>43945</v>
      </c>
      <c r="F308" s="2">
        <v>1440</v>
      </c>
      <c r="G308" s="2">
        <v>1440</v>
      </c>
      <c r="I308" t="s">
        <v>170</v>
      </c>
      <c r="J308" t="s">
        <v>171</v>
      </c>
    </row>
    <row r="309" spans="1:10">
      <c r="A309" t="s">
        <v>423</v>
      </c>
      <c r="B309" t="s">
        <v>200</v>
      </c>
      <c r="C309">
        <v>3</v>
      </c>
      <c r="D309" s="1">
        <v>43945</v>
      </c>
      <c r="E309" s="1">
        <v>43950</v>
      </c>
      <c r="F309" s="2">
        <v>1230</v>
      </c>
      <c r="G309" s="2">
        <v>1230</v>
      </c>
      <c r="H309">
        <v>32</v>
      </c>
      <c r="I309" t="s">
        <v>170</v>
      </c>
      <c r="J309" t="s">
        <v>171</v>
      </c>
    </row>
    <row r="310" spans="1:10">
      <c r="A310" t="s">
        <v>424</v>
      </c>
      <c r="B310" t="s">
        <v>135</v>
      </c>
      <c r="C310">
        <v>4</v>
      </c>
      <c r="D310" s="1">
        <v>43950</v>
      </c>
      <c r="E310" s="1">
        <v>43956</v>
      </c>
      <c r="F310" s="2">
        <v>2095.1999999999998</v>
      </c>
      <c r="G310" s="2">
        <v>2095.1999999999998</v>
      </c>
      <c r="I310" t="s">
        <v>170</v>
      </c>
      <c r="J310" t="s">
        <v>171</v>
      </c>
    </row>
    <row r="311" spans="1:10">
      <c r="A311" t="s">
        <v>425</v>
      </c>
      <c r="B311" t="s">
        <v>177</v>
      </c>
      <c r="C311">
        <v>2</v>
      </c>
      <c r="D311" s="1">
        <v>43956</v>
      </c>
      <c r="E311" s="1">
        <v>43958</v>
      </c>
      <c r="F311" s="2">
        <v>350</v>
      </c>
      <c r="G311" s="2">
        <v>350</v>
      </c>
      <c r="I311" t="s">
        <v>170</v>
      </c>
      <c r="J311" t="s">
        <v>171</v>
      </c>
    </row>
    <row r="312" spans="1:10">
      <c r="A312" t="s">
        <v>426</v>
      </c>
      <c r="B312" t="s">
        <v>137</v>
      </c>
      <c r="C312">
        <v>3</v>
      </c>
      <c r="D312" s="1">
        <v>43958</v>
      </c>
      <c r="E312" s="1">
        <v>43963</v>
      </c>
      <c r="F312" s="2">
        <v>810</v>
      </c>
      <c r="G312" s="2">
        <v>810</v>
      </c>
      <c r="I312" t="s">
        <v>170</v>
      </c>
      <c r="J312" t="s">
        <v>171</v>
      </c>
    </row>
    <row r="313" spans="1:10">
      <c r="A313" t="s">
        <v>427</v>
      </c>
      <c r="B313" t="s">
        <v>248</v>
      </c>
      <c r="C313">
        <v>50</v>
      </c>
      <c r="D313" s="1">
        <v>43963</v>
      </c>
      <c r="E313" s="1">
        <v>44033</v>
      </c>
      <c r="F313" s="2">
        <v>1400</v>
      </c>
      <c r="G313" s="2">
        <v>1400</v>
      </c>
      <c r="I313" t="s">
        <v>170</v>
      </c>
      <c r="J313" t="s">
        <v>171</v>
      </c>
    </row>
    <row r="314" spans="1:10">
      <c r="A314" t="s">
        <v>249</v>
      </c>
      <c r="C314">
        <v>76</v>
      </c>
      <c r="D314" s="1">
        <v>43949</v>
      </c>
      <c r="E314" s="1">
        <v>44055</v>
      </c>
      <c r="F314" s="2">
        <v>8452.7999999999993</v>
      </c>
      <c r="G314" s="2">
        <v>8452.7999999999993</v>
      </c>
      <c r="H314">
        <v>32</v>
      </c>
    </row>
    <row r="315" spans="1:10">
      <c r="A315" t="s">
        <v>428</v>
      </c>
      <c r="B315" t="s">
        <v>169</v>
      </c>
      <c r="C315">
        <v>10</v>
      </c>
      <c r="D315" s="1">
        <v>43949</v>
      </c>
      <c r="E315" s="1">
        <v>43963</v>
      </c>
      <c r="F315" s="2">
        <v>560</v>
      </c>
      <c r="G315" s="2">
        <v>560</v>
      </c>
      <c r="I315" t="s">
        <v>170</v>
      </c>
      <c r="J315" t="s">
        <v>171</v>
      </c>
    </row>
    <row r="316" spans="1:10">
      <c r="A316" t="s">
        <v>429</v>
      </c>
      <c r="B316" t="s">
        <v>173</v>
      </c>
      <c r="C316">
        <v>2</v>
      </c>
      <c r="D316" s="1">
        <v>43963</v>
      </c>
      <c r="E316" s="1">
        <v>43965</v>
      </c>
      <c r="F316" s="2">
        <v>960</v>
      </c>
      <c r="G316" s="2">
        <v>960</v>
      </c>
      <c r="I316" t="s">
        <v>170</v>
      </c>
      <c r="J316" t="s">
        <v>171</v>
      </c>
    </row>
    <row r="317" spans="1:10">
      <c r="A317" t="s">
        <v>430</v>
      </c>
      <c r="B317" t="s">
        <v>200</v>
      </c>
      <c r="C317">
        <v>3</v>
      </c>
      <c r="D317" s="1">
        <v>43965</v>
      </c>
      <c r="E317" s="1">
        <v>43970</v>
      </c>
      <c r="F317" s="2">
        <v>1230</v>
      </c>
      <c r="G317" s="2">
        <v>1230</v>
      </c>
      <c r="H317">
        <v>32</v>
      </c>
      <c r="I317" t="s">
        <v>170</v>
      </c>
      <c r="J317" t="s">
        <v>171</v>
      </c>
    </row>
    <row r="318" spans="1:10">
      <c r="A318" t="s">
        <v>431</v>
      </c>
      <c r="B318" t="s">
        <v>135</v>
      </c>
      <c r="C318">
        <v>6</v>
      </c>
      <c r="D318" s="1">
        <v>43970</v>
      </c>
      <c r="E318" s="1">
        <v>43978</v>
      </c>
      <c r="F318" s="2">
        <v>3142.8</v>
      </c>
      <c r="G318" s="2">
        <v>3142.8</v>
      </c>
      <c r="I318" t="s">
        <v>170</v>
      </c>
      <c r="J318" t="s">
        <v>171</v>
      </c>
    </row>
    <row r="319" spans="1:10">
      <c r="A319" t="s">
        <v>432</v>
      </c>
      <c r="B319" t="s">
        <v>177</v>
      </c>
      <c r="C319">
        <v>2</v>
      </c>
      <c r="D319" s="1">
        <v>43978</v>
      </c>
      <c r="E319" s="1">
        <v>43980</v>
      </c>
      <c r="F319" s="2">
        <v>350</v>
      </c>
      <c r="G319" s="2">
        <v>350</v>
      </c>
      <c r="I319" t="s">
        <v>170</v>
      </c>
      <c r="J319" t="s">
        <v>171</v>
      </c>
    </row>
    <row r="320" spans="1:10">
      <c r="A320" t="s">
        <v>433</v>
      </c>
      <c r="B320" t="s">
        <v>137</v>
      </c>
      <c r="C320">
        <v>3</v>
      </c>
      <c r="D320" s="1">
        <v>43980</v>
      </c>
      <c r="E320" s="1">
        <v>43985</v>
      </c>
      <c r="F320" s="2">
        <v>810</v>
      </c>
      <c r="G320" s="2">
        <v>810</v>
      </c>
      <c r="I320" t="s">
        <v>170</v>
      </c>
      <c r="J320" t="s">
        <v>171</v>
      </c>
    </row>
    <row r="321" spans="1:10">
      <c r="A321" t="s">
        <v>434</v>
      </c>
      <c r="B321" t="s">
        <v>141</v>
      </c>
      <c r="C321">
        <v>50</v>
      </c>
      <c r="D321" s="1">
        <v>43985</v>
      </c>
      <c r="E321" s="1">
        <v>44055</v>
      </c>
      <c r="F321" s="2">
        <v>1400</v>
      </c>
      <c r="G321" s="2">
        <v>1400</v>
      </c>
      <c r="I321" t="s">
        <v>170</v>
      </c>
      <c r="J321" t="s">
        <v>171</v>
      </c>
    </row>
    <row r="322" spans="1:10">
      <c r="A322" t="s">
        <v>306</v>
      </c>
      <c r="C322">
        <v>62</v>
      </c>
      <c r="D322" s="1">
        <v>43971</v>
      </c>
      <c r="E322" s="1">
        <v>44057</v>
      </c>
      <c r="F322" s="2">
        <v>15500</v>
      </c>
      <c r="G322" s="2">
        <v>15500</v>
      </c>
      <c r="H322">
        <v>32</v>
      </c>
    </row>
    <row r="323" spans="1:10">
      <c r="A323" t="s">
        <v>435</v>
      </c>
      <c r="B323" t="s">
        <v>169</v>
      </c>
      <c r="C323">
        <v>10</v>
      </c>
      <c r="D323" s="1">
        <v>43971</v>
      </c>
      <c r="E323" s="1">
        <v>43985</v>
      </c>
      <c r="F323" s="2">
        <v>5060</v>
      </c>
      <c r="G323" s="2">
        <v>5060</v>
      </c>
      <c r="I323" t="s">
        <v>170</v>
      </c>
      <c r="J323" t="s">
        <v>171</v>
      </c>
    </row>
    <row r="324" spans="1:10">
      <c r="A324" t="s">
        <v>436</v>
      </c>
      <c r="B324" t="s">
        <v>173</v>
      </c>
      <c r="C324">
        <v>5</v>
      </c>
      <c r="D324" s="1">
        <v>43985</v>
      </c>
      <c r="E324" s="1">
        <v>43992</v>
      </c>
      <c r="F324" s="2">
        <v>1700</v>
      </c>
      <c r="G324" s="2">
        <v>1700</v>
      </c>
      <c r="I324" t="s">
        <v>170</v>
      </c>
      <c r="J324" t="s">
        <v>171</v>
      </c>
    </row>
    <row r="325" spans="1:10">
      <c r="A325" t="s">
        <v>437</v>
      </c>
      <c r="B325" t="s">
        <v>438</v>
      </c>
      <c r="C325">
        <v>3</v>
      </c>
      <c r="D325" s="1">
        <v>43992</v>
      </c>
      <c r="E325" s="1">
        <v>43997</v>
      </c>
      <c r="F325" s="2">
        <v>1710</v>
      </c>
      <c r="G325" s="2">
        <v>1710</v>
      </c>
      <c r="I325" t="s">
        <v>170</v>
      </c>
      <c r="J325" t="s">
        <v>171</v>
      </c>
    </row>
    <row r="326" spans="1:10">
      <c r="A326" t="s">
        <v>439</v>
      </c>
      <c r="B326" t="s">
        <v>146</v>
      </c>
      <c r="C326">
        <v>2</v>
      </c>
      <c r="D326" s="1">
        <v>43997</v>
      </c>
      <c r="E326" s="1">
        <v>43999</v>
      </c>
      <c r="F326" s="2">
        <v>560</v>
      </c>
      <c r="G326" s="2">
        <v>560</v>
      </c>
      <c r="H326">
        <v>32</v>
      </c>
      <c r="I326" t="s">
        <v>170</v>
      </c>
      <c r="J326" t="s">
        <v>43</v>
      </c>
    </row>
    <row r="327" spans="1:10">
      <c r="A327" t="s">
        <v>440</v>
      </c>
      <c r="B327" t="s">
        <v>135</v>
      </c>
      <c r="C327">
        <v>5</v>
      </c>
      <c r="D327" s="1">
        <v>43999</v>
      </c>
      <c r="E327" s="1">
        <v>44006</v>
      </c>
      <c r="F327" s="2">
        <v>1400</v>
      </c>
      <c r="G327" s="2">
        <v>1400</v>
      </c>
      <c r="I327" t="s">
        <v>170</v>
      </c>
      <c r="J327" t="s">
        <v>43</v>
      </c>
    </row>
    <row r="328" spans="1:10">
      <c r="A328" t="s">
        <v>441</v>
      </c>
      <c r="B328" t="s">
        <v>442</v>
      </c>
      <c r="C328">
        <v>7</v>
      </c>
      <c r="D328" s="1">
        <v>44006</v>
      </c>
      <c r="E328" s="1">
        <v>44015</v>
      </c>
      <c r="F328" s="2">
        <v>1960</v>
      </c>
      <c r="G328" s="2">
        <v>1960</v>
      </c>
      <c r="I328" t="s">
        <v>170</v>
      </c>
      <c r="J328" t="s">
        <v>43</v>
      </c>
    </row>
    <row r="329" spans="1:10">
      <c r="A329" t="s">
        <v>443</v>
      </c>
      <c r="B329" t="s">
        <v>444</v>
      </c>
      <c r="C329">
        <v>3</v>
      </c>
      <c r="D329" s="1">
        <v>44015</v>
      </c>
      <c r="E329" s="1">
        <v>44020</v>
      </c>
      <c r="F329" s="2">
        <v>1710</v>
      </c>
      <c r="G329" s="2">
        <v>1710</v>
      </c>
      <c r="I329" t="s">
        <v>170</v>
      </c>
      <c r="J329" t="s">
        <v>43</v>
      </c>
    </row>
    <row r="330" spans="1:10">
      <c r="A330" t="s">
        <v>445</v>
      </c>
      <c r="B330" t="s">
        <v>141</v>
      </c>
      <c r="C330">
        <v>30</v>
      </c>
      <c r="D330" s="1">
        <v>44015</v>
      </c>
      <c r="E330" s="1">
        <v>44057</v>
      </c>
      <c r="F330" s="2">
        <v>1400</v>
      </c>
      <c r="G330" s="2">
        <v>1400</v>
      </c>
      <c r="I330" t="s">
        <v>170</v>
      </c>
      <c r="J330" t="s">
        <v>171</v>
      </c>
    </row>
    <row r="331" spans="1:10">
      <c r="A331" t="s">
        <v>446</v>
      </c>
      <c r="C331">
        <v>69</v>
      </c>
      <c r="D331" s="1">
        <v>44006</v>
      </c>
      <c r="E331" s="1">
        <v>44103</v>
      </c>
      <c r="F331" s="2">
        <v>15846.88</v>
      </c>
      <c r="G331" s="2">
        <v>15846.88</v>
      </c>
      <c r="H331">
        <v>32</v>
      </c>
    </row>
    <row r="332" spans="1:10">
      <c r="A332" t="s">
        <v>447</v>
      </c>
      <c r="B332" t="s">
        <v>169</v>
      </c>
      <c r="C332">
        <v>10</v>
      </c>
      <c r="D332" s="1">
        <v>44006</v>
      </c>
      <c r="E332" s="1">
        <v>44020</v>
      </c>
      <c r="F332" s="2">
        <v>560</v>
      </c>
      <c r="G332" s="2">
        <v>560</v>
      </c>
      <c r="I332" t="s">
        <v>170</v>
      </c>
      <c r="J332" t="s">
        <v>171</v>
      </c>
    </row>
    <row r="333" spans="1:10">
      <c r="A333" t="s">
        <v>448</v>
      </c>
      <c r="B333" t="s">
        <v>173</v>
      </c>
      <c r="C333">
        <v>10</v>
      </c>
      <c r="D333" s="1">
        <v>44020</v>
      </c>
      <c r="E333" s="1">
        <v>44034</v>
      </c>
      <c r="F333" s="2">
        <v>6200</v>
      </c>
      <c r="G333" s="2">
        <v>6200</v>
      </c>
      <c r="I333" t="s">
        <v>170</v>
      </c>
      <c r="J333" t="s">
        <v>171</v>
      </c>
    </row>
    <row r="334" spans="1:10">
      <c r="A334" t="s">
        <v>449</v>
      </c>
      <c r="B334" t="s">
        <v>200</v>
      </c>
      <c r="C334">
        <v>5</v>
      </c>
      <c r="D334" s="1">
        <v>44034</v>
      </c>
      <c r="E334" s="1">
        <v>44041</v>
      </c>
      <c r="F334" s="2">
        <v>3100</v>
      </c>
      <c r="G334" s="2">
        <v>3100</v>
      </c>
      <c r="H334">
        <v>32</v>
      </c>
      <c r="I334" t="s">
        <v>170</v>
      </c>
      <c r="J334" t="s">
        <v>171</v>
      </c>
    </row>
    <row r="335" spans="1:10">
      <c r="A335" t="s">
        <v>450</v>
      </c>
      <c r="B335" t="s">
        <v>135</v>
      </c>
      <c r="C335">
        <v>7</v>
      </c>
      <c r="D335" s="1">
        <v>44041</v>
      </c>
      <c r="E335" s="1">
        <v>44050</v>
      </c>
      <c r="F335" s="2">
        <v>3496.88</v>
      </c>
      <c r="G335" s="2">
        <v>3496.88</v>
      </c>
      <c r="I335" t="s">
        <v>170</v>
      </c>
      <c r="J335" t="s">
        <v>171</v>
      </c>
    </row>
    <row r="336" spans="1:10">
      <c r="A336" t="s">
        <v>451</v>
      </c>
      <c r="B336" t="s">
        <v>177</v>
      </c>
      <c r="C336">
        <v>4</v>
      </c>
      <c r="D336" s="1">
        <v>44050</v>
      </c>
      <c r="E336" s="1">
        <v>44056</v>
      </c>
      <c r="F336" s="2">
        <v>560</v>
      </c>
      <c r="G336" s="2">
        <v>560</v>
      </c>
      <c r="I336" t="s">
        <v>170</v>
      </c>
      <c r="J336" t="s">
        <v>171</v>
      </c>
    </row>
    <row r="337" spans="1:10">
      <c r="A337" t="s">
        <v>452</v>
      </c>
      <c r="B337" t="s">
        <v>137</v>
      </c>
      <c r="C337">
        <v>3</v>
      </c>
      <c r="D337" s="1">
        <v>44056</v>
      </c>
      <c r="E337" s="1">
        <v>44061</v>
      </c>
      <c r="F337" s="2">
        <v>1230</v>
      </c>
      <c r="G337" s="2">
        <v>1230</v>
      </c>
      <c r="I337" t="s">
        <v>170</v>
      </c>
      <c r="J337" t="s">
        <v>171</v>
      </c>
    </row>
    <row r="338" spans="1:10">
      <c r="A338" t="s">
        <v>453</v>
      </c>
      <c r="B338" t="s">
        <v>183</v>
      </c>
      <c r="C338">
        <v>30</v>
      </c>
      <c r="D338" s="1">
        <v>44061</v>
      </c>
      <c r="E338" s="1">
        <v>44103</v>
      </c>
      <c r="F338" s="2">
        <v>700</v>
      </c>
      <c r="G338" s="2">
        <v>700</v>
      </c>
      <c r="I338" t="s">
        <v>170</v>
      </c>
      <c r="J338" t="s">
        <v>171</v>
      </c>
    </row>
    <row r="339" spans="1:10">
      <c r="A339" t="s">
        <v>454</v>
      </c>
      <c r="C339">
        <v>220</v>
      </c>
      <c r="D339" s="1">
        <v>43913</v>
      </c>
      <c r="E339" s="1">
        <v>44221</v>
      </c>
      <c r="F339" s="2">
        <v>76139.27</v>
      </c>
      <c r="G339" s="2">
        <v>76139.27</v>
      </c>
      <c r="H339">
        <v>0</v>
      </c>
    </row>
    <row r="340" spans="1:10">
      <c r="A340" t="s">
        <v>147</v>
      </c>
      <c r="C340">
        <v>16</v>
      </c>
      <c r="D340" s="1">
        <v>43913</v>
      </c>
      <c r="E340" s="1">
        <v>43935</v>
      </c>
      <c r="F340" s="2">
        <v>3121.88</v>
      </c>
      <c r="G340" s="2">
        <v>3121.88</v>
      </c>
      <c r="H340">
        <v>0</v>
      </c>
    </row>
    <row r="341" spans="1:10">
      <c r="A341" t="s">
        <v>455</v>
      </c>
      <c r="B341" t="s">
        <v>169</v>
      </c>
      <c r="C341">
        <v>10</v>
      </c>
      <c r="D341" s="1">
        <v>43913</v>
      </c>
      <c r="E341" s="1">
        <v>43924</v>
      </c>
      <c r="F341" s="2">
        <v>560</v>
      </c>
      <c r="G341" s="2">
        <v>560</v>
      </c>
      <c r="I341" t="s">
        <v>170</v>
      </c>
      <c r="J341" t="s">
        <v>171</v>
      </c>
    </row>
    <row r="342" spans="1:10">
      <c r="A342" t="s">
        <v>456</v>
      </c>
      <c r="B342" t="s">
        <v>173</v>
      </c>
      <c r="C342">
        <v>1</v>
      </c>
      <c r="D342" t="s">
        <v>413</v>
      </c>
      <c r="E342" s="1">
        <v>43927</v>
      </c>
      <c r="F342" s="2">
        <v>480</v>
      </c>
      <c r="G342" s="2">
        <v>480</v>
      </c>
      <c r="I342" t="s">
        <v>170</v>
      </c>
      <c r="J342" t="s">
        <v>171</v>
      </c>
    </row>
    <row r="343" spans="1:10">
      <c r="A343" t="s">
        <v>457</v>
      </c>
      <c r="B343" t="s">
        <v>135</v>
      </c>
      <c r="C343">
        <v>3</v>
      </c>
      <c r="D343" s="1">
        <v>43928</v>
      </c>
      <c r="E343" s="1">
        <v>43931</v>
      </c>
      <c r="F343" s="2">
        <v>1636.88</v>
      </c>
      <c r="G343" s="2">
        <v>1636.88</v>
      </c>
      <c r="I343" t="s">
        <v>170</v>
      </c>
      <c r="J343" t="s">
        <v>171</v>
      </c>
    </row>
    <row r="344" spans="1:10">
      <c r="A344" t="s">
        <v>458</v>
      </c>
      <c r="B344" t="s">
        <v>177</v>
      </c>
      <c r="C344">
        <v>1</v>
      </c>
      <c r="D344" s="1">
        <v>43931</v>
      </c>
      <c r="E344" s="1">
        <v>43934</v>
      </c>
      <c r="F344" s="2">
        <v>175</v>
      </c>
      <c r="G344" s="2">
        <v>175</v>
      </c>
      <c r="I344" t="s">
        <v>170</v>
      </c>
      <c r="J344" t="s">
        <v>171</v>
      </c>
    </row>
    <row r="345" spans="1:10">
      <c r="A345" t="s">
        <v>459</v>
      </c>
      <c r="B345" t="s">
        <v>137</v>
      </c>
      <c r="C345">
        <v>1</v>
      </c>
      <c r="D345" s="1">
        <v>43934</v>
      </c>
      <c r="E345" s="1">
        <v>43935</v>
      </c>
      <c r="F345" s="2">
        <v>270</v>
      </c>
      <c r="G345" s="2">
        <v>270</v>
      </c>
      <c r="I345" t="s">
        <v>170</v>
      </c>
      <c r="J345" t="s">
        <v>171</v>
      </c>
    </row>
    <row r="346" spans="1:10">
      <c r="A346" t="s">
        <v>184</v>
      </c>
      <c r="C346">
        <v>36</v>
      </c>
      <c r="D346" s="1">
        <v>43921</v>
      </c>
      <c r="E346" s="1">
        <v>43971</v>
      </c>
      <c r="F346" s="2">
        <v>6785</v>
      </c>
      <c r="G346" s="2">
        <v>6785</v>
      </c>
      <c r="H346">
        <v>0</v>
      </c>
    </row>
    <row r="347" spans="1:10">
      <c r="A347" t="s">
        <v>460</v>
      </c>
      <c r="B347" t="s">
        <v>144</v>
      </c>
      <c r="C347">
        <v>10</v>
      </c>
      <c r="D347" s="1">
        <v>43921</v>
      </c>
      <c r="E347" s="1">
        <v>43935</v>
      </c>
      <c r="F347" s="2">
        <v>350</v>
      </c>
      <c r="G347" s="2">
        <v>350</v>
      </c>
      <c r="I347" t="s">
        <v>170</v>
      </c>
      <c r="J347" t="s">
        <v>171</v>
      </c>
    </row>
    <row r="348" spans="1:10">
      <c r="A348" t="s">
        <v>461</v>
      </c>
      <c r="B348" t="s">
        <v>146</v>
      </c>
      <c r="C348">
        <v>1</v>
      </c>
      <c r="D348" s="1">
        <v>43935</v>
      </c>
      <c r="E348" s="1">
        <v>43936</v>
      </c>
      <c r="F348" s="2">
        <v>340</v>
      </c>
      <c r="G348" s="2">
        <v>340</v>
      </c>
      <c r="I348" t="s">
        <v>170</v>
      </c>
      <c r="J348" t="s">
        <v>171</v>
      </c>
    </row>
    <row r="349" spans="1:10">
      <c r="A349" t="s">
        <v>462</v>
      </c>
      <c r="B349" t="s">
        <v>135</v>
      </c>
      <c r="C349">
        <v>5</v>
      </c>
      <c r="D349" s="1">
        <v>43936</v>
      </c>
      <c r="E349" s="1">
        <v>43943</v>
      </c>
      <c r="F349" s="2">
        <v>3785</v>
      </c>
      <c r="G349" s="2">
        <v>3785</v>
      </c>
      <c r="I349" t="s">
        <v>190</v>
      </c>
      <c r="J349" t="s">
        <v>171</v>
      </c>
    </row>
    <row r="350" spans="1:10">
      <c r="A350" t="s">
        <v>463</v>
      </c>
      <c r="B350" t="s">
        <v>189</v>
      </c>
      <c r="C350">
        <v>20</v>
      </c>
      <c r="D350" s="1">
        <v>43943</v>
      </c>
      <c r="E350" s="1">
        <v>43971</v>
      </c>
      <c r="F350" s="2">
        <v>2310</v>
      </c>
      <c r="G350" s="2">
        <v>2310</v>
      </c>
      <c r="I350" t="s">
        <v>190</v>
      </c>
      <c r="J350" t="s">
        <v>171</v>
      </c>
    </row>
    <row r="351" spans="1:10">
      <c r="A351" t="s">
        <v>257</v>
      </c>
      <c r="C351">
        <v>86</v>
      </c>
      <c r="D351" s="1">
        <v>43915</v>
      </c>
      <c r="E351" s="1">
        <v>44035</v>
      </c>
      <c r="F351" s="2">
        <v>22310.799999999999</v>
      </c>
      <c r="G351" s="2">
        <v>22310.799999999999</v>
      </c>
      <c r="H351">
        <v>0</v>
      </c>
    </row>
    <row r="352" spans="1:10">
      <c r="A352" t="s">
        <v>464</v>
      </c>
      <c r="B352" t="s">
        <v>144</v>
      </c>
      <c r="C352">
        <v>20</v>
      </c>
      <c r="D352" s="1">
        <v>43915</v>
      </c>
      <c r="E352" s="1">
        <v>43943</v>
      </c>
      <c r="F352" s="2">
        <v>350</v>
      </c>
      <c r="G352" s="2">
        <v>350</v>
      </c>
      <c r="I352" t="s">
        <v>170</v>
      </c>
      <c r="J352" t="s">
        <v>171</v>
      </c>
    </row>
    <row r="353" spans="1:10">
      <c r="A353" t="s">
        <v>465</v>
      </c>
      <c r="B353" t="s">
        <v>260</v>
      </c>
      <c r="C353">
        <v>32</v>
      </c>
      <c r="D353" s="1">
        <v>43943</v>
      </c>
      <c r="E353" s="1">
        <v>43987</v>
      </c>
      <c r="F353" s="2">
        <v>10640.4</v>
      </c>
      <c r="G353" s="2">
        <v>10640.4</v>
      </c>
      <c r="I353" t="s">
        <v>170</v>
      </c>
      <c r="J353" t="s">
        <v>171</v>
      </c>
    </row>
    <row r="354" spans="1:10">
      <c r="A354" t="s">
        <v>466</v>
      </c>
      <c r="B354" t="s">
        <v>262</v>
      </c>
      <c r="C354">
        <v>1</v>
      </c>
      <c r="D354" s="1">
        <v>43987</v>
      </c>
      <c r="E354" s="1">
        <v>43990</v>
      </c>
      <c r="F354" s="2">
        <v>340</v>
      </c>
      <c r="G354" s="2">
        <v>340</v>
      </c>
      <c r="I354" t="s">
        <v>170</v>
      </c>
      <c r="J354" t="s">
        <v>171</v>
      </c>
    </row>
    <row r="355" spans="1:10">
      <c r="A355" t="s">
        <v>467</v>
      </c>
      <c r="B355" t="s">
        <v>264</v>
      </c>
      <c r="C355">
        <v>32</v>
      </c>
      <c r="D355" s="1">
        <v>43990</v>
      </c>
      <c r="E355" s="1">
        <v>44034</v>
      </c>
      <c r="F355" s="2">
        <v>10640.4</v>
      </c>
      <c r="G355" s="2">
        <v>10640.4</v>
      </c>
      <c r="I355" t="s">
        <v>170</v>
      </c>
      <c r="J355" t="s">
        <v>171</v>
      </c>
    </row>
    <row r="356" spans="1:10">
      <c r="A356" t="s">
        <v>468</v>
      </c>
      <c r="B356" t="s">
        <v>266</v>
      </c>
      <c r="C356">
        <v>1</v>
      </c>
      <c r="D356" s="1">
        <v>44034</v>
      </c>
      <c r="E356" s="1">
        <v>44035</v>
      </c>
      <c r="F356" s="2">
        <v>340</v>
      </c>
      <c r="G356" s="2">
        <v>340</v>
      </c>
      <c r="I356" t="s">
        <v>170</v>
      </c>
      <c r="J356" t="s">
        <v>171</v>
      </c>
    </row>
    <row r="357" spans="1:10">
      <c r="A357" t="s">
        <v>469</v>
      </c>
      <c r="C357">
        <v>66</v>
      </c>
      <c r="D357" s="1">
        <v>44035</v>
      </c>
      <c r="E357" s="1">
        <v>44127</v>
      </c>
      <c r="F357" s="2">
        <v>21960.799999999999</v>
      </c>
      <c r="G357" s="2">
        <v>21960.799999999999</v>
      </c>
      <c r="H357">
        <v>0</v>
      </c>
    </row>
    <row r="358" spans="1:10">
      <c r="A358" t="s">
        <v>470</v>
      </c>
      <c r="B358" t="s">
        <v>471</v>
      </c>
      <c r="C358">
        <v>32</v>
      </c>
      <c r="D358" s="1">
        <v>44035</v>
      </c>
      <c r="E358" s="1">
        <v>44081</v>
      </c>
      <c r="F358" s="2">
        <v>10640.4</v>
      </c>
      <c r="G358" s="2">
        <v>10640.4</v>
      </c>
      <c r="I358" t="s">
        <v>170</v>
      </c>
      <c r="J358" t="s">
        <v>171</v>
      </c>
    </row>
    <row r="359" spans="1:10">
      <c r="A359" t="s">
        <v>472</v>
      </c>
      <c r="B359" t="s">
        <v>473</v>
      </c>
      <c r="C359">
        <v>1</v>
      </c>
      <c r="D359" s="1">
        <v>44081</v>
      </c>
      <c r="E359" s="1">
        <v>44082</v>
      </c>
      <c r="F359" s="2">
        <v>340</v>
      </c>
      <c r="G359" s="2">
        <v>340</v>
      </c>
      <c r="I359" t="s">
        <v>170</v>
      </c>
      <c r="J359" t="s">
        <v>171</v>
      </c>
    </row>
    <row r="360" spans="1:10">
      <c r="A360" t="s">
        <v>474</v>
      </c>
      <c r="B360" t="s">
        <v>475</v>
      </c>
      <c r="C360">
        <v>32</v>
      </c>
      <c r="D360" s="1">
        <v>44082</v>
      </c>
      <c r="E360" s="1">
        <v>44126</v>
      </c>
      <c r="F360" s="2">
        <v>10640.4</v>
      </c>
      <c r="G360" s="2">
        <v>10640.4</v>
      </c>
      <c r="I360" t="s">
        <v>170</v>
      </c>
      <c r="J360" t="s">
        <v>171</v>
      </c>
    </row>
    <row r="361" spans="1:10">
      <c r="A361" t="s">
        <v>476</v>
      </c>
      <c r="B361" t="s">
        <v>477</v>
      </c>
      <c r="C361">
        <v>1</v>
      </c>
      <c r="D361" s="1">
        <v>44126</v>
      </c>
      <c r="E361" s="1">
        <v>44127</v>
      </c>
      <c r="F361" s="2">
        <v>340</v>
      </c>
      <c r="G361" s="2">
        <v>340</v>
      </c>
      <c r="I361" t="s">
        <v>170</v>
      </c>
      <c r="J361" t="s">
        <v>171</v>
      </c>
    </row>
    <row r="362" spans="1:10">
      <c r="A362" t="s">
        <v>478</v>
      </c>
      <c r="C362">
        <v>66</v>
      </c>
      <c r="D362" s="1">
        <v>44127</v>
      </c>
      <c r="E362" s="1">
        <v>44221</v>
      </c>
      <c r="F362" s="2">
        <v>21960.799999999999</v>
      </c>
      <c r="G362" s="2">
        <v>21960.799999999999</v>
      </c>
      <c r="H362">
        <v>0</v>
      </c>
    </row>
    <row r="363" spans="1:10">
      <c r="A363" t="s">
        <v>479</v>
      </c>
      <c r="B363" t="s">
        <v>480</v>
      </c>
      <c r="C363">
        <v>32</v>
      </c>
      <c r="D363" s="1">
        <v>44127</v>
      </c>
      <c r="E363" s="1">
        <v>44173</v>
      </c>
      <c r="F363" s="2">
        <v>10640.4</v>
      </c>
      <c r="G363" s="2">
        <v>10640.4</v>
      </c>
      <c r="I363" t="s">
        <v>170</v>
      </c>
      <c r="J363" t="s">
        <v>171</v>
      </c>
    </row>
    <row r="364" spans="1:10">
      <c r="A364" t="s">
        <v>481</v>
      </c>
      <c r="B364" t="s">
        <v>482</v>
      </c>
      <c r="C364">
        <v>1</v>
      </c>
      <c r="D364" s="1">
        <v>44173</v>
      </c>
      <c r="E364" s="1">
        <v>44174</v>
      </c>
      <c r="F364" s="2">
        <v>340</v>
      </c>
      <c r="G364" s="2">
        <v>340</v>
      </c>
      <c r="I364" t="s">
        <v>170</v>
      </c>
      <c r="J364" t="s">
        <v>171</v>
      </c>
    </row>
    <row r="365" spans="1:10">
      <c r="A365" t="s">
        <v>483</v>
      </c>
      <c r="B365" t="s">
        <v>484</v>
      </c>
      <c r="C365">
        <v>32</v>
      </c>
      <c r="D365" s="1">
        <v>44174</v>
      </c>
      <c r="E365" s="1">
        <v>44218</v>
      </c>
      <c r="F365" s="2">
        <v>10640.4</v>
      </c>
      <c r="G365" s="2">
        <v>10640.4</v>
      </c>
      <c r="I365" t="s">
        <v>170</v>
      </c>
      <c r="J365" t="s">
        <v>171</v>
      </c>
    </row>
    <row r="366" spans="1:10">
      <c r="A366" t="s">
        <v>485</v>
      </c>
      <c r="B366" t="s">
        <v>486</v>
      </c>
      <c r="C366">
        <v>1</v>
      </c>
      <c r="D366" s="1">
        <v>44218</v>
      </c>
      <c r="E366" s="1">
        <v>44221</v>
      </c>
      <c r="F366" s="2">
        <v>340</v>
      </c>
      <c r="G366" s="2">
        <v>340</v>
      </c>
      <c r="I366" t="s">
        <v>170</v>
      </c>
      <c r="J366" t="s">
        <v>171</v>
      </c>
    </row>
  </sheetData>
  <pageMargins left="0.7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calendar</vt:lpstr>
      <vt:lpstr>Pre GW 1 &amp; 2</vt:lpstr>
      <vt:lpstr>DR 1 &amp; 2 (old)</vt:lpstr>
      <vt:lpstr>STCW option 2</vt:lpstr>
      <vt:lpstr>STCW Option 1</vt:lpstr>
      <vt:lpstr>STCW</vt:lpstr>
      <vt:lpstr>PMO- April 4 2019</vt:lpstr>
      <vt:lpstr>PMO-March 6 2019</vt:lpstr>
      <vt:lpstr>PMO- Feb 28 2019</vt:lpstr>
      <vt:lpstr>2Sheet2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B Shah</dc:creator>
  <cp:lastModifiedBy>Viresh B Shah</cp:lastModifiedBy>
  <cp:lastPrinted>2019-08-29T20:45:43Z</cp:lastPrinted>
  <dcterms:created xsi:type="dcterms:W3CDTF">2019-02-18T17:19:47Z</dcterms:created>
  <dcterms:modified xsi:type="dcterms:W3CDTF">2019-11-01T15:54:27Z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Shah_Viresh_B@cat.com</vt:lpwstr>
  </property>
  <property fmtid="{D5CDD505-2E9C-101B-9397-08002B2CF9AE}" pid="5" name="MSIP_Label_fb5e2db6-eecf-4aa2-8fc3-174bf94bce19_SetDate">
    <vt:lpwstr>2019-02-18T21:40:32.3550815Z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</Properties>
</file>