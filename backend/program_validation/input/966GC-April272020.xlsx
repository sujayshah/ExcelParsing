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jayshah/ExcelParsing/backend/program_validation/input/"/>
    </mc:Choice>
  </mc:AlternateContent>
  <xr:revisionPtr revIDLastSave="0" documentId="13_ncr:1_{1482C362-EE45-434D-B731-8098A93E1896}" xr6:coauthVersionLast="36" xr6:coauthVersionMax="44" xr10:uidLastSave="{00000000-0000-0000-0000-000000000000}"/>
  <bookViews>
    <workbookView xWindow="0" yWindow="460" windowWidth="25600" windowHeight="14680" xr2:uid="{FD93139A-998A-44E9-813E-431B77FD1E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9" i="1" l="1"/>
  <c r="D179" i="1"/>
  <c r="C30" i="1" l="1"/>
  <c r="D30" i="1"/>
  <c r="D41" i="1"/>
  <c r="C41" i="1"/>
  <c r="D50" i="1"/>
  <c r="C50" i="1"/>
  <c r="D55" i="1"/>
  <c r="C55" i="1"/>
  <c r="D73" i="1"/>
  <c r="C73" i="1"/>
  <c r="C76" i="1"/>
  <c r="D110" i="1"/>
  <c r="C110" i="1"/>
  <c r="D137" i="1"/>
  <c r="C137" i="1"/>
  <c r="D158" i="1"/>
  <c r="C158" i="1"/>
  <c r="C21" i="1" l="1"/>
  <c r="D75" i="1"/>
  <c r="D76" i="1"/>
  <c r="D180" i="1" l="1"/>
  <c r="D163" i="1" l="1"/>
  <c r="C126" i="1"/>
  <c r="C101" i="1"/>
  <c r="C98" i="1"/>
  <c r="C94" i="1"/>
  <c r="C93" i="1"/>
  <c r="C162" i="1" l="1"/>
  <c r="D162" i="1" s="1"/>
  <c r="C163" i="1" s="1"/>
  <c r="C164" i="1" s="1"/>
  <c r="D164" i="1" s="1"/>
  <c r="C165" i="1" s="1"/>
  <c r="D165" i="1" s="1"/>
  <c r="C166" i="1" s="1"/>
  <c r="D166" i="1" s="1"/>
  <c r="C167" i="1" s="1"/>
  <c r="D167" i="1" s="1"/>
  <c r="C168" i="1" s="1"/>
  <c r="D168" i="1" s="1"/>
  <c r="C169" i="1" s="1"/>
  <c r="D169" i="1" s="1"/>
  <c r="C170" i="1" s="1"/>
  <c r="D170" i="1" s="1"/>
  <c r="C161" i="1"/>
  <c r="D160" i="1"/>
  <c r="D159" i="1"/>
  <c r="C140" i="1"/>
  <c r="D139" i="1"/>
  <c r="D138" i="1"/>
  <c r="D112" i="1"/>
  <c r="C113" i="1" s="1"/>
  <c r="D111" i="1"/>
  <c r="C106" i="1"/>
  <c r="D106" i="1" s="1"/>
  <c r="C107" i="1" s="1"/>
  <c r="D107" i="1" s="1"/>
  <c r="C108" i="1" s="1"/>
  <c r="D108" i="1" s="1"/>
  <c r="C109" i="1" s="1"/>
  <c r="D109" i="1" s="1"/>
  <c r="D98" i="1"/>
  <c r="D94" i="1"/>
  <c r="C95" i="1" s="1"/>
  <c r="D95" i="1" s="1"/>
  <c r="C96" i="1" s="1"/>
  <c r="D96" i="1" s="1"/>
  <c r="C97" i="1" s="1"/>
  <c r="D97" i="1" s="1"/>
  <c r="D93" i="1"/>
  <c r="C125" i="1" s="1"/>
  <c r="D125" i="1" s="1"/>
  <c r="D77" i="1"/>
  <c r="D74" i="1"/>
  <c r="D62" i="1"/>
  <c r="C63" i="1" s="1"/>
  <c r="D63" i="1" s="1"/>
  <c r="C64" i="1" s="1"/>
  <c r="D64" i="1" s="1"/>
  <c r="C65" i="1" s="1"/>
  <c r="D65" i="1" s="1"/>
  <c r="C66" i="1" s="1"/>
  <c r="D66" i="1" s="1"/>
  <c r="C67" i="1" s="1"/>
  <c r="D67" i="1" s="1"/>
  <c r="C68" i="1" s="1"/>
  <c r="D68" i="1" s="1"/>
  <c r="C69" i="1" s="1"/>
  <c r="D69" i="1" s="1"/>
  <c r="C70" i="1" s="1"/>
  <c r="D70" i="1" s="1"/>
  <c r="C71" i="1" s="1"/>
  <c r="D71" i="1" s="1"/>
  <c r="C72" i="1" s="1"/>
  <c r="D72" i="1" s="1"/>
  <c r="C57" i="1"/>
  <c r="D57" i="1" s="1"/>
  <c r="D56" i="1"/>
  <c r="D52" i="1"/>
  <c r="C53" i="1" s="1"/>
  <c r="C52" i="1"/>
  <c r="D46" i="1"/>
  <c r="D44" i="1"/>
  <c r="D39" i="1"/>
  <c r="D38" i="1"/>
  <c r="D37" i="1"/>
  <c r="D36" i="1"/>
  <c r="D35" i="1"/>
  <c r="D31" i="1"/>
  <c r="D29" i="1"/>
  <c r="D28" i="1"/>
  <c r="D27" i="1"/>
  <c r="D26" i="1"/>
  <c r="D25" i="1"/>
  <c r="D24" i="1"/>
  <c r="D21" i="1" s="1"/>
  <c r="D23" i="1"/>
  <c r="D22" i="1"/>
  <c r="D20" i="1"/>
  <c r="D19" i="1"/>
  <c r="C18" i="1"/>
  <c r="C17" i="1" s="1"/>
  <c r="D16" i="1"/>
  <c r="D15" i="1"/>
  <c r="D14" i="1"/>
  <c r="D13" i="1"/>
  <c r="D12" i="1"/>
  <c r="D11" i="1"/>
  <c r="D10" i="1"/>
  <c r="D9" i="1"/>
  <c r="D8" i="1"/>
  <c r="D7" i="1"/>
  <c r="D5" i="1"/>
  <c r="D4" i="1"/>
  <c r="D3" i="1"/>
  <c r="D53" i="1" l="1"/>
  <c r="C54" i="1" s="1"/>
  <c r="D54" i="1" s="1"/>
  <c r="C58" i="1"/>
  <c r="C99" i="1"/>
  <c r="D99" i="1" s="1"/>
  <c r="C100" i="1" s="1"/>
  <c r="D100" i="1" s="1"/>
  <c r="D101" i="1" s="1"/>
  <c r="C102" i="1" s="1"/>
  <c r="D102" i="1" s="1"/>
  <c r="C103" i="1" s="1"/>
  <c r="D103" i="1" s="1"/>
  <c r="C104" i="1" s="1"/>
  <c r="D104" i="1" s="1"/>
  <c r="C105" i="1" s="1"/>
  <c r="D105" i="1" s="1"/>
  <c r="D126" i="1"/>
  <c r="C127" i="1" s="1"/>
  <c r="D127" i="1" s="1"/>
  <c r="C128" i="1" s="1"/>
  <c r="D128" i="1" s="1"/>
  <c r="C129" i="1" s="1"/>
  <c r="D129" i="1" s="1"/>
  <c r="C130" i="1" s="1"/>
  <c r="D130" i="1" s="1"/>
  <c r="C131" i="1" s="1"/>
  <c r="D131" i="1" s="1"/>
  <c r="C132" i="1" s="1"/>
  <c r="D132" i="1" s="1"/>
  <c r="C133" i="1" s="1"/>
  <c r="D133" i="1" s="1"/>
  <c r="C134" i="1" s="1"/>
  <c r="D134" i="1" s="1"/>
  <c r="C135" i="1" s="1"/>
  <c r="D135" i="1" s="1"/>
  <c r="C136" i="1" s="1"/>
  <c r="D136" i="1" s="1"/>
  <c r="C171" i="1"/>
  <c r="D171" i="1" s="1"/>
  <c r="C172" i="1" s="1"/>
  <c r="D172" i="1" s="1"/>
  <c r="C173" i="1" s="1"/>
  <c r="D173" i="1" s="1"/>
  <c r="C174" i="1" s="1"/>
  <c r="D174" i="1" s="1"/>
  <c r="C175" i="1" s="1"/>
  <c r="D175" i="1" s="1"/>
  <c r="C176" i="1" s="1"/>
  <c r="D176" i="1" s="1"/>
  <c r="C177" i="1" s="1"/>
  <c r="D177" i="1" s="1"/>
  <c r="C178" i="1" s="1"/>
  <c r="D178" i="1" s="1"/>
  <c r="C40" i="1"/>
  <c r="D40" i="1" s="1"/>
  <c r="C148" i="1"/>
  <c r="D148" i="1" s="1"/>
  <c r="C149" i="1" s="1"/>
  <c r="D149" i="1" s="1"/>
  <c r="C150" i="1" s="1"/>
  <c r="D150" i="1" s="1"/>
  <c r="C151" i="1" s="1"/>
  <c r="D151" i="1" s="1"/>
  <c r="C152" i="1" s="1"/>
  <c r="D152" i="1" s="1"/>
  <c r="C153" i="1" s="1"/>
  <c r="D153" i="1" s="1"/>
  <c r="C154" i="1" s="1"/>
  <c r="D154" i="1" s="1"/>
  <c r="C155" i="1" s="1"/>
  <c r="D155" i="1" s="1"/>
  <c r="C156" i="1" s="1"/>
  <c r="D156" i="1" s="1"/>
  <c r="C157" i="1" s="1"/>
  <c r="D157" i="1" s="1"/>
  <c r="D113" i="1"/>
  <c r="C114" i="1" s="1"/>
  <c r="D114" i="1" s="1"/>
  <c r="C115" i="1" s="1"/>
  <c r="D115" i="1" s="1"/>
  <c r="C116" i="1" s="1"/>
  <c r="D116" i="1" s="1"/>
  <c r="C117" i="1" s="1"/>
  <c r="D117" i="1" s="1"/>
  <c r="C118" i="1" s="1"/>
  <c r="D118" i="1" s="1"/>
  <c r="C119" i="1" s="1"/>
  <c r="D119" i="1" s="1"/>
  <c r="C120" i="1" s="1"/>
  <c r="D120" i="1" s="1"/>
  <c r="C121" i="1" s="1"/>
  <c r="D121" i="1" s="1"/>
  <c r="C122" i="1" s="1"/>
  <c r="D122" i="1" s="1"/>
  <c r="C78" i="1"/>
  <c r="D18" i="1"/>
  <c r="D17" i="1" s="1"/>
  <c r="D140" i="1"/>
  <c r="C141" i="1" s="1"/>
  <c r="D141" i="1" s="1"/>
  <c r="C142" i="1" s="1"/>
  <c r="D142" i="1" s="1"/>
  <c r="C143" i="1" s="1"/>
  <c r="D143" i="1" s="1"/>
  <c r="C144" i="1" s="1"/>
  <c r="D144" i="1" s="1"/>
  <c r="C145" i="1" s="1"/>
  <c r="D145" i="1" s="1"/>
  <c r="C146" i="1" s="1"/>
  <c r="D146" i="1" s="1"/>
  <c r="C147" i="1" s="1"/>
  <c r="D147" i="1" s="1"/>
  <c r="D161" i="1"/>
  <c r="C45" i="1"/>
  <c r="D58" i="1" l="1"/>
  <c r="D78" i="1"/>
  <c r="C32" i="1"/>
  <c r="C123" i="1"/>
  <c r="D45" i="1"/>
  <c r="D32" i="1" l="1"/>
  <c r="D123" i="1"/>
  <c r="C79" i="1"/>
  <c r="C59" i="1"/>
  <c r="C47" i="1"/>
  <c r="D79" i="1" l="1"/>
  <c r="D59" i="1"/>
  <c r="C124" i="1"/>
  <c r="D47" i="1"/>
  <c r="C48" i="1" l="1"/>
  <c r="C60" i="1"/>
  <c r="D124" i="1"/>
  <c r="C80" i="1"/>
  <c r="C33" i="1" l="1"/>
  <c r="D60" i="1"/>
  <c r="D80" i="1"/>
  <c r="D48" i="1"/>
  <c r="C81" i="1" l="1"/>
  <c r="C61" i="1"/>
  <c r="C49" i="1"/>
  <c r="D33" i="1"/>
  <c r="C34" i="1" l="1"/>
  <c r="C6" i="1"/>
  <c r="D49" i="1"/>
  <c r="D61" i="1"/>
  <c r="D81" i="1"/>
  <c r="C82" i="1" s="1"/>
  <c r="D82" i="1" s="1"/>
  <c r="C83" i="1" s="1"/>
  <c r="D83" i="1" s="1"/>
  <c r="C84" i="1" s="1"/>
  <c r="D84" i="1" s="1"/>
  <c r="C85" i="1" s="1"/>
  <c r="D85" i="1" s="1"/>
  <c r="C86" i="1" s="1"/>
  <c r="D86" i="1" s="1"/>
  <c r="C87" i="1" s="1"/>
  <c r="D87" i="1" s="1"/>
  <c r="C88" i="1" s="1"/>
  <c r="D88" i="1" s="1"/>
  <c r="C89" i="1" s="1"/>
  <c r="D89" i="1" s="1"/>
  <c r="C90" i="1" s="1"/>
  <c r="D90" i="1" s="1"/>
  <c r="C91" i="1" s="1"/>
  <c r="D91" i="1" s="1"/>
  <c r="C92" i="1" s="1"/>
  <c r="D92" i="1" s="1"/>
  <c r="D6" i="1" l="1"/>
  <c r="D2" i="1" s="1"/>
  <c r="C2" i="1"/>
  <c r="D34" i="1"/>
</calcChain>
</file>

<file path=xl/sharedStrings.xml><?xml version="1.0" encoding="utf-8"?>
<sst xmlns="http://schemas.openxmlformats.org/spreadsheetml/2006/main" count="348" uniqueCount="174">
  <si>
    <t>Activity Name</t>
  </si>
  <si>
    <t>Start</t>
  </si>
  <si>
    <t>Finish</t>
  </si>
  <si>
    <t xml:space="preserve">  Key Project Milestones</t>
  </si>
  <si>
    <t>Quality Gate 3</t>
  </si>
  <si>
    <t>GW</t>
  </si>
  <si>
    <t>GW 3</t>
  </si>
  <si>
    <t>DF</t>
  </si>
  <si>
    <t>Pilot Design Freeze</t>
  </si>
  <si>
    <t>Machine Ready for Field  (Regs)</t>
  </si>
  <si>
    <t>Pilot EDS Freeze</t>
  </si>
  <si>
    <t>GW 4</t>
  </si>
  <si>
    <t>Iron</t>
  </si>
  <si>
    <t>Stg V Hood Iron arrives at PPG</t>
  </si>
  <si>
    <t>Ship DL Axle Arrives China Supplier</t>
  </si>
  <si>
    <t>GW 5</t>
  </si>
  <si>
    <t>Production DF</t>
  </si>
  <si>
    <t>LPT (Axle) Design Freeze</t>
  </si>
  <si>
    <t>GW 5.5</t>
  </si>
  <si>
    <t>Production EDS Freeze</t>
  </si>
  <si>
    <t>GW 6</t>
  </si>
  <si>
    <t xml:space="preserve">  Key Validation reviews</t>
  </si>
  <si>
    <t>VR</t>
  </si>
  <si>
    <t>Validation Review 3</t>
  </si>
  <si>
    <t>Validation Review 4</t>
  </si>
  <si>
    <t>Validation Review 5</t>
  </si>
  <si>
    <t xml:space="preserve">  Software Milestones</t>
  </si>
  <si>
    <t>SW</t>
  </si>
  <si>
    <t>V01 SW Content Freeze</t>
  </si>
  <si>
    <t>Receive V01 SW</t>
  </si>
  <si>
    <t>V02 SW Content Freeze</t>
  </si>
  <si>
    <t>Receive V02 SW</t>
  </si>
  <si>
    <t>V03 SW Content Freeze</t>
  </si>
  <si>
    <t>Receive V03 SW</t>
  </si>
  <si>
    <t>V04 SW Content Freeze</t>
  </si>
  <si>
    <t>Receive V04 SW (Pilot)</t>
  </si>
  <si>
    <t>TIC Report Milestones</t>
  </si>
  <si>
    <t>Pilot</t>
  </si>
  <si>
    <t>SYC Report-Pilot</t>
  </si>
  <si>
    <t>ISO 3450 Brake Feasibility (Pilot)</t>
  </si>
  <si>
    <t>EMC-Pilot- Pilot</t>
  </si>
  <si>
    <t>ISO 9533 Horn, Back-up Alarm EN474 HAWB- Pilot</t>
  </si>
  <si>
    <t>ISO 5010 Steering Feasibility (Pilot)</t>
  </si>
  <si>
    <t>Production</t>
  </si>
  <si>
    <t>ISO 3450 Brake CERT</t>
  </si>
  <si>
    <t>ISO 5010 Steering CERT</t>
  </si>
  <si>
    <t>ISO 10570-Articulation Lock CERT</t>
  </si>
  <si>
    <t>ISO 9533 Horn, Back-up Alarm HAWB CERT</t>
  </si>
  <si>
    <t>Stg V EMC CERT</t>
  </si>
  <si>
    <t>Tech Center ShakeTable</t>
  </si>
  <si>
    <t>Hood arrives at Tech Center, Peoria (Version 1)</t>
  </si>
  <si>
    <t>Shake Table</t>
  </si>
  <si>
    <t>Stage V Shake Table # 1 (Version 1)</t>
  </si>
  <si>
    <t>Machine Build</t>
  </si>
  <si>
    <t>Shake Table set-up (Version 2)</t>
  </si>
  <si>
    <t>Static Runs</t>
  </si>
  <si>
    <t>OMSA Drive File (Post Machine OMSA) (Version 2 hood)</t>
  </si>
  <si>
    <t>Set-up, Shakeout and Dynamic Runs</t>
  </si>
  <si>
    <t>Durability</t>
  </si>
  <si>
    <t>Teardown &amp; Preliminary Report</t>
  </si>
  <si>
    <t xml:space="preserve">Tech Center G LPT Axle </t>
  </si>
  <si>
    <t>Test Cycle Dev</t>
  </si>
  <si>
    <t>Lab set-up and Debug</t>
  </si>
  <si>
    <t>0-500 hrs+ Inspection</t>
  </si>
  <si>
    <t>501-1000 hrs + Inspection</t>
  </si>
  <si>
    <t>966GC T3 TB #3 (SGW00208)</t>
  </si>
  <si>
    <t>CPM + Collision Avoidance</t>
  </si>
  <si>
    <t>Machine Update</t>
  </si>
  <si>
    <t>Limited Slip Differential Driveline Signature- Prototype Iron</t>
  </si>
  <si>
    <t>Holiday</t>
  </si>
  <si>
    <t>US Thanksgiving</t>
  </si>
  <si>
    <t>Driveline Signature-cont'd</t>
  </si>
  <si>
    <t>Endurance</t>
  </si>
  <si>
    <t>100 hr Endurance ( With Prototype LSD iron)</t>
  </si>
  <si>
    <t>Machine Update for UPT and LPT LCP Parts</t>
  </si>
  <si>
    <t>Machine Check</t>
  </si>
  <si>
    <t>Machine Checkout STP-64/Opr Eval</t>
  </si>
  <si>
    <t>Endurance 0-250 hrs+ Service/Inspect</t>
  </si>
  <si>
    <t>Endurance 251-500 hrs+ Service/Inspect</t>
  </si>
  <si>
    <t>Endurance 501-750 hrs+ Service/Inspect</t>
  </si>
  <si>
    <t>Endurance 751-1000 hrs+ Service/Inspect</t>
  </si>
  <si>
    <t>Endurance 1001-1250 hrs+ Service/Inspect</t>
  </si>
  <si>
    <t>Endurance 1251-1500 hrs+ Service/Inspect</t>
  </si>
  <si>
    <t>Endurance 1501-1750 hrs+ Service/Inspect</t>
  </si>
  <si>
    <t>Endurance 1750-2000 hrs+ Service/Inspect</t>
  </si>
  <si>
    <t>Inspection</t>
  </si>
  <si>
    <t>Full Inspection</t>
  </si>
  <si>
    <t>966GC T3 TB #4 (SGW00203)</t>
  </si>
  <si>
    <t xml:space="preserve">Safety </t>
  </si>
  <si>
    <t>SYC Type Certification- Report 30 days after completion of Evaluation</t>
  </si>
  <si>
    <t>AOC Fit-up and Perf Checkout</t>
  </si>
  <si>
    <t>966GC Stage V TB #1 (SG700101)</t>
  </si>
  <si>
    <t>Machine Ship</t>
  </si>
  <si>
    <t>Ship Machine Aurora MDC</t>
  </si>
  <si>
    <t xml:space="preserve">Machine Build </t>
  </si>
  <si>
    <t xml:space="preserve">Build Issue resolution </t>
  </si>
  <si>
    <t>Ship Machine PPG</t>
  </si>
  <si>
    <t>Machine Checkout STP-64</t>
  </si>
  <si>
    <t>Ver 01 SW (STP 230/289) (Steering, L5, XSMN)</t>
  </si>
  <si>
    <t>Performance</t>
  </si>
  <si>
    <t>L5 Performance Check (Include Thermal Mgmt Valve)</t>
  </si>
  <si>
    <t>NVH</t>
  </si>
  <si>
    <t>Sound Development (Machine, Cab Sound)</t>
  </si>
  <si>
    <t>C9.3B Stage V Engine Performance</t>
  </si>
  <si>
    <t>Transmission</t>
  </si>
  <si>
    <t>Trans Tuning</t>
  </si>
  <si>
    <t>L5 Tuning # 1</t>
  </si>
  <si>
    <t>Rimpull/Response</t>
  </si>
  <si>
    <t>Issue</t>
  </si>
  <si>
    <t>Issue Resolution # 1</t>
  </si>
  <si>
    <t>HVAC</t>
  </si>
  <si>
    <t>HVAC Perf Checkout</t>
  </si>
  <si>
    <t xml:space="preserve">Water Flow and Water System </t>
  </si>
  <si>
    <t xml:space="preserve">Stg V Ambient Capability and UHT </t>
  </si>
  <si>
    <t>Ver 02 SW (STP 230/289) (Steering, L5, XSMN)</t>
  </si>
  <si>
    <t>Light Structures (Stg V Hood-Version 2) OMSA</t>
  </si>
  <si>
    <t>Light Structures (Stg V Hood-Version 2) OMSA- Teardown</t>
  </si>
  <si>
    <t>Ver 03 SW (STP 230/289) (L5, XSMN, Engine)</t>
  </si>
  <si>
    <t>STP 401 Engine Install Audit</t>
  </si>
  <si>
    <t>DEF and Fuel Tank Calibration</t>
  </si>
  <si>
    <t>US Christmas and New Year Holiday</t>
  </si>
  <si>
    <t>Thermal Mgmt</t>
  </si>
  <si>
    <t>Thermal Mgmt endurance-300 hrs</t>
  </si>
  <si>
    <t>Issue Resolution # 2</t>
  </si>
  <si>
    <t>L5 Tuning and Performance Check # 2</t>
  </si>
  <si>
    <t>Ver 04 SW (STP 230/289) (Steering, L5, XSMN, Engine) BOB</t>
  </si>
  <si>
    <t>Dust Ejector Measurement</t>
  </si>
  <si>
    <t>Limited Slip Differential Driveline Signature- Prod Iron</t>
  </si>
  <si>
    <t>Issue Resolution # 3</t>
  </si>
  <si>
    <t>QPG 966GC CNR4 TB#2 (SG800101)</t>
  </si>
  <si>
    <t>Machine Build + Issue Resolution</t>
  </si>
  <si>
    <t>China New Year</t>
  </si>
  <si>
    <t>L5 Checkout</t>
  </si>
  <si>
    <t>Sound Test screening</t>
  </si>
  <si>
    <t>Trans checkout (Lead by CRDC UPT team)</t>
  </si>
  <si>
    <t>Sound Test (including cab glass) ISO 9533, HAWB</t>
  </si>
  <si>
    <t>Stg V Ver 01 SW (STP 230)</t>
  </si>
  <si>
    <t>Engine Installation Audit</t>
  </si>
  <si>
    <t>Audit</t>
  </si>
  <si>
    <t>Safety/Serviceability audit</t>
  </si>
  <si>
    <t>Safety</t>
  </si>
  <si>
    <t>ISO 3450 Brake Feasibility</t>
  </si>
  <si>
    <t>ISO 5010 Steering Feasibility (Include Secondary Steering)</t>
  </si>
  <si>
    <t>EMC Feasibility</t>
  </si>
  <si>
    <t>Stg V Ver 02 SW (STP 230)</t>
  </si>
  <si>
    <t>Stage V Ver 03 SW (STP 230)</t>
  </si>
  <si>
    <t>STP 64/Opr Eval</t>
  </si>
  <si>
    <t>0-250 hrs</t>
  </si>
  <si>
    <t>Endurance Inspection</t>
  </si>
  <si>
    <t>251-500 hrs</t>
  </si>
  <si>
    <t>501-750 hrs</t>
  </si>
  <si>
    <t>751-1000 hrs</t>
  </si>
  <si>
    <t>PPG 966GC Stage V Pilot #1 (SN)</t>
  </si>
  <si>
    <t>SW Checkout # Pilot V01</t>
  </si>
  <si>
    <t>L5 Performance Check</t>
  </si>
  <si>
    <t>Machine Endurance- 100 hrs</t>
  </si>
  <si>
    <t>Stg V Alarm, FWD Horn, HAWB CERT</t>
  </si>
  <si>
    <t>Productivity</t>
  </si>
  <si>
    <t>QPG 966GC CNR4/ Stg V Pilot #2 (SN)</t>
  </si>
  <si>
    <t>SW Checkout # 1</t>
  </si>
  <si>
    <t>MLIT Practice &amp; Witness</t>
  </si>
  <si>
    <t>Sound Test</t>
  </si>
  <si>
    <t>ISO 3450- Brake CERT</t>
  </si>
  <si>
    <t>ISO 5010- Steering CERT</t>
  </si>
  <si>
    <t>Stage V EMC Test CERT</t>
  </si>
  <si>
    <t>QPG 966GC Pre-Production</t>
  </si>
  <si>
    <t xml:space="preserve">MLIT Witness </t>
  </si>
  <si>
    <t>UPT and LPT LCP (NPI Workshop)- Machine Build</t>
  </si>
  <si>
    <t>Axle</t>
  </si>
  <si>
    <t>Tech</t>
  </si>
  <si>
    <t>Structures</t>
  </si>
  <si>
    <t>Hydraulics</t>
  </si>
  <si>
    <t>Engine/EIC</t>
  </si>
  <si>
    <t>Cooling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</si>
</sst>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E77A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33FF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4" xfId="0" applyFill="1" applyBorder="1"/>
    <xf numFmtId="0" fontId="2" fillId="2" borderId="5" xfId="0" applyFont="1" applyFill="1" applyBorder="1"/>
    <xf numFmtId="15" fontId="0" fillId="2" borderId="5" xfId="0" applyNumberFormat="1" applyFill="1" applyBorder="1" applyAlignment="1">
      <alignment horizontal="center"/>
    </xf>
    <xf numFmtId="15" fontId="0" fillId="2" borderId="6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 indent="1"/>
    </xf>
    <xf numFmtId="15" fontId="0" fillId="0" borderId="5" xfId="0" applyNumberFormat="1" applyBorder="1" applyAlignment="1">
      <alignment horizontal="center"/>
    </xf>
    <xf numFmtId="15" fontId="0" fillId="0" borderId="6" xfId="0" applyNumberFormat="1" applyBorder="1" applyAlignment="1">
      <alignment horizontal="center"/>
    </xf>
    <xf numFmtId="15" fontId="0" fillId="0" borderId="0" xfId="0" applyNumberFormat="1"/>
    <xf numFmtId="0" fontId="0" fillId="3" borderId="4" xfId="0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15" fontId="0" fillId="3" borderId="5" xfId="0" applyNumberFormat="1" applyFill="1" applyBorder="1" applyAlignment="1">
      <alignment horizontal="center"/>
    </xf>
    <xf numFmtId="15" fontId="0" fillId="3" borderId="6" xfId="0" applyNumberFormat="1" applyFill="1" applyBorder="1" applyAlignment="1">
      <alignment horizontal="center"/>
    </xf>
    <xf numFmtId="15" fontId="0" fillId="4" borderId="5" xfId="0" applyNumberFormat="1" applyFill="1" applyBorder="1" applyAlignment="1">
      <alignment horizontal="center"/>
    </xf>
    <xf numFmtId="15" fontId="0" fillId="4" borderId="6" xfId="0" applyNumberFormat="1" applyFill="1" applyBorder="1" applyAlignment="1">
      <alignment horizontal="center"/>
    </xf>
    <xf numFmtId="15" fontId="0" fillId="5" borderId="5" xfId="0" applyNumberFormat="1" applyFill="1" applyBorder="1" applyAlignment="1">
      <alignment horizontal="center"/>
    </xf>
    <xf numFmtId="15" fontId="0" fillId="5" borderId="6" xfId="0" applyNumberFormat="1" applyFill="1" applyBorder="1" applyAlignment="1">
      <alignment horizontal="center"/>
    </xf>
    <xf numFmtId="0" fontId="0" fillId="6" borderId="4" xfId="0" applyFill="1" applyBorder="1" applyAlignment="1">
      <alignment horizontal="center" vertical="center"/>
    </xf>
    <xf numFmtId="0" fontId="2" fillId="6" borderId="5" xfId="0" applyFont="1" applyFill="1" applyBorder="1" applyAlignment="1">
      <alignment horizontal="left" vertical="center"/>
    </xf>
    <xf numFmtId="15" fontId="0" fillId="6" borderId="5" xfId="0" applyNumberFormat="1" applyFill="1" applyBorder="1" applyAlignment="1">
      <alignment horizontal="center" vertical="center"/>
    </xf>
    <xf numFmtId="15" fontId="0" fillId="6" borderId="6" xfId="0" applyNumberFormat="1" applyFill="1" applyBorder="1" applyAlignment="1">
      <alignment horizontal="center" vertical="center"/>
    </xf>
    <xf numFmtId="0" fontId="0" fillId="0" borderId="7" xfId="0" applyBorder="1"/>
    <xf numFmtId="14" fontId="0" fillId="0" borderId="0" xfId="0" applyNumberFormat="1"/>
    <xf numFmtId="0" fontId="0" fillId="7" borderId="4" xfId="0" applyFill="1" applyBorder="1" applyAlignment="1">
      <alignment horizontal="center"/>
    </xf>
    <xf numFmtId="0" fontId="3" fillId="8" borderId="5" xfId="0" applyFont="1" applyFill="1" applyBorder="1" applyAlignment="1">
      <alignment horizontal="left"/>
    </xf>
    <xf numFmtId="15" fontId="0" fillId="8" borderId="5" xfId="0" applyNumberFormat="1" applyFill="1" applyBorder="1" applyAlignment="1">
      <alignment horizontal="center"/>
    </xf>
    <xf numFmtId="15" fontId="0" fillId="8" borderId="6" xfId="0" applyNumberFormat="1" applyFill="1" applyBorder="1" applyAlignment="1">
      <alignment horizontal="center"/>
    </xf>
    <xf numFmtId="0" fontId="0" fillId="0" borderId="5" xfId="0" applyBorder="1"/>
    <xf numFmtId="15" fontId="0" fillId="0" borderId="5" xfId="0" applyNumberFormat="1" applyBorder="1" applyAlignment="1">
      <alignment horizontal="center" vertical="center"/>
    </xf>
    <xf numFmtId="15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wrapText="1"/>
    </xf>
    <xf numFmtId="0" fontId="3" fillId="2" borderId="5" xfId="0" applyFont="1" applyFill="1" applyBorder="1" applyAlignment="1">
      <alignment horizontal="left"/>
    </xf>
    <xf numFmtId="0" fontId="0" fillId="7" borderId="4" xfId="0" applyFill="1" applyBorder="1"/>
    <xf numFmtId="0" fontId="3" fillId="9" borderId="5" xfId="0" applyFont="1" applyFill="1" applyBorder="1" applyAlignment="1">
      <alignment horizontal="left"/>
    </xf>
    <xf numFmtId="15" fontId="0" fillId="9" borderId="5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vertical="center"/>
    </xf>
    <xf numFmtId="15" fontId="0" fillId="0" borderId="10" xfId="0" applyNumberFormat="1" applyBorder="1" applyAlignment="1">
      <alignment horizontal="center"/>
    </xf>
    <xf numFmtId="0" fontId="3" fillId="10" borderId="5" xfId="0" applyFont="1" applyFill="1" applyBorder="1" applyAlignment="1">
      <alignment horizontal="left"/>
    </xf>
    <xf numFmtId="15" fontId="0" fillId="11" borderId="5" xfId="0" applyNumberFormat="1" applyFill="1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7" borderId="9" xfId="0" applyFill="1" applyBorder="1"/>
    <xf numFmtId="0" fontId="3" fillId="12" borderId="5" xfId="0" applyFont="1" applyFill="1" applyBorder="1" applyAlignment="1">
      <alignment horizontal="left"/>
    </xf>
    <xf numFmtId="15" fontId="0" fillId="12" borderId="5" xfId="0" applyNumberFormat="1" applyFill="1" applyBorder="1" applyAlignment="1">
      <alignment horizontal="center"/>
    </xf>
    <xf numFmtId="0" fontId="0" fillId="13" borderId="5" xfId="0" applyFill="1" applyBorder="1" applyAlignment="1">
      <alignment vertical="center"/>
    </xf>
    <xf numFmtId="0" fontId="3" fillId="14" borderId="5" xfId="0" applyFont="1" applyFill="1" applyBorder="1" applyAlignment="1">
      <alignment horizontal="left"/>
    </xf>
    <xf numFmtId="15" fontId="0" fillId="14" borderId="5" xfId="0" applyNumberFormat="1" applyFill="1" applyBorder="1" applyAlignment="1">
      <alignment horizontal="center"/>
    </xf>
    <xf numFmtId="15" fontId="0" fillId="14" borderId="6" xfId="0" applyNumberFormat="1" applyFill="1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vertical="center"/>
    </xf>
    <xf numFmtId="15" fontId="0" fillId="0" borderId="13" xfId="0" applyNumberFormat="1" applyBorder="1" applyAlignment="1">
      <alignment horizontal="center"/>
    </xf>
    <xf numFmtId="15" fontId="0" fillId="0" borderId="14" xfId="0" applyNumberFormat="1" applyBorder="1" applyAlignment="1">
      <alignment horizontal="center"/>
    </xf>
    <xf numFmtId="0" fontId="3" fillId="15" borderId="5" xfId="0" applyFont="1" applyFill="1" applyBorder="1" applyAlignment="1">
      <alignment horizontal="left"/>
    </xf>
    <xf numFmtId="15" fontId="0" fillId="12" borderId="2" xfId="0" applyNumberFormat="1" applyFill="1" applyBorder="1" applyAlignment="1">
      <alignment horizontal="center"/>
    </xf>
    <xf numFmtId="15" fontId="0" fillId="12" borderId="3" xfId="0" applyNumberFormat="1" applyFill="1" applyBorder="1" applyAlignment="1">
      <alignment horizontal="center"/>
    </xf>
    <xf numFmtId="0" fontId="3" fillId="16" borderId="5" xfId="0" applyFont="1" applyFill="1" applyBorder="1" applyAlignment="1">
      <alignment horizontal="left"/>
    </xf>
    <xf numFmtId="15" fontId="0" fillId="17" borderId="5" xfId="0" applyNumberFormat="1" applyFill="1" applyBorder="1" applyAlignment="1">
      <alignment horizontal="center"/>
    </xf>
    <xf numFmtId="15" fontId="0" fillId="17" borderId="6" xfId="0" applyNumberFormat="1" applyFill="1" applyBorder="1" applyAlignment="1">
      <alignment horizontal="center"/>
    </xf>
    <xf numFmtId="0" fontId="0" fillId="0" borderId="16" xfId="0" applyBorder="1"/>
    <xf numFmtId="0" fontId="3" fillId="18" borderId="5" xfId="0" applyFont="1" applyFill="1" applyBorder="1" applyAlignment="1">
      <alignment horizontal="left"/>
    </xf>
    <xf numFmtId="15" fontId="0" fillId="18" borderId="5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700B7-6114-4CB8-B276-0B2C5E26E6B4}">
  <dimension ref="A1:O180"/>
  <sheetViews>
    <sheetView tabSelected="1" topLeftCell="A173" workbookViewId="0">
      <selection activeCell="C179" sqref="C179"/>
    </sheetView>
  </sheetViews>
  <sheetFormatPr baseColWidth="10" defaultColWidth="8.83203125" defaultRowHeight="15" x14ac:dyDescent="0.2"/>
  <cols>
    <col min="1" max="1" width="19" customWidth="1"/>
    <col min="2" max="2" width="57.33203125" style="68" bestFit="1" customWidth="1"/>
    <col min="3" max="3" width="12.6640625" style="68" customWidth="1"/>
    <col min="4" max="4" width="13.33203125" style="68" customWidth="1"/>
    <col min="6" max="6" width="9.5" bestFit="1" customWidth="1"/>
    <col min="7" max="7" width="10" bestFit="1" customWidth="1"/>
    <col min="8" max="8" width="13.1640625" customWidth="1"/>
    <col min="9" max="9" width="9.6640625" bestFit="1" customWidth="1"/>
    <col min="14" max="14" width="12.6640625" customWidth="1"/>
    <col min="15" max="15" width="15.5" customWidth="1"/>
  </cols>
  <sheetData>
    <row r="1" spans="1:15" ht="20" x14ac:dyDescent="0.25">
      <c r="A1" s="1"/>
      <c r="B1" s="2" t="s">
        <v>0</v>
      </c>
      <c r="C1" s="2" t="s">
        <v>1</v>
      </c>
      <c r="D1" s="3" t="s">
        <v>2</v>
      </c>
    </row>
    <row r="2" spans="1:15" ht="22.75" customHeight="1" x14ac:dyDescent="0.3">
      <c r="A2" s="4"/>
      <c r="B2" s="5" t="s">
        <v>3</v>
      </c>
      <c r="C2" s="6">
        <f>MIN(C3:C16)</f>
        <v>43893</v>
      </c>
      <c r="D2" s="7">
        <f>MAX(D3:D16)</f>
        <v>44625</v>
      </c>
    </row>
    <row r="3" spans="1:15" x14ac:dyDescent="0.2">
      <c r="A3" s="72" t="s">
        <v>5</v>
      </c>
      <c r="B3" s="9" t="s">
        <v>4</v>
      </c>
      <c r="C3" s="10">
        <v>43893</v>
      </c>
      <c r="D3" s="11">
        <f>C3+2</f>
        <v>43895</v>
      </c>
    </row>
    <row r="4" spans="1:15" x14ac:dyDescent="0.2">
      <c r="A4" s="72" t="s">
        <v>5</v>
      </c>
      <c r="B4" s="9" t="s">
        <v>6</v>
      </c>
      <c r="C4" s="10">
        <v>43943</v>
      </c>
      <c r="D4" s="11">
        <f>C4+1</f>
        <v>43944</v>
      </c>
    </row>
    <row r="5" spans="1:15" x14ac:dyDescent="0.2">
      <c r="A5" s="72" t="s">
        <v>7</v>
      </c>
      <c r="B5" s="9" t="s">
        <v>8</v>
      </c>
      <c r="C5" s="10">
        <v>44024</v>
      </c>
      <c r="D5" s="11">
        <f>C5+1</f>
        <v>44025</v>
      </c>
      <c r="F5" s="12"/>
    </row>
    <row r="6" spans="1:15" x14ac:dyDescent="0.2">
      <c r="A6" s="72" t="s">
        <v>5</v>
      </c>
      <c r="B6" s="9" t="s">
        <v>9</v>
      </c>
      <c r="C6" s="10">
        <f>D33</f>
        <v>44057</v>
      </c>
      <c r="D6" s="11">
        <f>C6+1</f>
        <v>44058</v>
      </c>
      <c r="F6" s="12"/>
    </row>
    <row r="7" spans="1:15" x14ac:dyDescent="0.2">
      <c r="A7" s="72" t="s">
        <v>7</v>
      </c>
      <c r="B7" s="9" t="s">
        <v>10</v>
      </c>
      <c r="C7" s="10">
        <v>44077</v>
      </c>
      <c r="D7" s="11">
        <f>C7+2</f>
        <v>44079</v>
      </c>
    </row>
    <row r="8" spans="1:15" x14ac:dyDescent="0.2">
      <c r="A8" s="72" t="s">
        <v>5</v>
      </c>
      <c r="B8" s="9" t="s">
        <v>11</v>
      </c>
      <c r="C8" s="10">
        <v>44092</v>
      </c>
      <c r="D8" s="11">
        <f>C8+1</f>
        <v>44093</v>
      </c>
    </row>
    <row r="9" spans="1:15" x14ac:dyDescent="0.2">
      <c r="A9" s="72" t="s">
        <v>12</v>
      </c>
      <c r="B9" s="9" t="s">
        <v>13</v>
      </c>
      <c r="C9" s="10">
        <v>44102</v>
      </c>
      <c r="D9" s="11">
        <f>C9+2</f>
        <v>44104</v>
      </c>
    </row>
    <row r="10" spans="1:15" x14ac:dyDescent="0.2">
      <c r="A10" s="72" t="s">
        <v>12</v>
      </c>
      <c r="B10" s="9" t="s">
        <v>14</v>
      </c>
      <c r="C10" s="10">
        <v>44119</v>
      </c>
      <c r="D10" s="11">
        <f>C10+2</f>
        <v>44121</v>
      </c>
      <c r="F10" s="12"/>
    </row>
    <row r="11" spans="1:15" x14ac:dyDescent="0.2">
      <c r="A11" s="72" t="s">
        <v>5</v>
      </c>
      <c r="B11" s="9" t="s">
        <v>15</v>
      </c>
      <c r="C11" s="10">
        <v>44149</v>
      </c>
      <c r="D11" s="11">
        <f>C11+2</f>
        <v>44151</v>
      </c>
      <c r="F11" s="12"/>
    </row>
    <row r="12" spans="1:15" x14ac:dyDescent="0.2">
      <c r="A12" s="72" t="s">
        <v>7</v>
      </c>
      <c r="B12" s="9" t="s">
        <v>16</v>
      </c>
      <c r="C12" s="10">
        <v>44470</v>
      </c>
      <c r="D12" s="11">
        <f>C12+2</f>
        <v>44472</v>
      </c>
      <c r="F12" s="12"/>
    </row>
    <row r="13" spans="1:15" x14ac:dyDescent="0.2">
      <c r="A13" s="72" t="s">
        <v>12</v>
      </c>
      <c r="B13" s="9" t="s">
        <v>17</v>
      </c>
      <c r="C13" s="10">
        <v>44484</v>
      </c>
      <c r="D13" s="11">
        <f>C13+2</f>
        <v>44486</v>
      </c>
      <c r="F13" s="12"/>
    </row>
    <row r="14" spans="1:15" x14ac:dyDescent="0.2">
      <c r="A14" s="72" t="s">
        <v>5</v>
      </c>
      <c r="B14" s="9" t="s">
        <v>18</v>
      </c>
      <c r="C14" s="10">
        <v>44489</v>
      </c>
      <c r="D14" s="11">
        <f>C14+1</f>
        <v>44490</v>
      </c>
    </row>
    <row r="15" spans="1:15" x14ac:dyDescent="0.2">
      <c r="A15" s="72" t="s">
        <v>7</v>
      </c>
      <c r="B15" s="9" t="s">
        <v>19</v>
      </c>
      <c r="C15" s="10">
        <v>44531</v>
      </c>
      <c r="D15" s="11">
        <f>C15+2</f>
        <v>44533</v>
      </c>
    </row>
    <row r="16" spans="1:15" x14ac:dyDescent="0.2">
      <c r="A16" s="72" t="s">
        <v>5</v>
      </c>
      <c r="B16" s="9" t="s">
        <v>20</v>
      </c>
      <c r="C16" s="10">
        <v>44622</v>
      </c>
      <c r="D16" s="11">
        <f>C16+3</f>
        <v>44625</v>
      </c>
      <c r="N16" s="12"/>
      <c r="O16" s="12"/>
    </row>
    <row r="17" spans="1:14" ht="24" x14ac:dyDescent="0.3">
      <c r="A17" s="4"/>
      <c r="B17" s="5" t="s">
        <v>21</v>
      </c>
      <c r="C17" s="6">
        <f>MIN(C18:C20)</f>
        <v>43893</v>
      </c>
      <c r="D17" s="7">
        <f>MAX(D18:D20)</f>
        <v>44137</v>
      </c>
    </row>
    <row r="18" spans="1:14" x14ac:dyDescent="0.2">
      <c r="A18" s="8" t="s">
        <v>22</v>
      </c>
      <c r="B18" s="9" t="s">
        <v>23</v>
      </c>
      <c r="C18" s="10">
        <f>C3</f>
        <v>43893</v>
      </c>
      <c r="D18" s="11">
        <f>C18+2</f>
        <v>43895</v>
      </c>
      <c r="N18" s="12"/>
    </row>
    <row r="19" spans="1:14" x14ac:dyDescent="0.2">
      <c r="A19" s="8" t="s">
        <v>22</v>
      </c>
      <c r="B19" s="9" t="s">
        <v>24</v>
      </c>
      <c r="C19" s="10">
        <v>44058</v>
      </c>
      <c r="D19" s="11">
        <f>C19</f>
        <v>44058</v>
      </c>
    </row>
    <row r="20" spans="1:14" x14ac:dyDescent="0.2">
      <c r="A20" s="8" t="s">
        <v>22</v>
      </c>
      <c r="B20" s="9" t="s">
        <v>25</v>
      </c>
      <c r="C20" s="10">
        <v>44137</v>
      </c>
      <c r="D20" s="11">
        <f>C20</f>
        <v>44137</v>
      </c>
    </row>
    <row r="21" spans="1:14" ht="24" x14ac:dyDescent="0.3">
      <c r="A21" s="13"/>
      <c r="B21" s="14" t="s">
        <v>26</v>
      </c>
      <c r="C21" s="15">
        <f>MIN(C22:C29)</f>
        <v>43850</v>
      </c>
      <c r="D21" s="16">
        <f>MAX(D22:D29)</f>
        <v>44223</v>
      </c>
    </row>
    <row r="22" spans="1:14" x14ac:dyDescent="0.2">
      <c r="A22" s="8" t="s">
        <v>27</v>
      </c>
      <c r="B22" s="9" t="s">
        <v>28</v>
      </c>
      <c r="C22" s="17">
        <v>43850</v>
      </c>
      <c r="D22" s="18">
        <f>C22+1</f>
        <v>43851</v>
      </c>
    </row>
    <row r="23" spans="1:14" x14ac:dyDescent="0.2">
      <c r="A23" s="8" t="s">
        <v>27</v>
      </c>
      <c r="B23" s="9" t="s">
        <v>29</v>
      </c>
      <c r="C23" s="17">
        <v>43906</v>
      </c>
      <c r="D23" s="18">
        <f t="shared" ref="D23:D29" si="0">C23+1</f>
        <v>43907</v>
      </c>
    </row>
    <row r="24" spans="1:14" x14ac:dyDescent="0.2">
      <c r="A24" s="8" t="s">
        <v>27</v>
      </c>
      <c r="B24" s="9" t="s">
        <v>30</v>
      </c>
      <c r="C24" s="17">
        <v>44005</v>
      </c>
      <c r="D24" s="18">
        <f t="shared" si="0"/>
        <v>44006</v>
      </c>
    </row>
    <row r="25" spans="1:14" x14ac:dyDescent="0.2">
      <c r="A25" s="8" t="s">
        <v>27</v>
      </c>
      <c r="B25" s="9" t="s">
        <v>31</v>
      </c>
      <c r="C25" s="17">
        <v>44053</v>
      </c>
      <c r="D25" s="18">
        <f t="shared" si="0"/>
        <v>44054</v>
      </c>
    </row>
    <row r="26" spans="1:14" x14ac:dyDescent="0.2">
      <c r="A26" s="8" t="s">
        <v>27</v>
      </c>
      <c r="B26" s="9" t="s">
        <v>32</v>
      </c>
      <c r="C26" s="19">
        <v>44097</v>
      </c>
      <c r="D26" s="20">
        <f t="shared" si="0"/>
        <v>44098</v>
      </c>
    </row>
    <row r="27" spans="1:14" x14ac:dyDescent="0.2">
      <c r="A27" s="8" t="s">
        <v>27</v>
      </c>
      <c r="B27" s="9" t="s">
        <v>33</v>
      </c>
      <c r="C27" s="19">
        <v>44146</v>
      </c>
      <c r="D27" s="20">
        <f t="shared" si="0"/>
        <v>44147</v>
      </c>
    </row>
    <row r="28" spans="1:14" x14ac:dyDescent="0.2">
      <c r="A28" s="8" t="s">
        <v>27</v>
      </c>
      <c r="B28" s="9" t="s">
        <v>34</v>
      </c>
      <c r="C28" s="19">
        <v>44180</v>
      </c>
      <c r="D28" s="20">
        <f t="shared" si="0"/>
        <v>44181</v>
      </c>
    </row>
    <row r="29" spans="1:14" x14ac:dyDescent="0.2">
      <c r="A29" s="8" t="s">
        <v>27</v>
      </c>
      <c r="B29" s="9" t="s">
        <v>35</v>
      </c>
      <c r="C29" s="19">
        <v>44222</v>
      </c>
      <c r="D29" s="20">
        <f t="shared" si="0"/>
        <v>44223</v>
      </c>
    </row>
    <row r="30" spans="1:14" ht="24" x14ac:dyDescent="0.2">
      <c r="A30" s="21"/>
      <c r="B30" s="22" t="s">
        <v>36</v>
      </c>
      <c r="C30" s="23">
        <f>MIN(C31:C40)</f>
        <v>43920</v>
      </c>
      <c r="D30" s="24">
        <f>MAX(D31:D40)</f>
        <v>44474</v>
      </c>
    </row>
    <row r="31" spans="1:14" x14ac:dyDescent="0.2">
      <c r="A31" s="8" t="s">
        <v>37</v>
      </c>
      <c r="B31" s="25" t="s">
        <v>38</v>
      </c>
      <c r="C31" s="10">
        <v>43920</v>
      </c>
      <c r="D31" s="11">
        <f t="shared" ref="D31:D35" si="1">C31+1</f>
        <v>43921</v>
      </c>
    </row>
    <row r="32" spans="1:14" x14ac:dyDescent="0.2">
      <c r="A32" s="8" t="s">
        <v>37</v>
      </c>
      <c r="B32" s="25" t="s">
        <v>39</v>
      </c>
      <c r="C32" s="10">
        <f>D122+28</f>
        <v>44015</v>
      </c>
      <c r="D32" s="11">
        <f>C32+1</f>
        <v>44016</v>
      </c>
    </row>
    <row r="33" spans="1:10" x14ac:dyDescent="0.2">
      <c r="A33" s="8" t="s">
        <v>37</v>
      </c>
      <c r="B33" s="25" t="s">
        <v>40</v>
      </c>
      <c r="C33" s="10">
        <f>D124+23</f>
        <v>44056</v>
      </c>
      <c r="D33" s="11">
        <f t="shared" si="1"/>
        <v>44057</v>
      </c>
    </row>
    <row r="34" spans="1:10" x14ac:dyDescent="0.2">
      <c r="A34" s="8" t="s">
        <v>37</v>
      </c>
      <c r="B34" s="25" t="s">
        <v>41</v>
      </c>
      <c r="C34" s="10">
        <f>D33+2</f>
        <v>44059</v>
      </c>
      <c r="D34" s="11">
        <f t="shared" si="1"/>
        <v>44060</v>
      </c>
      <c r="H34" s="26"/>
      <c r="I34" s="26"/>
    </row>
    <row r="35" spans="1:10" x14ac:dyDescent="0.2">
      <c r="A35" s="8" t="s">
        <v>37</v>
      </c>
      <c r="B35" s="25" t="s">
        <v>42</v>
      </c>
      <c r="C35" s="10">
        <v>44067</v>
      </c>
      <c r="D35" s="11">
        <f t="shared" si="1"/>
        <v>44068</v>
      </c>
    </row>
    <row r="36" spans="1:10" x14ac:dyDescent="0.2">
      <c r="A36" s="8" t="s">
        <v>43</v>
      </c>
      <c r="B36" s="25" t="s">
        <v>44</v>
      </c>
      <c r="C36" s="10">
        <v>44311</v>
      </c>
      <c r="D36" s="11">
        <f>C36+2</f>
        <v>44313</v>
      </c>
    </row>
    <row r="37" spans="1:10" x14ac:dyDescent="0.2">
      <c r="A37" s="8" t="s">
        <v>43</v>
      </c>
      <c r="B37" s="25" t="s">
        <v>45</v>
      </c>
      <c r="C37" s="10">
        <v>44332</v>
      </c>
      <c r="D37" s="11">
        <f>C37+1</f>
        <v>44333</v>
      </c>
    </row>
    <row r="38" spans="1:10" x14ac:dyDescent="0.2">
      <c r="A38" s="8" t="s">
        <v>43</v>
      </c>
      <c r="B38" s="25" t="s">
        <v>46</v>
      </c>
      <c r="C38" s="10">
        <v>44341</v>
      </c>
      <c r="D38" s="11">
        <f>C38+1</f>
        <v>44342</v>
      </c>
    </row>
    <row r="39" spans="1:10" x14ac:dyDescent="0.2">
      <c r="A39" s="8" t="s">
        <v>43</v>
      </c>
      <c r="B39" s="25" t="s">
        <v>47</v>
      </c>
      <c r="C39" s="10">
        <v>44430</v>
      </c>
      <c r="D39" s="11">
        <f>C39+1</f>
        <v>44431</v>
      </c>
    </row>
    <row r="40" spans="1:10" x14ac:dyDescent="0.2">
      <c r="A40" s="8" t="s">
        <v>43</v>
      </c>
      <c r="B40" s="25" t="s">
        <v>48</v>
      </c>
      <c r="C40" s="10">
        <f>D170+60</f>
        <v>44473</v>
      </c>
      <c r="D40" s="11">
        <f>C40+1</f>
        <v>44474</v>
      </c>
    </row>
    <row r="41" spans="1:10" ht="20" x14ac:dyDescent="0.2">
      <c r="A41" s="27"/>
      <c r="B41" s="28" t="s">
        <v>49</v>
      </c>
      <c r="C41" s="29">
        <f>MIN(C42:C49)</f>
        <v>43789</v>
      </c>
      <c r="D41" s="30">
        <f>MAX(D42:D49)</f>
        <v>44178</v>
      </c>
    </row>
    <row r="42" spans="1:10" x14ac:dyDescent="0.2">
      <c r="A42" s="73" t="s">
        <v>51</v>
      </c>
      <c r="B42" s="31" t="s">
        <v>50</v>
      </c>
      <c r="C42" s="32">
        <v>43789</v>
      </c>
      <c r="D42" s="33">
        <v>43814</v>
      </c>
    </row>
    <row r="43" spans="1:10" x14ac:dyDescent="0.2">
      <c r="A43" s="73" t="s">
        <v>51</v>
      </c>
      <c r="B43" s="31" t="s">
        <v>52</v>
      </c>
      <c r="C43" s="32">
        <v>43836</v>
      </c>
      <c r="D43" s="33">
        <v>43889</v>
      </c>
    </row>
    <row r="44" spans="1:10" x14ac:dyDescent="0.2">
      <c r="A44" s="73" t="s">
        <v>51</v>
      </c>
      <c r="B44" s="31" t="s">
        <v>54</v>
      </c>
      <c r="C44" s="32">
        <v>44053</v>
      </c>
      <c r="D44" s="32">
        <f>WORKDAY(C44,19)</f>
        <v>44078</v>
      </c>
    </row>
    <row r="45" spans="1:10" x14ac:dyDescent="0.2">
      <c r="A45" s="73" t="s">
        <v>51</v>
      </c>
      <c r="B45" s="31" t="s">
        <v>55</v>
      </c>
      <c r="C45" s="32">
        <f>D44+1</f>
        <v>44079</v>
      </c>
      <c r="D45" s="32">
        <f>C45+3</f>
        <v>44082</v>
      </c>
    </row>
    <row r="46" spans="1:10" ht="16" x14ac:dyDescent="0.2">
      <c r="A46" s="34" t="s">
        <v>51</v>
      </c>
      <c r="B46" s="35" t="s">
        <v>56</v>
      </c>
      <c r="C46" s="32">
        <v>44094</v>
      </c>
      <c r="D46" s="32">
        <f>WORKDAY(C46,1)</f>
        <v>44095</v>
      </c>
      <c r="I46" s="12"/>
      <c r="J46" s="12"/>
    </row>
    <row r="47" spans="1:10" x14ac:dyDescent="0.2">
      <c r="A47" s="73" t="s">
        <v>51</v>
      </c>
      <c r="B47" s="31" t="s">
        <v>57</v>
      </c>
      <c r="C47" s="32">
        <f>D45+16</f>
        <v>44098</v>
      </c>
      <c r="D47" s="32">
        <f>C47+24</f>
        <v>44122</v>
      </c>
    </row>
    <row r="48" spans="1:10" x14ac:dyDescent="0.2">
      <c r="A48" s="73" t="s">
        <v>51</v>
      </c>
      <c r="B48" s="31" t="s">
        <v>58</v>
      </c>
      <c r="C48" s="32">
        <f>D47+1</f>
        <v>44123</v>
      </c>
      <c r="D48" s="32">
        <f>C48+34</f>
        <v>44157</v>
      </c>
    </row>
    <row r="49" spans="1:4" x14ac:dyDescent="0.2">
      <c r="A49" s="73" t="s">
        <v>51</v>
      </c>
      <c r="B49" s="31" t="s">
        <v>59</v>
      </c>
      <c r="C49" s="32">
        <f>D48+1</f>
        <v>44158</v>
      </c>
      <c r="D49" s="32">
        <f>C49+20</f>
        <v>44178</v>
      </c>
    </row>
    <row r="50" spans="1:4" ht="20" x14ac:dyDescent="0.2">
      <c r="A50" s="27"/>
      <c r="B50" s="36" t="s">
        <v>60</v>
      </c>
      <c r="C50" s="6">
        <f>MIN(C51:C54)</f>
        <v>43966</v>
      </c>
      <c r="D50" s="7">
        <f>MAX(D51:D54)</f>
        <v>44256</v>
      </c>
    </row>
    <row r="51" spans="1:4" x14ac:dyDescent="0.2">
      <c r="A51" s="8" t="s">
        <v>168</v>
      </c>
      <c r="B51" s="31" t="s">
        <v>61</v>
      </c>
      <c r="C51" s="32">
        <v>43966</v>
      </c>
      <c r="D51" s="32">
        <v>44042</v>
      </c>
    </row>
    <row r="52" spans="1:4" x14ac:dyDescent="0.2">
      <c r="A52" s="8" t="s">
        <v>168</v>
      </c>
      <c r="B52" s="31" t="s">
        <v>62</v>
      </c>
      <c r="C52" s="32">
        <f>WORKDAY(D51,10)</f>
        <v>44056</v>
      </c>
      <c r="D52" s="32">
        <f>WORKDAY(C52,55)</f>
        <v>44133</v>
      </c>
    </row>
    <row r="53" spans="1:4" x14ac:dyDescent="0.2">
      <c r="A53" s="8" t="s">
        <v>168</v>
      </c>
      <c r="B53" s="31" t="s">
        <v>63</v>
      </c>
      <c r="C53" s="32">
        <f>WORKDAY(D52,2)</f>
        <v>44137</v>
      </c>
      <c r="D53" s="32">
        <f>WORKDAY(C53,53)</f>
        <v>44210</v>
      </c>
    </row>
    <row r="54" spans="1:4" ht="16.25" customHeight="1" x14ac:dyDescent="0.2">
      <c r="A54" s="8" t="s">
        <v>168</v>
      </c>
      <c r="B54" s="31" t="s">
        <v>64</v>
      </c>
      <c r="C54" s="32">
        <f>WORKDAY(D53,1)</f>
        <v>44211</v>
      </c>
      <c r="D54" s="32">
        <f>WORKDAY(C54,31)</f>
        <v>44256</v>
      </c>
    </row>
    <row r="55" spans="1:4" ht="20" x14ac:dyDescent="0.2">
      <c r="A55" s="37"/>
      <c r="B55" s="38" t="s">
        <v>65</v>
      </c>
      <c r="C55" s="39">
        <f>MIN(C56:C72)</f>
        <v>43962</v>
      </c>
      <c r="D55" s="39">
        <f>MAX(D56:D72)</f>
        <v>44401</v>
      </c>
    </row>
    <row r="56" spans="1:4" x14ac:dyDescent="0.2">
      <c r="A56" s="76" t="s">
        <v>169</v>
      </c>
      <c r="B56" s="40" t="s">
        <v>66</v>
      </c>
      <c r="C56" s="41">
        <v>43962</v>
      </c>
      <c r="D56" s="41">
        <f>C56+120</f>
        <v>44082</v>
      </c>
    </row>
    <row r="57" spans="1:4" x14ac:dyDescent="0.2">
      <c r="A57" s="77" t="s">
        <v>67</v>
      </c>
      <c r="B57" s="42" t="s">
        <v>67</v>
      </c>
      <c r="C57" s="10">
        <f>C10+1</f>
        <v>44120</v>
      </c>
      <c r="D57" s="32">
        <f>WORKDAY(C57,3)</f>
        <v>44125</v>
      </c>
    </row>
    <row r="58" spans="1:4" x14ac:dyDescent="0.2">
      <c r="A58" s="78" t="s">
        <v>170</v>
      </c>
      <c r="B58" s="43" t="s">
        <v>68</v>
      </c>
      <c r="C58" s="32">
        <f>D57+1</f>
        <v>44126</v>
      </c>
      <c r="D58" s="32">
        <f>WORKDAY(C58,22)</f>
        <v>44158</v>
      </c>
    </row>
    <row r="59" spans="1:4" x14ac:dyDescent="0.2">
      <c r="A59" s="79" t="s">
        <v>69</v>
      </c>
      <c r="B59" s="43" t="s">
        <v>70</v>
      </c>
      <c r="C59" s="32">
        <f>D58+1</f>
        <v>44159</v>
      </c>
      <c r="D59" s="32">
        <f>C59+6</f>
        <v>44165</v>
      </c>
    </row>
    <row r="60" spans="1:4" x14ac:dyDescent="0.2">
      <c r="A60" s="79" t="s">
        <v>170</v>
      </c>
      <c r="B60" s="43" t="s">
        <v>71</v>
      </c>
      <c r="C60" s="32">
        <f>D59+1</f>
        <v>44166</v>
      </c>
      <c r="D60" s="32">
        <f>C60+12</f>
        <v>44178</v>
      </c>
    </row>
    <row r="61" spans="1:4" x14ac:dyDescent="0.2">
      <c r="A61" s="79" t="s">
        <v>72</v>
      </c>
      <c r="B61" s="43" t="s">
        <v>73</v>
      </c>
      <c r="C61" s="32">
        <f>D60+1</f>
        <v>44179</v>
      </c>
      <c r="D61" s="32">
        <f>WORKDAY(C61,6)</f>
        <v>44187</v>
      </c>
    </row>
    <row r="62" spans="1:4" x14ac:dyDescent="0.2">
      <c r="A62" s="75" t="s">
        <v>53</v>
      </c>
      <c r="B62" s="43" t="s">
        <v>74</v>
      </c>
      <c r="C62" s="32">
        <v>44247</v>
      </c>
      <c r="D62" s="32">
        <f>WORKDAY(C62,9)</f>
        <v>44259</v>
      </c>
    </row>
    <row r="63" spans="1:4" x14ac:dyDescent="0.2">
      <c r="A63" s="80" t="s">
        <v>75</v>
      </c>
      <c r="B63" s="43" t="s">
        <v>76</v>
      </c>
      <c r="C63" s="10">
        <f>D62+3</f>
        <v>44262</v>
      </c>
      <c r="D63" s="32">
        <f>WORKDAY(C63,4)</f>
        <v>44266</v>
      </c>
    </row>
    <row r="64" spans="1:4" x14ac:dyDescent="0.2">
      <c r="A64" s="74" t="s">
        <v>72</v>
      </c>
      <c r="B64" s="31" t="s">
        <v>77</v>
      </c>
      <c r="C64" s="10">
        <f>D63+1</f>
        <v>44267</v>
      </c>
      <c r="D64" s="11">
        <f>C64+14</f>
        <v>44281</v>
      </c>
    </row>
    <row r="65" spans="1:4" x14ac:dyDescent="0.2">
      <c r="A65" s="74" t="s">
        <v>72</v>
      </c>
      <c r="B65" s="31" t="s">
        <v>78</v>
      </c>
      <c r="C65" s="10">
        <f>D64+1</f>
        <v>44282</v>
      </c>
      <c r="D65" s="11">
        <f>C65+14</f>
        <v>44296</v>
      </c>
    </row>
    <row r="66" spans="1:4" x14ac:dyDescent="0.2">
      <c r="A66" s="74" t="s">
        <v>72</v>
      </c>
      <c r="B66" s="31" t="s">
        <v>79</v>
      </c>
      <c r="C66" s="10">
        <f t="shared" ref="C66:C71" si="2">D65+1</f>
        <v>44297</v>
      </c>
      <c r="D66" s="11">
        <f t="shared" ref="D66:D72" si="3">C66+14</f>
        <v>44311</v>
      </c>
    </row>
    <row r="67" spans="1:4" x14ac:dyDescent="0.2">
      <c r="A67" s="74" t="s">
        <v>72</v>
      </c>
      <c r="B67" s="31" t="s">
        <v>80</v>
      </c>
      <c r="C67" s="10">
        <f t="shared" si="2"/>
        <v>44312</v>
      </c>
      <c r="D67" s="11">
        <f t="shared" si="3"/>
        <v>44326</v>
      </c>
    </row>
    <row r="68" spans="1:4" x14ac:dyDescent="0.2">
      <c r="A68" s="74" t="s">
        <v>72</v>
      </c>
      <c r="B68" s="31" t="s">
        <v>81</v>
      </c>
      <c r="C68" s="10">
        <f t="shared" si="2"/>
        <v>44327</v>
      </c>
      <c r="D68" s="11">
        <f t="shared" si="3"/>
        <v>44341</v>
      </c>
    </row>
    <row r="69" spans="1:4" x14ac:dyDescent="0.2">
      <c r="A69" s="74" t="s">
        <v>72</v>
      </c>
      <c r="B69" s="31" t="s">
        <v>82</v>
      </c>
      <c r="C69" s="10">
        <f t="shared" si="2"/>
        <v>44342</v>
      </c>
      <c r="D69" s="11">
        <f t="shared" si="3"/>
        <v>44356</v>
      </c>
    </row>
    <row r="70" spans="1:4" x14ac:dyDescent="0.2">
      <c r="A70" s="74" t="s">
        <v>72</v>
      </c>
      <c r="B70" s="31" t="s">
        <v>83</v>
      </c>
      <c r="C70" s="10">
        <f t="shared" si="2"/>
        <v>44357</v>
      </c>
      <c r="D70" s="11">
        <f t="shared" si="3"/>
        <v>44371</v>
      </c>
    </row>
    <row r="71" spans="1:4" x14ac:dyDescent="0.2">
      <c r="A71" s="74" t="s">
        <v>72</v>
      </c>
      <c r="B71" s="31" t="s">
        <v>84</v>
      </c>
      <c r="C71" s="10">
        <f t="shared" si="2"/>
        <v>44372</v>
      </c>
      <c r="D71" s="11">
        <f t="shared" si="3"/>
        <v>44386</v>
      </c>
    </row>
    <row r="72" spans="1:4" x14ac:dyDescent="0.2">
      <c r="A72" s="74" t="s">
        <v>85</v>
      </c>
      <c r="B72" s="31" t="s">
        <v>86</v>
      </c>
      <c r="C72" s="10">
        <f>D71+1</f>
        <v>44387</v>
      </c>
      <c r="D72" s="44">
        <f t="shared" si="3"/>
        <v>44401</v>
      </c>
    </row>
    <row r="73" spans="1:4" ht="20" x14ac:dyDescent="0.2">
      <c r="A73" s="27"/>
      <c r="B73" s="45" t="s">
        <v>87</v>
      </c>
      <c r="C73" s="46">
        <f>MIN(C74:C75)</f>
        <v>43866</v>
      </c>
      <c r="D73" s="46">
        <f>MAX(D74:D75)</f>
        <v>43984</v>
      </c>
    </row>
    <row r="74" spans="1:4" ht="16" x14ac:dyDescent="0.2">
      <c r="A74" s="70" t="s">
        <v>88</v>
      </c>
      <c r="B74" s="47" t="s">
        <v>89</v>
      </c>
      <c r="C74" s="32">
        <v>43866</v>
      </c>
      <c r="D74" s="32">
        <f>WORKDAY(C74,5)</f>
        <v>43873</v>
      </c>
    </row>
    <row r="75" spans="1:4" ht="16" x14ac:dyDescent="0.2">
      <c r="A75" s="70" t="s">
        <v>171</v>
      </c>
      <c r="B75" s="47" t="s">
        <v>90</v>
      </c>
      <c r="C75" s="32">
        <v>43944</v>
      </c>
      <c r="D75" s="32">
        <f>C75+40</f>
        <v>43984</v>
      </c>
    </row>
    <row r="76" spans="1:4" ht="20" x14ac:dyDescent="0.2">
      <c r="A76" s="48"/>
      <c r="B76" s="49" t="s">
        <v>91</v>
      </c>
      <c r="C76" s="50">
        <f>MIN(C77:C109)</f>
        <v>43836</v>
      </c>
      <c r="D76" s="50">
        <f>MAX(D77:D109)</f>
        <v>44341</v>
      </c>
    </row>
    <row r="77" spans="1:4" x14ac:dyDescent="0.2">
      <c r="A77" s="83" t="s">
        <v>53</v>
      </c>
      <c r="B77" s="51" t="s">
        <v>93</v>
      </c>
      <c r="C77" s="32">
        <v>43836</v>
      </c>
      <c r="D77" s="32">
        <f>WORKDAY(C77,2)</f>
        <v>43838</v>
      </c>
    </row>
    <row r="78" spans="1:4" x14ac:dyDescent="0.2">
      <c r="A78" s="83" t="s">
        <v>53</v>
      </c>
      <c r="B78" s="51" t="s">
        <v>94</v>
      </c>
      <c r="C78" s="32">
        <f>WORKDAY(D77,3)</f>
        <v>43843</v>
      </c>
      <c r="D78" s="32">
        <f>WORKDAY(C78,35)</f>
        <v>43892</v>
      </c>
    </row>
    <row r="79" spans="1:4" x14ac:dyDescent="0.2">
      <c r="A79" s="83" t="s">
        <v>108</v>
      </c>
      <c r="B79" s="51" t="s">
        <v>95</v>
      </c>
      <c r="C79" s="32">
        <f>WORKDAY(D78,1)</f>
        <v>43893</v>
      </c>
      <c r="D79" s="32">
        <f>WORKDAY(C79,5)</f>
        <v>43900</v>
      </c>
    </row>
    <row r="80" spans="1:4" x14ac:dyDescent="0.2">
      <c r="A80" s="83" t="s">
        <v>92</v>
      </c>
      <c r="B80" s="51" t="s">
        <v>96</v>
      </c>
      <c r="C80" s="32">
        <f>WORKDAY(D79,2)</f>
        <v>43902</v>
      </c>
      <c r="D80" s="32">
        <f>WORKDAY(C80,2)</f>
        <v>43906</v>
      </c>
    </row>
    <row r="81" spans="1:4" x14ac:dyDescent="0.2">
      <c r="A81" s="83" t="s">
        <v>75</v>
      </c>
      <c r="B81" s="43" t="s">
        <v>97</v>
      </c>
      <c r="C81" s="32">
        <f>WORKDAY(D80,5)</f>
        <v>43913</v>
      </c>
      <c r="D81" s="32">
        <f>WORKDAY(C81,4)</f>
        <v>43917</v>
      </c>
    </row>
    <row r="82" spans="1:4" x14ac:dyDescent="0.2">
      <c r="A82" s="83" t="s">
        <v>27</v>
      </c>
      <c r="B82" s="43" t="s">
        <v>98</v>
      </c>
      <c r="C82" s="32">
        <f>WORKDAY(D81,21)</f>
        <v>43948</v>
      </c>
      <c r="D82" s="32">
        <f>WORKDAY(C82,12)</f>
        <v>43964</v>
      </c>
    </row>
    <row r="83" spans="1:4" x14ac:dyDescent="0.2">
      <c r="A83" s="83" t="s">
        <v>99</v>
      </c>
      <c r="B83" s="43" t="s">
        <v>100</v>
      </c>
      <c r="C83" s="32">
        <f>WORKDAY(D82,1)</f>
        <v>43965</v>
      </c>
      <c r="D83" s="32">
        <f>WORKDAY(C83,7)</f>
        <v>43976</v>
      </c>
    </row>
    <row r="84" spans="1:4" x14ac:dyDescent="0.2">
      <c r="A84" s="83" t="s">
        <v>101</v>
      </c>
      <c r="B84" s="43" t="s">
        <v>102</v>
      </c>
      <c r="C84" s="32">
        <f>WORKDAY(D83,1)</f>
        <v>43977</v>
      </c>
      <c r="D84" s="32">
        <f>WORKDAY(C84,5)</f>
        <v>43984</v>
      </c>
    </row>
    <row r="85" spans="1:4" x14ac:dyDescent="0.2">
      <c r="A85" s="84" t="s">
        <v>172</v>
      </c>
      <c r="B85" s="43" t="s">
        <v>103</v>
      </c>
      <c r="C85" s="32">
        <f>WORKDAY(D84,2)</f>
        <v>43986</v>
      </c>
      <c r="D85" s="32">
        <f>WORKDAY(C85,1)</f>
        <v>43987</v>
      </c>
    </row>
    <row r="86" spans="1:4" x14ac:dyDescent="0.2">
      <c r="A86" s="84" t="s">
        <v>104</v>
      </c>
      <c r="B86" s="43" t="s">
        <v>105</v>
      </c>
      <c r="C86" s="32">
        <f t="shared" ref="C86:C87" si="4">WORKDAY(D85,1)</f>
        <v>43990</v>
      </c>
      <c r="D86" s="32">
        <f>WORKDAY(C86,4)</f>
        <v>43994</v>
      </c>
    </row>
    <row r="87" spans="1:4" x14ac:dyDescent="0.2">
      <c r="A87" s="84" t="s">
        <v>99</v>
      </c>
      <c r="B87" s="43" t="s">
        <v>106</v>
      </c>
      <c r="C87" s="32">
        <f t="shared" si="4"/>
        <v>43997</v>
      </c>
      <c r="D87" s="32">
        <f>WORKDAY(C87,3)</f>
        <v>44000</v>
      </c>
    </row>
    <row r="88" spans="1:4" x14ac:dyDescent="0.2">
      <c r="A88" s="83" t="s">
        <v>99</v>
      </c>
      <c r="B88" s="43" t="s">
        <v>107</v>
      </c>
      <c r="C88" s="32">
        <f>WORKDAY(D87,1)</f>
        <v>44001</v>
      </c>
      <c r="D88" s="32">
        <f>WORKDAY(C88,13)</f>
        <v>44020</v>
      </c>
    </row>
    <row r="89" spans="1:4" x14ac:dyDescent="0.2">
      <c r="A89" s="83" t="s">
        <v>108</v>
      </c>
      <c r="B89" s="43" t="s">
        <v>109</v>
      </c>
      <c r="C89" s="32">
        <f>WORKDAY(D88,2)</f>
        <v>44022</v>
      </c>
      <c r="D89" s="32">
        <f>WORKDAY(C89,6)</f>
        <v>44032</v>
      </c>
    </row>
    <row r="90" spans="1:4" x14ac:dyDescent="0.2">
      <c r="A90" s="83" t="s">
        <v>110</v>
      </c>
      <c r="B90" s="43" t="s">
        <v>111</v>
      </c>
      <c r="C90" s="32">
        <f>WORKDAY(D89,1)</f>
        <v>44033</v>
      </c>
      <c r="D90" s="32">
        <f>WORKDAY(C90,2)</f>
        <v>44035</v>
      </c>
    </row>
    <row r="91" spans="1:4" x14ac:dyDescent="0.2">
      <c r="A91" s="83" t="s">
        <v>173</v>
      </c>
      <c r="B91" s="43" t="s">
        <v>112</v>
      </c>
      <c r="C91" s="32">
        <f>WORKDAY(D90,1)</f>
        <v>44036</v>
      </c>
      <c r="D91" s="32">
        <f>WORKDAY(C91,7)</f>
        <v>44047</v>
      </c>
    </row>
    <row r="92" spans="1:4" x14ac:dyDescent="0.2">
      <c r="A92" s="83" t="s">
        <v>173</v>
      </c>
      <c r="B92" s="43" t="s">
        <v>113</v>
      </c>
      <c r="C92" s="32">
        <f t="shared" ref="C92" si="5">WORKDAY(D91,1)</f>
        <v>44048</v>
      </c>
      <c r="D92" s="32">
        <f>WORKDAY(C92,39)</f>
        <v>44103</v>
      </c>
    </row>
    <row r="93" spans="1:4" x14ac:dyDescent="0.2">
      <c r="A93" s="83" t="s">
        <v>27</v>
      </c>
      <c r="B93" s="43" t="s">
        <v>114</v>
      </c>
      <c r="C93" s="32">
        <f>WORKDAY(C25,19)+26</f>
        <v>44104</v>
      </c>
      <c r="D93" s="32">
        <f>WORKDAY(C93,1)</f>
        <v>44105</v>
      </c>
    </row>
    <row r="94" spans="1:4" x14ac:dyDescent="0.2">
      <c r="A94" s="81" t="s">
        <v>53</v>
      </c>
      <c r="B94" s="43" t="s">
        <v>67</v>
      </c>
      <c r="C94" s="32">
        <f>D9+2</f>
        <v>44106</v>
      </c>
      <c r="D94" s="32">
        <f>WORKDAY(C94,3)</f>
        <v>44111</v>
      </c>
    </row>
    <row r="95" spans="1:4" x14ac:dyDescent="0.2">
      <c r="A95" s="82" t="s">
        <v>170</v>
      </c>
      <c r="B95" s="43" t="s">
        <v>115</v>
      </c>
      <c r="C95" s="32">
        <f>D94+1</f>
        <v>44112</v>
      </c>
      <c r="D95" s="32">
        <f>WORKDAY(C95,37)</f>
        <v>44165</v>
      </c>
    </row>
    <row r="96" spans="1:4" x14ac:dyDescent="0.2">
      <c r="A96" s="82" t="s">
        <v>69</v>
      </c>
      <c r="B96" s="42" t="s">
        <v>70</v>
      </c>
      <c r="C96" s="10">
        <f>D95+1</f>
        <v>44166</v>
      </c>
      <c r="D96" s="32">
        <f>WORKDAY(C96,4)</f>
        <v>44172</v>
      </c>
    </row>
    <row r="97" spans="1:4" x14ac:dyDescent="0.2">
      <c r="A97" s="82" t="s">
        <v>170</v>
      </c>
      <c r="B97" s="42" t="s">
        <v>116</v>
      </c>
      <c r="C97" s="10">
        <f>D96+1</f>
        <v>44173</v>
      </c>
      <c r="D97" s="32">
        <f>WORKDAY(C97,4)</f>
        <v>44179</v>
      </c>
    </row>
    <row r="98" spans="1:4" x14ac:dyDescent="0.2">
      <c r="A98" s="83" t="s">
        <v>27</v>
      </c>
      <c r="B98" s="43" t="s">
        <v>117</v>
      </c>
      <c r="C98" s="32">
        <f>WORKDAY(C27,0)+34</f>
        <v>44180</v>
      </c>
      <c r="D98" s="32">
        <f>WORKDAY(C98,1)</f>
        <v>44181</v>
      </c>
    </row>
    <row r="99" spans="1:4" x14ac:dyDescent="0.2">
      <c r="A99" s="83" t="s">
        <v>172</v>
      </c>
      <c r="B99" s="43" t="s">
        <v>118</v>
      </c>
      <c r="C99" s="32">
        <f>WORKDAY(D98,1)</f>
        <v>44182</v>
      </c>
      <c r="D99" s="32">
        <f>WORKDAY(C99,1)</f>
        <v>44183</v>
      </c>
    </row>
    <row r="100" spans="1:4" x14ac:dyDescent="0.2">
      <c r="A100" s="83" t="s">
        <v>172</v>
      </c>
      <c r="B100" s="43" t="s">
        <v>119</v>
      </c>
      <c r="C100" s="32">
        <f>WORKDAY(D99,1)</f>
        <v>44186</v>
      </c>
      <c r="D100" s="32">
        <f>WORKDAY(C100,1)</f>
        <v>44187</v>
      </c>
    </row>
    <row r="101" spans="1:4" x14ac:dyDescent="0.2">
      <c r="A101" s="82" t="s">
        <v>69</v>
      </c>
      <c r="B101" s="42" t="s">
        <v>120</v>
      </c>
      <c r="C101" s="10">
        <f>D100+1</f>
        <v>44188</v>
      </c>
      <c r="D101" s="32">
        <f>WORKDAY(C101,8)</f>
        <v>44200</v>
      </c>
    </row>
    <row r="102" spans="1:4" x14ac:dyDescent="0.2">
      <c r="A102" s="83" t="s">
        <v>172</v>
      </c>
      <c r="B102" s="43" t="s">
        <v>121</v>
      </c>
      <c r="C102" s="32">
        <f>WORKDAY(D101,1)</f>
        <v>44201</v>
      </c>
      <c r="D102" s="32">
        <f>WORKDAY(C102,1)</f>
        <v>44202</v>
      </c>
    </row>
    <row r="103" spans="1:4" x14ac:dyDescent="0.2">
      <c r="A103" s="83" t="s">
        <v>172</v>
      </c>
      <c r="B103" s="43" t="s">
        <v>122</v>
      </c>
      <c r="C103" s="32">
        <f>WORKDAY(D102,1)</f>
        <v>44203</v>
      </c>
      <c r="D103" s="32">
        <f>C103+14</f>
        <v>44217</v>
      </c>
    </row>
    <row r="104" spans="1:4" ht="15.5" customHeight="1" x14ac:dyDescent="0.2">
      <c r="A104" s="83" t="s">
        <v>108</v>
      </c>
      <c r="B104" s="43" t="s">
        <v>123</v>
      </c>
      <c r="C104" s="32">
        <f>WORKDAY(D103,1)</f>
        <v>44218</v>
      </c>
      <c r="D104" s="32">
        <f>WORKDAY(C104,5)</f>
        <v>44225</v>
      </c>
    </row>
    <row r="105" spans="1:4" x14ac:dyDescent="0.2">
      <c r="A105" s="83" t="s">
        <v>99</v>
      </c>
      <c r="B105" s="43" t="s">
        <v>124</v>
      </c>
      <c r="C105" s="32">
        <f>WORKDAY(D104,1)</f>
        <v>44228</v>
      </c>
      <c r="D105" s="32">
        <f>WORKDAY(C105,5)</f>
        <v>44235</v>
      </c>
    </row>
    <row r="106" spans="1:4" x14ac:dyDescent="0.2">
      <c r="A106" s="83" t="s">
        <v>27</v>
      </c>
      <c r="B106" s="43" t="s">
        <v>125</v>
      </c>
      <c r="C106" s="32">
        <f>WORKDAY(C29,10)</f>
        <v>44236</v>
      </c>
      <c r="D106" s="32">
        <f>WORKDAY(C106,12)</f>
        <v>44252</v>
      </c>
    </row>
    <row r="107" spans="1:4" x14ac:dyDescent="0.2">
      <c r="A107" s="83" t="s">
        <v>172</v>
      </c>
      <c r="B107" s="43" t="s">
        <v>126</v>
      </c>
      <c r="C107" s="32">
        <f>WORKDAY(D106,3)</f>
        <v>44257</v>
      </c>
      <c r="D107" s="32">
        <f>WORKDAY(C107,3)</f>
        <v>44260</v>
      </c>
    </row>
    <row r="108" spans="1:4" x14ac:dyDescent="0.2">
      <c r="A108" s="83" t="s">
        <v>170</v>
      </c>
      <c r="B108" s="43" t="s">
        <v>127</v>
      </c>
      <c r="C108" s="32">
        <f>WORKDAY(D107,4)</f>
        <v>44266</v>
      </c>
      <c r="D108" s="32">
        <f>WORKDAY(C108,35)</f>
        <v>44315</v>
      </c>
    </row>
    <row r="109" spans="1:4" ht="12.5" customHeight="1" x14ac:dyDescent="0.2">
      <c r="A109" s="83" t="s">
        <v>108</v>
      </c>
      <c r="B109" s="43" t="s">
        <v>128</v>
      </c>
      <c r="C109" s="32">
        <f>WORKDAY(D108,5)</f>
        <v>44322</v>
      </c>
      <c r="D109" s="32">
        <f>WORKDAY(C109,13)</f>
        <v>44341</v>
      </c>
    </row>
    <row r="110" spans="1:4" ht="20" x14ac:dyDescent="0.2">
      <c r="A110" s="27"/>
      <c r="B110" s="52" t="s">
        <v>129</v>
      </c>
      <c r="C110" s="53">
        <f>MIN(C111:C136)</f>
        <v>43800</v>
      </c>
      <c r="D110" s="54">
        <f>MAX(D111:D136)</f>
        <v>44378</v>
      </c>
    </row>
    <row r="111" spans="1:4" x14ac:dyDescent="0.2">
      <c r="A111" s="86" t="s">
        <v>53</v>
      </c>
      <c r="B111" s="55" t="s">
        <v>130</v>
      </c>
      <c r="C111" s="32">
        <v>43800</v>
      </c>
      <c r="D111" s="32">
        <f>C111+28</f>
        <v>43828</v>
      </c>
    </row>
    <row r="112" spans="1:4" x14ac:dyDescent="0.2">
      <c r="A112" s="86" t="s">
        <v>69</v>
      </c>
      <c r="B112" s="56" t="s">
        <v>131</v>
      </c>
      <c r="C112" s="32">
        <v>43854</v>
      </c>
      <c r="D112" s="32">
        <f>WORKDAY(C112,5)</f>
        <v>43861</v>
      </c>
    </row>
    <row r="113" spans="1:4" x14ac:dyDescent="0.2">
      <c r="A113" s="86" t="s">
        <v>99</v>
      </c>
      <c r="B113" s="56" t="s">
        <v>132</v>
      </c>
      <c r="C113" s="32">
        <f>WORKDAY(D112,8)</f>
        <v>43873</v>
      </c>
      <c r="D113" s="32">
        <f>WORKDAY(C113,9)</f>
        <v>43886</v>
      </c>
    </row>
    <row r="114" spans="1:4" x14ac:dyDescent="0.2">
      <c r="A114" s="86" t="s">
        <v>75</v>
      </c>
      <c r="B114" s="55" t="s">
        <v>97</v>
      </c>
      <c r="C114" s="32">
        <f>D113+1</f>
        <v>43887</v>
      </c>
      <c r="D114" s="32">
        <f>WORKDAY(C114,9)</f>
        <v>43900</v>
      </c>
    </row>
    <row r="115" spans="1:4" x14ac:dyDescent="0.2">
      <c r="A115" s="88" t="s">
        <v>101</v>
      </c>
      <c r="B115" s="43" t="s">
        <v>133</v>
      </c>
      <c r="C115" s="32">
        <f t="shared" ref="C115" si="6">WORKDAY(D114,1)</f>
        <v>43901</v>
      </c>
      <c r="D115" s="32">
        <f>WORKDAY(C115,1)</f>
        <v>43902</v>
      </c>
    </row>
    <row r="116" spans="1:4" ht="15" customHeight="1" x14ac:dyDescent="0.2">
      <c r="A116" s="89" t="s">
        <v>104</v>
      </c>
      <c r="B116" s="43" t="s">
        <v>134</v>
      </c>
      <c r="C116" s="10">
        <f>WORKDAY(D115,5)</f>
        <v>43909</v>
      </c>
      <c r="D116" s="10">
        <f>WORKDAY(C116,9)</f>
        <v>43922</v>
      </c>
    </row>
    <row r="117" spans="1:4" ht="15" customHeight="1" x14ac:dyDescent="0.2">
      <c r="A117" s="88" t="s">
        <v>101</v>
      </c>
      <c r="B117" s="43" t="s">
        <v>135</v>
      </c>
      <c r="C117" s="32">
        <f>WORKDAY(D116,1)</f>
        <v>43923</v>
      </c>
      <c r="D117" s="32">
        <f>WORKDAY(C117,9)</f>
        <v>43936</v>
      </c>
    </row>
    <row r="118" spans="1:4" ht="15" customHeight="1" x14ac:dyDescent="0.2">
      <c r="A118" s="85" t="s">
        <v>27</v>
      </c>
      <c r="B118" s="56" t="s">
        <v>136</v>
      </c>
      <c r="C118" s="10">
        <f>D117+1</f>
        <v>43937</v>
      </c>
      <c r="D118" s="11">
        <f>C118+5</f>
        <v>43942</v>
      </c>
    </row>
    <row r="119" spans="1:4" ht="15" customHeight="1" x14ac:dyDescent="0.2">
      <c r="A119" s="86" t="s">
        <v>108</v>
      </c>
      <c r="B119" s="43" t="s">
        <v>109</v>
      </c>
      <c r="C119" s="32">
        <f t="shared" ref="C119:C124" si="7">WORKDAY(D118,1)</f>
        <v>43943</v>
      </c>
      <c r="D119" s="32">
        <f>WORKDAY(C119,5)</f>
        <v>43950</v>
      </c>
    </row>
    <row r="120" spans="1:4" ht="15" customHeight="1" x14ac:dyDescent="0.2">
      <c r="A120" s="87" t="s">
        <v>172</v>
      </c>
      <c r="B120" s="42" t="s">
        <v>137</v>
      </c>
      <c r="C120" s="10">
        <f t="shared" si="7"/>
        <v>43951</v>
      </c>
      <c r="D120" s="10">
        <f>WORKDAY(C120,9)</f>
        <v>43964</v>
      </c>
    </row>
    <row r="121" spans="1:4" ht="18.75" customHeight="1" x14ac:dyDescent="0.2">
      <c r="A121" s="86" t="s">
        <v>138</v>
      </c>
      <c r="B121" s="56" t="s">
        <v>139</v>
      </c>
      <c r="C121" s="32">
        <f t="shared" si="7"/>
        <v>43965</v>
      </c>
      <c r="D121" s="32">
        <f>WORKDAY(C121,0)</f>
        <v>43965</v>
      </c>
    </row>
    <row r="122" spans="1:4" ht="18.75" customHeight="1" x14ac:dyDescent="0.2">
      <c r="A122" s="85" t="s">
        <v>140</v>
      </c>
      <c r="B122" s="43" t="s">
        <v>141</v>
      </c>
      <c r="C122" s="32">
        <f t="shared" si="7"/>
        <v>43966</v>
      </c>
      <c r="D122" s="32">
        <f>WORKDAY(C122,15)</f>
        <v>43987</v>
      </c>
    </row>
    <row r="123" spans="1:4" x14ac:dyDescent="0.2">
      <c r="A123" s="85" t="s">
        <v>140</v>
      </c>
      <c r="B123" s="25" t="s">
        <v>142</v>
      </c>
      <c r="C123" s="32">
        <f t="shared" si="7"/>
        <v>43990</v>
      </c>
      <c r="D123" s="32">
        <f>WORKDAY(C123,15)</f>
        <v>44011</v>
      </c>
    </row>
    <row r="124" spans="1:4" x14ac:dyDescent="0.2">
      <c r="A124" s="90" t="s">
        <v>140</v>
      </c>
      <c r="B124" s="40" t="s">
        <v>143</v>
      </c>
      <c r="C124" s="32">
        <f t="shared" si="7"/>
        <v>44012</v>
      </c>
      <c r="D124" s="32">
        <f>WORKDAY(C124,15)</f>
        <v>44033</v>
      </c>
    </row>
    <row r="125" spans="1:4" x14ac:dyDescent="0.2">
      <c r="A125" s="85" t="s">
        <v>27</v>
      </c>
      <c r="B125" s="56" t="s">
        <v>144</v>
      </c>
      <c r="C125" s="32">
        <f>WORKDAY(D93,1)</f>
        <v>44106</v>
      </c>
      <c r="D125" s="32">
        <f>WORKDAY(C125,1)</f>
        <v>44109</v>
      </c>
    </row>
    <row r="126" spans="1:4" x14ac:dyDescent="0.2">
      <c r="A126" s="85" t="s">
        <v>27</v>
      </c>
      <c r="B126" s="56" t="s">
        <v>145</v>
      </c>
      <c r="C126" s="57">
        <f>D98+16</f>
        <v>44197</v>
      </c>
      <c r="D126" s="58">
        <f>C126+3</f>
        <v>44200</v>
      </c>
    </row>
    <row r="127" spans="1:4" x14ac:dyDescent="0.2">
      <c r="A127" s="85" t="s">
        <v>53</v>
      </c>
      <c r="B127" s="25" t="s">
        <v>167</v>
      </c>
      <c r="C127" s="10">
        <f>D126+7</f>
        <v>44207</v>
      </c>
      <c r="D127" s="32">
        <f>WORKDAY(C127,7)</f>
        <v>44216</v>
      </c>
    </row>
    <row r="128" spans="1:4" x14ac:dyDescent="0.2">
      <c r="A128" s="85" t="s">
        <v>75</v>
      </c>
      <c r="B128" s="25" t="s">
        <v>146</v>
      </c>
      <c r="C128" s="32">
        <f>WORKDAY(D127,1)</f>
        <v>44217</v>
      </c>
      <c r="D128" s="32">
        <f>WORKDAY(C128,3)</f>
        <v>44222</v>
      </c>
    </row>
    <row r="129" spans="1:4" x14ac:dyDescent="0.2">
      <c r="A129" s="85" t="s">
        <v>72</v>
      </c>
      <c r="B129" s="25" t="s">
        <v>147</v>
      </c>
      <c r="C129" s="32">
        <f>WORKDAY(D128,1)</f>
        <v>44223</v>
      </c>
      <c r="D129" s="32">
        <f>WORKDAY(C129,23)</f>
        <v>44256</v>
      </c>
    </row>
    <row r="130" spans="1:4" x14ac:dyDescent="0.2">
      <c r="A130" s="85" t="s">
        <v>85</v>
      </c>
      <c r="B130" s="25" t="s">
        <v>148</v>
      </c>
      <c r="C130" s="32">
        <f>WORKDAY(D129,1)</f>
        <v>44257</v>
      </c>
      <c r="D130" s="32">
        <f>WORKDAY(C130,3)</f>
        <v>44260</v>
      </c>
    </row>
    <row r="131" spans="1:4" x14ac:dyDescent="0.2">
      <c r="A131" s="85" t="s">
        <v>72</v>
      </c>
      <c r="B131" s="25" t="s">
        <v>149</v>
      </c>
      <c r="C131" s="32">
        <f t="shared" ref="C131:C136" si="8">WORKDAY(D130,1)</f>
        <v>44263</v>
      </c>
      <c r="D131" s="32">
        <f t="shared" ref="D131" si="9">WORKDAY(C131,23)</f>
        <v>44294</v>
      </c>
    </row>
    <row r="132" spans="1:4" x14ac:dyDescent="0.2">
      <c r="A132" s="85" t="s">
        <v>85</v>
      </c>
      <c r="B132" s="25" t="s">
        <v>148</v>
      </c>
      <c r="C132" s="32">
        <f t="shared" si="8"/>
        <v>44295</v>
      </c>
      <c r="D132" s="32">
        <f t="shared" ref="D132" si="10">WORKDAY(C132,3)</f>
        <v>44300</v>
      </c>
    </row>
    <row r="133" spans="1:4" x14ac:dyDescent="0.2">
      <c r="A133" s="85" t="s">
        <v>72</v>
      </c>
      <c r="B133" s="25" t="s">
        <v>150</v>
      </c>
      <c r="C133" s="32">
        <f t="shared" si="8"/>
        <v>44301</v>
      </c>
      <c r="D133" s="32">
        <f t="shared" ref="D133" si="11">WORKDAY(C133,23)</f>
        <v>44334</v>
      </c>
    </row>
    <row r="134" spans="1:4" x14ac:dyDescent="0.2">
      <c r="A134" s="85" t="s">
        <v>85</v>
      </c>
      <c r="B134" s="25" t="s">
        <v>148</v>
      </c>
      <c r="C134" s="32">
        <f t="shared" si="8"/>
        <v>44335</v>
      </c>
      <c r="D134" s="32">
        <f t="shared" ref="D134" si="12">WORKDAY(C134,3)</f>
        <v>44340</v>
      </c>
    </row>
    <row r="135" spans="1:4" x14ac:dyDescent="0.2">
      <c r="A135" s="85" t="s">
        <v>72</v>
      </c>
      <c r="B135" s="25" t="s">
        <v>151</v>
      </c>
      <c r="C135" s="32">
        <f t="shared" si="8"/>
        <v>44341</v>
      </c>
      <c r="D135" s="32">
        <f t="shared" ref="D135" si="13">WORKDAY(C135,23)</f>
        <v>44372</v>
      </c>
    </row>
    <row r="136" spans="1:4" ht="16" thickBot="1" x14ac:dyDescent="0.25">
      <c r="A136" s="85" t="s">
        <v>85</v>
      </c>
      <c r="B136" s="25" t="s">
        <v>148</v>
      </c>
      <c r="C136" s="32">
        <f t="shared" si="8"/>
        <v>44375</v>
      </c>
      <c r="D136" s="32">
        <f t="shared" ref="D136" si="14">WORKDAY(C136,3)</f>
        <v>44378</v>
      </c>
    </row>
    <row r="137" spans="1:4" ht="20" x14ac:dyDescent="0.2">
      <c r="A137" s="27"/>
      <c r="B137" s="59" t="s">
        <v>152</v>
      </c>
      <c r="C137" s="60">
        <f>MIN(C138:C157)</f>
        <v>44228</v>
      </c>
      <c r="D137" s="61">
        <f>MAX(D138:D157)</f>
        <v>44564</v>
      </c>
    </row>
    <row r="138" spans="1:4" x14ac:dyDescent="0.2">
      <c r="A138" s="91" t="s">
        <v>53</v>
      </c>
      <c r="B138" s="43" t="s">
        <v>53</v>
      </c>
      <c r="C138" s="32">
        <v>44228</v>
      </c>
      <c r="D138" s="33">
        <f>C138+9</f>
        <v>44237</v>
      </c>
    </row>
    <row r="139" spans="1:4" x14ac:dyDescent="0.2">
      <c r="A139" s="91" t="s">
        <v>69</v>
      </c>
      <c r="B139" s="56" t="s">
        <v>131</v>
      </c>
      <c r="C139" s="32">
        <v>44238</v>
      </c>
      <c r="D139" s="33">
        <f>C139+7</f>
        <v>44245</v>
      </c>
    </row>
    <row r="140" spans="1:4" x14ac:dyDescent="0.2">
      <c r="A140" s="91" t="s">
        <v>53</v>
      </c>
      <c r="B140" s="43" t="s">
        <v>53</v>
      </c>
      <c r="C140" s="32">
        <f>WORKDAY(D139,1)</f>
        <v>44246</v>
      </c>
      <c r="D140" s="33">
        <f>WORKDAY(C140,10)</f>
        <v>44260</v>
      </c>
    </row>
    <row r="141" spans="1:4" x14ac:dyDescent="0.2">
      <c r="A141" s="91" t="s">
        <v>53</v>
      </c>
      <c r="B141" s="43" t="s">
        <v>92</v>
      </c>
      <c r="C141" s="32">
        <f>D140+5</f>
        <v>44265</v>
      </c>
      <c r="D141" s="33">
        <f>C141+50</f>
        <v>44315</v>
      </c>
    </row>
    <row r="142" spans="1:4" x14ac:dyDescent="0.2">
      <c r="A142" s="91" t="s">
        <v>75</v>
      </c>
      <c r="B142" s="43" t="s">
        <v>97</v>
      </c>
      <c r="C142" s="32">
        <f>WORKDAY(D141,18)</f>
        <v>44341</v>
      </c>
      <c r="D142" s="33">
        <f>WORKDAY(C142,4)</f>
        <v>44347</v>
      </c>
    </row>
    <row r="143" spans="1:4" x14ac:dyDescent="0.2">
      <c r="A143" s="93" t="s">
        <v>27</v>
      </c>
      <c r="B143" s="43" t="s">
        <v>153</v>
      </c>
      <c r="C143" s="32">
        <f t="shared" ref="C143:C146" si="15">WORKDAY(D142,1)</f>
        <v>44348</v>
      </c>
      <c r="D143" s="33">
        <f>WORKDAY(C143,1)</f>
        <v>44349</v>
      </c>
    </row>
    <row r="144" spans="1:4" x14ac:dyDescent="0.2">
      <c r="A144" s="93" t="s">
        <v>172</v>
      </c>
      <c r="B144" s="43" t="s">
        <v>103</v>
      </c>
      <c r="C144" s="32">
        <f t="shared" si="15"/>
        <v>44350</v>
      </c>
      <c r="D144" s="33">
        <f>WORKDAY(C144,1)</f>
        <v>44351</v>
      </c>
    </row>
    <row r="145" spans="1:4" x14ac:dyDescent="0.2">
      <c r="A145" s="93" t="s">
        <v>99</v>
      </c>
      <c r="B145" s="43" t="s">
        <v>154</v>
      </c>
      <c r="C145" s="32">
        <f t="shared" si="15"/>
        <v>44354</v>
      </c>
      <c r="D145" s="33">
        <f>WORKDAY(C145,3)</f>
        <v>44357</v>
      </c>
    </row>
    <row r="146" spans="1:4" x14ac:dyDescent="0.2">
      <c r="A146" s="93" t="s">
        <v>72</v>
      </c>
      <c r="B146" s="43" t="s">
        <v>155</v>
      </c>
      <c r="C146" s="32">
        <f t="shared" si="15"/>
        <v>44358</v>
      </c>
      <c r="D146" s="33">
        <f>WORKDAY(C146,4)</f>
        <v>44364</v>
      </c>
    </row>
    <row r="147" spans="1:4" x14ac:dyDescent="0.2">
      <c r="A147" s="93" t="s">
        <v>101</v>
      </c>
      <c r="B147" s="43" t="s">
        <v>156</v>
      </c>
      <c r="C147" s="32">
        <f>WORKDAY(D146,1)</f>
        <v>44365</v>
      </c>
      <c r="D147" s="33">
        <f>WORKDAY(C147,1)</f>
        <v>44368</v>
      </c>
    </row>
    <row r="148" spans="1:4" x14ac:dyDescent="0.2">
      <c r="A148" s="91" t="s">
        <v>72</v>
      </c>
      <c r="B148" s="31" t="s">
        <v>77</v>
      </c>
      <c r="C148" s="10">
        <f>D170+1</f>
        <v>44414</v>
      </c>
      <c r="D148" s="11">
        <f>C148+14</f>
        <v>44428</v>
      </c>
    </row>
    <row r="149" spans="1:4" x14ac:dyDescent="0.2">
      <c r="A149" s="91" t="s">
        <v>72</v>
      </c>
      <c r="B149" s="31" t="s">
        <v>78</v>
      </c>
      <c r="C149" s="10">
        <f>D148+1</f>
        <v>44429</v>
      </c>
      <c r="D149" s="11">
        <f>C149+14</f>
        <v>44443</v>
      </c>
    </row>
    <row r="150" spans="1:4" x14ac:dyDescent="0.2">
      <c r="A150" s="91" t="s">
        <v>72</v>
      </c>
      <c r="B150" s="31" t="s">
        <v>79</v>
      </c>
      <c r="C150" s="10">
        <f t="shared" ref="C150:C155" si="16">D149+1</f>
        <v>44444</v>
      </c>
      <c r="D150" s="11">
        <f t="shared" ref="D150:D155" si="17">C150+14</f>
        <v>44458</v>
      </c>
    </row>
    <row r="151" spans="1:4" x14ac:dyDescent="0.2">
      <c r="A151" s="91" t="s">
        <v>72</v>
      </c>
      <c r="B151" s="31" t="s">
        <v>80</v>
      </c>
      <c r="C151" s="10">
        <f t="shared" si="16"/>
        <v>44459</v>
      </c>
      <c r="D151" s="11">
        <f t="shared" si="17"/>
        <v>44473</v>
      </c>
    </row>
    <row r="152" spans="1:4" x14ac:dyDescent="0.2">
      <c r="A152" s="91" t="s">
        <v>72</v>
      </c>
      <c r="B152" s="31" t="s">
        <v>81</v>
      </c>
      <c r="C152" s="10">
        <f t="shared" si="16"/>
        <v>44474</v>
      </c>
      <c r="D152" s="11">
        <f t="shared" si="17"/>
        <v>44488</v>
      </c>
    </row>
    <row r="153" spans="1:4" x14ac:dyDescent="0.2">
      <c r="A153" s="91" t="s">
        <v>72</v>
      </c>
      <c r="B153" s="31" t="s">
        <v>82</v>
      </c>
      <c r="C153" s="10">
        <f t="shared" si="16"/>
        <v>44489</v>
      </c>
      <c r="D153" s="11">
        <f t="shared" si="17"/>
        <v>44503</v>
      </c>
    </row>
    <row r="154" spans="1:4" x14ac:dyDescent="0.2">
      <c r="A154" s="91" t="s">
        <v>72</v>
      </c>
      <c r="B154" s="31" t="s">
        <v>83</v>
      </c>
      <c r="C154" s="10">
        <f t="shared" si="16"/>
        <v>44504</v>
      </c>
      <c r="D154" s="11">
        <f t="shared" si="17"/>
        <v>44518</v>
      </c>
    </row>
    <row r="155" spans="1:4" x14ac:dyDescent="0.2">
      <c r="A155" s="91" t="s">
        <v>72</v>
      </c>
      <c r="B155" s="31" t="s">
        <v>84</v>
      </c>
      <c r="C155" s="10">
        <f t="shared" si="16"/>
        <v>44519</v>
      </c>
      <c r="D155" s="11">
        <f t="shared" si="17"/>
        <v>44533</v>
      </c>
    </row>
    <row r="156" spans="1:4" x14ac:dyDescent="0.2">
      <c r="A156" s="91" t="s">
        <v>85</v>
      </c>
      <c r="B156" s="31" t="s">
        <v>86</v>
      </c>
      <c r="C156" s="10">
        <f>D155+1</f>
        <v>44534</v>
      </c>
      <c r="D156" s="44">
        <f>C156+15</f>
        <v>44549</v>
      </c>
    </row>
    <row r="157" spans="1:4" x14ac:dyDescent="0.2">
      <c r="A157" s="92" t="s">
        <v>99</v>
      </c>
      <c r="B157" s="56" t="s">
        <v>157</v>
      </c>
      <c r="C157" s="32">
        <f>D156+1</f>
        <v>44550</v>
      </c>
      <c r="D157" s="33">
        <f>C157+14</f>
        <v>44564</v>
      </c>
    </row>
    <row r="158" spans="1:4" ht="20" x14ac:dyDescent="0.2">
      <c r="A158" s="27"/>
      <c r="B158" s="62" t="s">
        <v>158</v>
      </c>
      <c r="C158" s="63">
        <f>MIN(C159:C178)</f>
        <v>44228</v>
      </c>
      <c r="D158" s="64">
        <f>MAX(D159:D178)</f>
        <v>44587</v>
      </c>
    </row>
    <row r="159" spans="1:4" x14ac:dyDescent="0.2">
      <c r="A159" s="94" t="s">
        <v>53</v>
      </c>
      <c r="B159" s="25" t="s">
        <v>53</v>
      </c>
      <c r="C159" s="32">
        <v>44228</v>
      </c>
      <c r="D159" s="33">
        <f>C159+9</f>
        <v>44237</v>
      </c>
    </row>
    <row r="160" spans="1:4" x14ac:dyDescent="0.2">
      <c r="A160" s="94" t="s">
        <v>75</v>
      </c>
      <c r="B160" s="56" t="s">
        <v>131</v>
      </c>
      <c r="C160" s="32">
        <v>44238</v>
      </c>
      <c r="D160" s="33">
        <f>C160+7</f>
        <v>44245</v>
      </c>
    </row>
    <row r="161" spans="1:4" x14ac:dyDescent="0.2">
      <c r="A161" s="94" t="s">
        <v>53</v>
      </c>
      <c r="B161" s="43" t="s">
        <v>53</v>
      </c>
      <c r="C161" s="32">
        <f>WORKDAY(D160,1)</f>
        <v>44246</v>
      </c>
      <c r="D161" s="33">
        <f>WORKDAY(C161,10)</f>
        <v>44260</v>
      </c>
    </row>
    <row r="162" spans="1:4" x14ac:dyDescent="0.2">
      <c r="A162" s="94" t="s">
        <v>75</v>
      </c>
      <c r="B162" s="25" t="s">
        <v>97</v>
      </c>
      <c r="C162" s="32">
        <f>WORKDAY(D160,25)</f>
        <v>44280</v>
      </c>
      <c r="D162" s="33">
        <f>WORKDAY(C162,12)</f>
        <v>44298</v>
      </c>
    </row>
    <row r="163" spans="1:4" x14ac:dyDescent="0.2">
      <c r="A163" s="95" t="s">
        <v>138</v>
      </c>
      <c r="B163" s="56" t="s">
        <v>139</v>
      </c>
      <c r="C163" s="32">
        <f>WORKDAY(D162,1)</f>
        <v>44299</v>
      </c>
      <c r="D163" s="32">
        <f>WORKDAY(C163,2)</f>
        <v>44301</v>
      </c>
    </row>
    <row r="164" spans="1:4" x14ac:dyDescent="0.2">
      <c r="A164" s="94" t="s">
        <v>27</v>
      </c>
      <c r="B164" s="25" t="s">
        <v>159</v>
      </c>
      <c r="C164" s="10">
        <f>D163+1</f>
        <v>44302</v>
      </c>
      <c r="D164" s="32">
        <f>WORKDAY(C164,7)</f>
        <v>44313</v>
      </c>
    </row>
    <row r="165" spans="1:4" x14ac:dyDescent="0.2">
      <c r="A165" s="97" t="s">
        <v>140</v>
      </c>
      <c r="B165" s="65" t="s">
        <v>160</v>
      </c>
      <c r="C165" s="32">
        <f>WORKDAY(D164,1)</f>
        <v>44314</v>
      </c>
      <c r="D165" s="33">
        <f>WORKDAY(C165,25)</f>
        <v>44349</v>
      </c>
    </row>
    <row r="166" spans="1:4" x14ac:dyDescent="0.2">
      <c r="A166" s="94" t="s">
        <v>101</v>
      </c>
      <c r="B166" s="25" t="s">
        <v>161</v>
      </c>
      <c r="C166" s="10">
        <f>D165+1</f>
        <v>44350</v>
      </c>
      <c r="D166" s="33">
        <f>WORKDAY(C166,3)</f>
        <v>44355</v>
      </c>
    </row>
    <row r="167" spans="1:4" x14ac:dyDescent="0.2">
      <c r="A167" s="94" t="s">
        <v>140</v>
      </c>
      <c r="B167" s="25" t="s">
        <v>162</v>
      </c>
      <c r="C167" s="32">
        <f t="shared" ref="C167:C178" si="18">WORKDAY(D166,1)</f>
        <v>44356</v>
      </c>
      <c r="D167" s="33">
        <f>WORKDAY(C167,15)</f>
        <v>44377</v>
      </c>
    </row>
    <row r="168" spans="1:4" x14ac:dyDescent="0.2">
      <c r="A168" s="94" t="s">
        <v>140</v>
      </c>
      <c r="B168" s="25" t="s">
        <v>163</v>
      </c>
      <c r="C168" s="32">
        <f t="shared" si="18"/>
        <v>44378</v>
      </c>
      <c r="D168" s="33">
        <f>WORKDAY(C168,13)</f>
        <v>44397</v>
      </c>
    </row>
    <row r="169" spans="1:4" x14ac:dyDescent="0.2">
      <c r="A169" s="97" t="s">
        <v>140</v>
      </c>
      <c r="B169" s="65" t="s">
        <v>46</v>
      </c>
      <c r="C169" s="32">
        <f t="shared" si="18"/>
        <v>44398</v>
      </c>
      <c r="D169" s="33">
        <f>WORKDAY(C169,6)</f>
        <v>44406</v>
      </c>
    </row>
    <row r="170" spans="1:4" x14ac:dyDescent="0.2">
      <c r="A170" s="96" t="s">
        <v>140</v>
      </c>
      <c r="B170" s="31" t="s">
        <v>164</v>
      </c>
      <c r="C170" s="32">
        <f t="shared" si="18"/>
        <v>44407</v>
      </c>
      <c r="D170" s="11">
        <f>C170+6</f>
        <v>44413</v>
      </c>
    </row>
    <row r="171" spans="1:4" x14ac:dyDescent="0.2">
      <c r="A171" s="94" t="s">
        <v>72</v>
      </c>
      <c r="B171" s="25" t="s">
        <v>147</v>
      </c>
      <c r="C171" s="32">
        <f t="shared" si="18"/>
        <v>44414</v>
      </c>
      <c r="D171" s="32">
        <f>WORKDAY(C171,23)</f>
        <v>44447</v>
      </c>
    </row>
    <row r="172" spans="1:4" x14ac:dyDescent="0.2">
      <c r="A172" s="94" t="s">
        <v>85</v>
      </c>
      <c r="B172" s="25" t="s">
        <v>148</v>
      </c>
      <c r="C172" s="32">
        <f t="shared" si="18"/>
        <v>44448</v>
      </c>
      <c r="D172" s="32">
        <f>WORKDAY(C172,3)</f>
        <v>44453</v>
      </c>
    </row>
    <row r="173" spans="1:4" x14ac:dyDescent="0.2">
      <c r="A173" s="94" t="s">
        <v>72</v>
      </c>
      <c r="B173" s="25" t="s">
        <v>149</v>
      </c>
      <c r="C173" s="32">
        <f t="shared" si="18"/>
        <v>44454</v>
      </c>
      <c r="D173" s="32">
        <f t="shared" ref="D173" si="19">WORKDAY(C173,23)</f>
        <v>44487</v>
      </c>
    </row>
    <row r="174" spans="1:4" x14ac:dyDescent="0.2">
      <c r="A174" s="94" t="s">
        <v>85</v>
      </c>
      <c r="B174" s="25" t="s">
        <v>148</v>
      </c>
      <c r="C174" s="32">
        <f t="shared" si="18"/>
        <v>44488</v>
      </c>
      <c r="D174" s="32">
        <f t="shared" ref="D174" si="20">WORKDAY(C174,3)</f>
        <v>44491</v>
      </c>
    </row>
    <row r="175" spans="1:4" x14ac:dyDescent="0.2">
      <c r="A175" s="94" t="s">
        <v>72</v>
      </c>
      <c r="B175" s="25" t="s">
        <v>150</v>
      </c>
      <c r="C175" s="32">
        <f t="shared" si="18"/>
        <v>44494</v>
      </c>
      <c r="D175" s="32">
        <f t="shared" ref="D175" si="21">WORKDAY(C175,23)</f>
        <v>44525</v>
      </c>
    </row>
    <row r="176" spans="1:4" x14ac:dyDescent="0.2">
      <c r="A176" s="94" t="s">
        <v>85</v>
      </c>
      <c r="B176" s="25" t="s">
        <v>148</v>
      </c>
      <c r="C176" s="32">
        <f t="shared" si="18"/>
        <v>44526</v>
      </c>
      <c r="D176" s="32">
        <f t="shared" ref="D176" si="22">WORKDAY(C176,3)</f>
        <v>44531</v>
      </c>
    </row>
    <row r="177" spans="1:4" x14ac:dyDescent="0.2">
      <c r="A177" s="94" t="s">
        <v>72</v>
      </c>
      <c r="B177" s="25" t="s">
        <v>151</v>
      </c>
      <c r="C177" s="32">
        <f t="shared" si="18"/>
        <v>44532</v>
      </c>
      <c r="D177" s="32">
        <f t="shared" ref="D177" si="23">WORKDAY(C177,23)</f>
        <v>44565</v>
      </c>
    </row>
    <row r="178" spans="1:4" x14ac:dyDescent="0.2">
      <c r="A178" s="94" t="s">
        <v>85</v>
      </c>
      <c r="B178" s="25" t="s">
        <v>148</v>
      </c>
      <c r="C178" s="32">
        <f t="shared" si="18"/>
        <v>44566</v>
      </c>
      <c r="D178" s="32">
        <f>WORKDAY(C178,15)</f>
        <v>44587</v>
      </c>
    </row>
    <row r="179" spans="1:4" ht="20" x14ac:dyDescent="0.2">
      <c r="A179" s="71"/>
      <c r="B179" s="66" t="s">
        <v>165</v>
      </c>
      <c r="C179" s="67">
        <f>MIN(C180:C180)</f>
        <v>44713</v>
      </c>
      <c r="D179" s="67">
        <f>MAX(D180:D180)</f>
        <v>44726</v>
      </c>
    </row>
    <row r="180" spans="1:4" x14ac:dyDescent="0.2">
      <c r="A180" s="69" t="s">
        <v>140</v>
      </c>
      <c r="B180" s="31" t="s">
        <v>166</v>
      </c>
      <c r="C180" s="32">
        <v>44713</v>
      </c>
      <c r="D180" s="32">
        <f>WORKDAY(C180,9)</f>
        <v>44726</v>
      </c>
    </row>
  </sheetData>
  <pageMargins left="0.7" right="0.7" top="0.75" bottom="0.75" header="0.3" footer="0.3"/>
  <pageSetup orientation="portrait" r:id="rId1"/>
  <headerFooter>
    <oddFooter>&amp;L&amp;1#&amp;"Calibri"&amp;10&amp;K737373Caterpillar: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Viresh B Shah</dc:creator>
  <cp:lastModifiedBy>Sujay</cp:lastModifiedBy>
  <dcterms:created xsi:type="dcterms:W3CDTF">2020-04-24T20:16:58Z</dcterms:created>
  <dcterms:modified xsi:type="dcterms:W3CDTF">2020-04-27T22:25:21Z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Shah_Viresh_B@cat.com</vt:lpwstr>
  </property>
  <property fmtid="{D5CDD505-2E9C-101B-9397-08002B2CF9AE}" pid="5" name="MSIP_Label_fb5e2db6-eecf-4aa2-8fc3-174bf94bce19_SetDate">
    <vt:lpwstr>2020-04-24T20:17:28.3348164Z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Extended_MSFT_Method">
    <vt:lpwstr>Automatic</vt:lpwstr>
  </property>
  <property fmtid="{D5CDD505-2E9C-101B-9397-08002B2CF9AE}" pid="9" name="Sensitivity">
    <vt:lpwstr>Cat Confidential Green</vt:lpwstr>
  </property>
</Properties>
</file>