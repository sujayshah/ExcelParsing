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VB\Desktop\ExcelParsing\program_validation\Distribution\"/>
    </mc:Choice>
  </mc:AlternateContent>
  <xr:revisionPtr revIDLastSave="0" documentId="13_ncr:1_{0836CD14-CA09-4626-8BEC-2A6D835E0442}" xr6:coauthVersionLast="44" xr6:coauthVersionMax="44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PMO April 28 2020" sheetId="2" r:id="rId2"/>
    <sheet name="old Calend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59" i="1" l="1"/>
  <c r="C159" i="1"/>
  <c r="D57" i="1"/>
  <c r="D56" i="1"/>
  <c r="C140" i="1" l="1"/>
  <c r="C101" i="1"/>
  <c r="C107" i="1" l="1"/>
  <c r="C96" i="1"/>
  <c r="D96" i="1" s="1"/>
  <c r="C97" i="1" s="1"/>
  <c r="D97" i="1" s="1"/>
  <c r="C127" i="1" l="1"/>
  <c r="D182" i="1"/>
  <c r="D181" i="1" s="1"/>
  <c r="C181" i="1"/>
  <c r="D162" i="1"/>
  <c r="C164" i="1" s="1"/>
  <c r="D164" i="1" s="1"/>
  <c r="C165" i="1" s="1"/>
  <c r="D165" i="1" s="1"/>
  <c r="C166" i="1" s="1"/>
  <c r="D166" i="1" s="1"/>
  <c r="C167" i="1" s="1"/>
  <c r="D167" i="1" s="1"/>
  <c r="C168" i="1" s="1"/>
  <c r="D168" i="1" s="1"/>
  <c r="C169" i="1" s="1"/>
  <c r="D169" i="1" s="1"/>
  <c r="C170" i="1" s="1"/>
  <c r="D170" i="1" s="1"/>
  <c r="C171" i="1" s="1"/>
  <c r="D171" i="1" s="1"/>
  <c r="C172" i="1" s="1"/>
  <c r="D172" i="1" s="1"/>
  <c r="D161" i="1"/>
  <c r="D141" i="1"/>
  <c r="C142" i="1" s="1"/>
  <c r="D115" i="1"/>
  <c r="D114" i="1"/>
  <c r="D107" i="1"/>
  <c r="D101" i="1"/>
  <c r="D127" i="1"/>
  <c r="D80" i="1"/>
  <c r="D76" i="1"/>
  <c r="C77" i="1" s="1"/>
  <c r="D77" i="1" s="1"/>
  <c r="C78" i="1" s="1"/>
  <c r="D78" i="1" s="1"/>
  <c r="D75" i="1"/>
  <c r="C74" i="1"/>
  <c r="D63" i="1"/>
  <c r="C64" i="1" s="1"/>
  <c r="D64" i="1" s="1"/>
  <c r="C65" i="1" s="1"/>
  <c r="D65" i="1" s="1"/>
  <c r="C66" i="1" s="1"/>
  <c r="D66" i="1" s="1"/>
  <c r="C67" i="1" s="1"/>
  <c r="D67" i="1" s="1"/>
  <c r="C68" i="1" s="1"/>
  <c r="D68" i="1" s="1"/>
  <c r="C69" i="1" s="1"/>
  <c r="D69" i="1" s="1"/>
  <c r="C70" i="1" s="1"/>
  <c r="D70" i="1" s="1"/>
  <c r="C71" i="1" s="1"/>
  <c r="D71" i="1" s="1"/>
  <c r="C72" i="1" s="1"/>
  <c r="D72" i="1" s="1"/>
  <c r="C73" i="1" s="1"/>
  <c r="D73" i="1" s="1"/>
  <c r="C58" i="1"/>
  <c r="C52" i="1"/>
  <c r="D52" i="1" s="1"/>
  <c r="D44" i="1"/>
  <c r="C45" i="1" s="1"/>
  <c r="D45" i="1" s="1"/>
  <c r="C46" i="1" s="1"/>
  <c r="D46" i="1" s="1"/>
  <c r="D39" i="1"/>
  <c r="D38" i="1"/>
  <c r="D37" i="1"/>
  <c r="D36" i="1"/>
  <c r="D33" i="1"/>
  <c r="D31" i="1"/>
  <c r="D29" i="1"/>
  <c r="D28" i="1"/>
  <c r="D27" i="1"/>
  <c r="D26" i="1"/>
  <c r="D25" i="1"/>
  <c r="D24" i="1"/>
  <c r="D23" i="1"/>
  <c r="D22" i="1"/>
  <c r="C21" i="1"/>
  <c r="D20" i="1"/>
  <c r="D19" i="1"/>
  <c r="C18" i="1"/>
  <c r="D18" i="1" s="1"/>
  <c r="D16" i="1"/>
  <c r="D15" i="1"/>
  <c r="D14" i="1"/>
  <c r="D13" i="1"/>
  <c r="D12" i="1"/>
  <c r="D11" i="1"/>
  <c r="D10" i="1"/>
  <c r="D9" i="1"/>
  <c r="C98" i="1" s="1"/>
  <c r="D98" i="1" s="1"/>
  <c r="C99" i="1" s="1"/>
  <c r="D99" i="1" s="1"/>
  <c r="D8" i="1"/>
  <c r="D6" i="1"/>
  <c r="D5" i="1"/>
  <c r="D4" i="1"/>
  <c r="D3" i="1"/>
  <c r="C116" i="1" l="1"/>
  <c r="D140" i="1"/>
  <c r="D17" i="1"/>
  <c r="C110" i="1"/>
  <c r="D110" i="1" s="1"/>
  <c r="C111" i="1" s="1"/>
  <c r="D111" i="1" s="1"/>
  <c r="C112" i="1" s="1"/>
  <c r="D112" i="1" s="1"/>
  <c r="C108" i="1"/>
  <c r="D74" i="1"/>
  <c r="D21" i="1"/>
  <c r="C17" i="1"/>
  <c r="D116" i="1"/>
  <c r="C117" i="1" s="1"/>
  <c r="D117" i="1" s="1"/>
  <c r="C118" i="1" s="1"/>
  <c r="D118" i="1" s="1"/>
  <c r="C119" i="1" s="1"/>
  <c r="C47" i="1"/>
  <c r="C40" i="1"/>
  <c r="D40" i="1" s="1"/>
  <c r="C173" i="1"/>
  <c r="D173" i="1" s="1"/>
  <c r="C174" i="1" s="1"/>
  <c r="D174" i="1" s="1"/>
  <c r="C175" i="1" s="1"/>
  <c r="D175" i="1" s="1"/>
  <c r="C176" i="1" s="1"/>
  <c r="D176" i="1" s="1"/>
  <c r="C177" i="1" s="1"/>
  <c r="D177" i="1" s="1"/>
  <c r="C178" i="1" s="1"/>
  <c r="D178" i="1" s="1"/>
  <c r="C179" i="1" s="1"/>
  <c r="D179" i="1" s="1"/>
  <c r="C180" i="1" s="1"/>
  <c r="D180" i="1" s="1"/>
  <c r="C150" i="1"/>
  <c r="D150" i="1" s="1"/>
  <c r="C151" i="1" s="1"/>
  <c r="D151" i="1" s="1"/>
  <c r="C152" i="1" s="1"/>
  <c r="D152" i="1" s="1"/>
  <c r="C153" i="1" s="1"/>
  <c r="D153" i="1" s="1"/>
  <c r="C154" i="1" s="1"/>
  <c r="D154" i="1" s="1"/>
  <c r="C155" i="1" s="1"/>
  <c r="D155" i="1" s="1"/>
  <c r="C156" i="1" s="1"/>
  <c r="D156" i="1" s="1"/>
  <c r="C157" i="1" s="1"/>
  <c r="D157" i="1" s="1"/>
  <c r="C158" i="1" s="1"/>
  <c r="D158" i="1" s="1"/>
  <c r="D142" i="1"/>
  <c r="C143" i="1" s="1"/>
  <c r="D143" i="1" s="1"/>
  <c r="C144" i="1" s="1"/>
  <c r="D144" i="1" s="1"/>
  <c r="C145" i="1" s="1"/>
  <c r="D145" i="1" s="1"/>
  <c r="C146" i="1" s="1"/>
  <c r="D146" i="1" s="1"/>
  <c r="C147" i="1" s="1"/>
  <c r="D147" i="1" s="1"/>
  <c r="C148" i="1" s="1"/>
  <c r="D148" i="1" s="1"/>
  <c r="C149" i="1" s="1"/>
  <c r="D149" i="1" s="1"/>
  <c r="C128" i="1"/>
  <c r="D128" i="1" s="1"/>
  <c r="C102" i="1"/>
  <c r="D102" i="1" s="1"/>
  <c r="C103" i="1" s="1"/>
  <c r="D103" i="1" s="1"/>
  <c r="C53" i="1"/>
  <c r="C81" i="1"/>
  <c r="C163" i="1"/>
  <c r="D58" i="1"/>
  <c r="C59" i="1" s="1"/>
  <c r="D59" i="1" s="1"/>
  <c r="C60" i="1" s="1"/>
  <c r="D60" i="1" s="1"/>
  <c r="C61" i="1" s="1"/>
  <c r="D61" i="1" s="1"/>
  <c r="C62" i="1" s="1"/>
  <c r="D62" i="1" s="1"/>
  <c r="C129" i="1" l="1"/>
  <c r="D129" i="1" s="1"/>
  <c r="C130" i="1" s="1"/>
  <c r="D130" i="1" s="1"/>
  <c r="C131" i="1" s="1"/>
  <c r="D131" i="1" s="1"/>
  <c r="C132" i="1" s="1"/>
  <c r="D132" i="1" s="1"/>
  <c r="C133" i="1" s="1"/>
  <c r="D133" i="1" s="1"/>
  <c r="C134" i="1" s="1"/>
  <c r="D134" i="1" s="1"/>
  <c r="C135" i="1" s="1"/>
  <c r="D135" i="1" s="1"/>
  <c r="C136" i="1" s="1"/>
  <c r="D136" i="1" s="1"/>
  <c r="C137" i="1" s="1"/>
  <c r="D137" i="1" s="1"/>
  <c r="C138" i="1" s="1"/>
  <c r="D138" i="1" s="1"/>
  <c r="D119" i="1"/>
  <c r="C120" i="1" s="1"/>
  <c r="D120" i="1" s="1"/>
  <c r="C121" i="1" s="1"/>
  <c r="D121" i="1" s="1"/>
  <c r="D100" i="1"/>
  <c r="C104" i="1"/>
  <c r="C55" i="1"/>
  <c r="D55" i="1"/>
  <c r="D139" i="1"/>
  <c r="D47" i="1"/>
  <c r="D53" i="1"/>
  <c r="C139" i="1"/>
  <c r="C160" i="1"/>
  <c r="D163" i="1"/>
  <c r="D160" i="1" s="1"/>
  <c r="D81" i="1"/>
  <c r="C54" i="1" l="1"/>
  <c r="C48" i="1"/>
  <c r="C82" i="1"/>
  <c r="D48" i="1" l="1"/>
  <c r="D82" i="1"/>
  <c r="D54" i="1"/>
  <c r="D50" i="1" s="1"/>
  <c r="C50" i="1"/>
  <c r="C49" i="1" l="1"/>
  <c r="C83" i="1"/>
  <c r="D83" i="1" l="1"/>
  <c r="D49" i="1"/>
  <c r="D41" i="1" s="1"/>
  <c r="C41" i="1"/>
  <c r="C84" i="1" l="1"/>
  <c r="D84" i="1" l="1"/>
  <c r="C85" i="1" l="1"/>
  <c r="D85" i="1" s="1"/>
  <c r="C86" i="1" s="1"/>
  <c r="D86" i="1" s="1"/>
  <c r="C87" i="1" s="1"/>
  <c r="D87" i="1" s="1"/>
  <c r="C88" i="1" s="1"/>
  <c r="D88" i="1" s="1"/>
  <c r="C89" i="1" s="1"/>
  <c r="D89" i="1" l="1"/>
  <c r="C90" i="1" s="1"/>
  <c r="D90" i="1" l="1"/>
  <c r="C91" i="1" s="1"/>
  <c r="D91" i="1" s="1"/>
  <c r="C92" i="1" s="1"/>
  <c r="D92" i="1" s="1"/>
  <c r="C93" i="1" l="1"/>
  <c r="D93" i="1" s="1"/>
  <c r="D104" i="1" l="1"/>
  <c r="C105" i="1" s="1"/>
  <c r="D105" i="1" s="1"/>
  <c r="C106" i="1" s="1"/>
  <c r="D106" i="1" s="1"/>
  <c r="D108" i="1" s="1"/>
  <c r="C109" i="1" s="1"/>
  <c r="D109" i="1" s="1"/>
  <c r="C94" i="1"/>
  <c r="D94" i="1" l="1"/>
  <c r="C95" i="1" l="1"/>
  <c r="D95" i="1" l="1"/>
  <c r="D79" i="1" s="1"/>
  <c r="C79" i="1"/>
  <c r="C122" i="1"/>
  <c r="D122" i="1" s="1"/>
  <c r="C123" i="1" s="1"/>
  <c r="D123" i="1" s="1"/>
  <c r="C124" i="1" s="1"/>
  <c r="D124" i="1" s="1"/>
  <c r="C125" i="1" s="1"/>
  <c r="D125" i="1" s="1"/>
  <c r="C32" i="1" l="1"/>
  <c r="D32" i="1" s="1"/>
  <c r="C126" i="1"/>
  <c r="D126" i="1" s="1"/>
  <c r="C113" i="1" l="1"/>
  <c r="C34" i="1" l="1"/>
  <c r="D113" i="1"/>
  <c r="D34" i="1" l="1"/>
  <c r="C7" i="1" l="1"/>
  <c r="C35" i="1"/>
  <c r="D35" i="1" l="1"/>
  <c r="D30" i="1" s="1"/>
  <c r="C30" i="1"/>
  <c r="C2" i="1"/>
  <c r="D7" i="1"/>
  <c r="D2" i="1" s="1"/>
</calcChain>
</file>

<file path=xl/sharedStrings.xml><?xml version="1.0" encoding="utf-8"?>
<sst xmlns="http://schemas.openxmlformats.org/spreadsheetml/2006/main" count="1016" uniqueCount="342">
  <si>
    <t>Activity Name</t>
  </si>
  <si>
    <t>Start</t>
  </si>
  <si>
    <t>Finish</t>
  </si>
  <si>
    <t xml:space="preserve">  Key Project Milestones</t>
  </si>
  <si>
    <t>GW</t>
  </si>
  <si>
    <t>Quality Gate 3</t>
  </si>
  <si>
    <t>GW 3</t>
  </si>
  <si>
    <t>DF</t>
  </si>
  <si>
    <t>Pilot Design Freeze</t>
  </si>
  <si>
    <t>Machine Ready for Field  (Regs)</t>
  </si>
  <si>
    <t>Pilot EDS Freeze</t>
  </si>
  <si>
    <t>GW 4</t>
  </si>
  <si>
    <t>Iron</t>
  </si>
  <si>
    <t>Stg V Hood Iron arrives at PPG</t>
  </si>
  <si>
    <t>Ship DL Axle Arrives China Supplier</t>
  </si>
  <si>
    <t>GW 5</t>
  </si>
  <si>
    <t>Production DF</t>
  </si>
  <si>
    <t>LPT (Axle) Design Freeze</t>
  </si>
  <si>
    <t>GW 5.5</t>
  </si>
  <si>
    <t>Production EDS Freeze</t>
  </si>
  <si>
    <t>GW 6</t>
  </si>
  <si>
    <t xml:space="preserve">  Key Validation reviews</t>
  </si>
  <si>
    <t>VR</t>
  </si>
  <si>
    <t>Validation Review 3</t>
  </si>
  <si>
    <t>Validation Review 4</t>
  </si>
  <si>
    <t>Validation Review 5</t>
  </si>
  <si>
    <t xml:space="preserve">  Software Milestones</t>
  </si>
  <si>
    <t>SW</t>
  </si>
  <si>
    <t>V01 SW Content Freeze</t>
  </si>
  <si>
    <t>Receive V01 SW</t>
  </si>
  <si>
    <t>V02 SW Content Freeze</t>
  </si>
  <si>
    <t>Receive V02 SW</t>
  </si>
  <si>
    <t>V03 SW Content Freeze</t>
  </si>
  <si>
    <t>Receive V03 SW</t>
  </si>
  <si>
    <t>V04 SW Content Freeze</t>
  </si>
  <si>
    <t>Receive V04 SW (Pilot)</t>
  </si>
  <si>
    <t>TIC Report Milestones</t>
  </si>
  <si>
    <t>Pilot</t>
  </si>
  <si>
    <t>SYC Report-Pilot</t>
  </si>
  <si>
    <t>ISO 3450 Brake Feasibility (Pilot)</t>
  </si>
  <si>
    <t>EMC-Pilot- Pilot</t>
  </si>
  <si>
    <t>ISO 9533 Horn, Back-up Alarm EN474 HAWB- Pilot</t>
  </si>
  <si>
    <t>ISO 5010 Steering Feasibility (Pilot)</t>
  </si>
  <si>
    <t>Production</t>
  </si>
  <si>
    <t>ISO 3450 Brake CERT</t>
  </si>
  <si>
    <t>ISO 5010 Steering CERT</t>
  </si>
  <si>
    <t>ISO 10570-Articulation Lock CERT</t>
  </si>
  <si>
    <t>ISO 9533 Horn, Back-up Alarm HAWB CERT</t>
  </si>
  <si>
    <t>Stg V EMC CERT</t>
  </si>
  <si>
    <t>Tech Center ShakeTable</t>
  </si>
  <si>
    <t>Shake Table</t>
  </si>
  <si>
    <t>Hood arrives at Tech Center, Peoria (Version 1)</t>
  </si>
  <si>
    <t>Stage V Shake Table # 1 (Version 1)</t>
  </si>
  <si>
    <t>Shake Table set-up (Version 2)</t>
  </si>
  <si>
    <t>Static Runs</t>
  </si>
  <si>
    <t>OMSA Drive File (Post Machine OMSA) (Version 2 hood)</t>
  </si>
  <si>
    <t>Set-up, Shakeout and Dynamic Runs</t>
  </si>
  <si>
    <t>Durability</t>
  </si>
  <si>
    <t>Teardown &amp; Preliminary Report</t>
  </si>
  <si>
    <t xml:space="preserve">Tech Center G LPT Axle </t>
  </si>
  <si>
    <t>Axle</t>
  </si>
  <si>
    <t>Test Cycle Dev</t>
  </si>
  <si>
    <t>Lab set-up and Debug</t>
  </si>
  <si>
    <t>0-500 hrs+ Inspection</t>
  </si>
  <si>
    <t>501-1000 hrs + Inspection</t>
  </si>
  <si>
    <t>966GC T3 TB #3 (SGW00208)</t>
  </si>
  <si>
    <t>Tech</t>
  </si>
  <si>
    <t>CPM + Collision Avoidance</t>
  </si>
  <si>
    <t>Machine Update</t>
  </si>
  <si>
    <t>Structures</t>
  </si>
  <si>
    <t>Limited Slip Differential Driveline Signature- Prototype Iron</t>
  </si>
  <si>
    <t>Holiday</t>
  </si>
  <si>
    <t>US Thanksgiving</t>
  </si>
  <si>
    <t>Driveline Signature-cont'd</t>
  </si>
  <si>
    <t>Endurance</t>
  </si>
  <si>
    <t>100 hr Endurance ( With Prototype LSD iron)</t>
  </si>
  <si>
    <t>Machine Build</t>
  </si>
  <si>
    <t>Machine Update for UPT and LPT LCP Parts</t>
  </si>
  <si>
    <t>Machine Check</t>
  </si>
  <si>
    <t>Machine Checkout STP-64/Opr Eval</t>
  </si>
  <si>
    <t>Endurance 0-250 hrs+ Service/Inspect</t>
  </si>
  <si>
    <t>Endurance 251-500 hrs+ Service/Inspect</t>
  </si>
  <si>
    <t>Endurance 501-750 hrs+ Service/Inspect</t>
  </si>
  <si>
    <t>Endurance 751-1000 hrs+ Service/Inspect</t>
  </si>
  <si>
    <t>Endurance 1001-1250 hrs+ Service/Inspect</t>
  </si>
  <si>
    <t>Endurance 1251-1500 hrs+ Service/Inspect</t>
  </si>
  <si>
    <t>Endurance 1501-1750 hrs+ Service/Inspect</t>
  </si>
  <si>
    <t>Endurance 1750-2000 hrs+ Service/Inspect</t>
  </si>
  <si>
    <t>Inspection</t>
  </si>
  <si>
    <t>Full Inspection</t>
  </si>
  <si>
    <t>966GC T3 TB #4 (SGW00203)</t>
  </si>
  <si>
    <t xml:space="preserve">Safety </t>
  </si>
  <si>
    <t>SYC Type Certification- Report 30 days after completion of Evaluation</t>
  </si>
  <si>
    <t>Hydraulics</t>
  </si>
  <si>
    <t>AOC Fit-up and Perf Checkout</t>
  </si>
  <si>
    <t xml:space="preserve">100 hr AOC Endurance </t>
  </si>
  <si>
    <t>Tire</t>
  </si>
  <si>
    <t>Triangle LS TL538 3 piece rim</t>
  </si>
  <si>
    <t>966GC Stage V TB #1 (SG700101)</t>
  </si>
  <si>
    <t>Ship Machine Aurora MDC</t>
  </si>
  <si>
    <t xml:space="preserve">Machine Build </t>
  </si>
  <si>
    <t>Issue</t>
  </si>
  <si>
    <t xml:space="preserve">Build Issue resolution </t>
  </si>
  <si>
    <t>Machine Ship</t>
  </si>
  <si>
    <t>Ship Machine PPG</t>
  </si>
  <si>
    <t>Machine Checkout STP-64</t>
  </si>
  <si>
    <t>Ver 01 SW (STP 230/289) (Steering, L5, XSMN)</t>
  </si>
  <si>
    <t>Performance</t>
  </si>
  <si>
    <t>L5 Performance Check (Include Thermal Mgmt Valve)</t>
  </si>
  <si>
    <t>NVH</t>
  </si>
  <si>
    <t>Sound Development (Machine, Cab Sound)</t>
  </si>
  <si>
    <t>Engine/EIC</t>
  </si>
  <si>
    <t>C9.3B Stage V Engine Performance</t>
  </si>
  <si>
    <t>Transmission</t>
  </si>
  <si>
    <t>Trans Tuning</t>
  </si>
  <si>
    <t>L5 Tuning # 1</t>
  </si>
  <si>
    <t>Rimpull/Response</t>
  </si>
  <si>
    <t>Issue Resolution # 1</t>
  </si>
  <si>
    <t>HVAC</t>
  </si>
  <si>
    <t>HVAC Perf Checkout</t>
  </si>
  <si>
    <t>Cooling</t>
  </si>
  <si>
    <t xml:space="preserve">Water Flow and Water System </t>
  </si>
  <si>
    <t xml:space="preserve">Stg V Ambient Capability and UHT </t>
  </si>
  <si>
    <t>Ver 02 SW (STP 230/289) (Steering, L5, XSMN)</t>
  </si>
  <si>
    <t>Light Structures (Stg V Hood-Version 2) OMSA</t>
  </si>
  <si>
    <t>Light Structures (Stg V Hood-Version 2) OMSA- Teardown</t>
  </si>
  <si>
    <t>Ver 03 SW (STP 230/289) (L5, XSMN, Engine)</t>
  </si>
  <si>
    <t>STP 401 Engine Install Audit</t>
  </si>
  <si>
    <t>DEF and Fuel Tank Calibration</t>
  </si>
  <si>
    <t>US Christmas and New Year Holiday</t>
  </si>
  <si>
    <t>Thermal Mgmt</t>
  </si>
  <si>
    <t>Thermal Mgmt endurance-300 hrs</t>
  </si>
  <si>
    <t>Issue Resolution # 2</t>
  </si>
  <si>
    <t>L5 Tuning and Performance Check # 2</t>
  </si>
  <si>
    <t>Ver 04 SW (STP 230/289) (Steering, L5, XSMN, Engine) BOB</t>
  </si>
  <si>
    <t>Dust Ejector Measurement</t>
  </si>
  <si>
    <t>Limited Slip Differential Driveline Signature- Prod Iron</t>
  </si>
  <si>
    <t>Issue Resolution # 3</t>
  </si>
  <si>
    <t>QPG 966GC CNR4 TB#2 (SG800101)</t>
  </si>
  <si>
    <t>Machine Build + Issue Resolution</t>
  </si>
  <si>
    <t>China New Year</t>
  </si>
  <si>
    <t>L5 Checkout</t>
  </si>
  <si>
    <t>Sound Test screening</t>
  </si>
  <si>
    <t>Trans checkout (Lead by CRDC UPT team)</t>
  </si>
  <si>
    <t>Sound Test (including cab glass) ISO 9533, HAWB</t>
  </si>
  <si>
    <t>Stg V Ver 01 SW (STP 230)</t>
  </si>
  <si>
    <t>Engine Installation Audit</t>
  </si>
  <si>
    <t>Audit</t>
  </si>
  <si>
    <t>Safety/Serviceability audit</t>
  </si>
  <si>
    <t>Safety</t>
  </si>
  <si>
    <t>ISO 3450 Brake Feasibility</t>
  </si>
  <si>
    <t>ISO 5010 Steering Feasibility (Include Secondary Steering)</t>
  </si>
  <si>
    <t>EMC Feasibility</t>
  </si>
  <si>
    <t>Stg V Ver 02 SW (STP 230)</t>
  </si>
  <si>
    <t>Stage V Ver 03 SW (STP 230)</t>
  </si>
  <si>
    <t>UPT and LPT LCP (NPI Workshop)- Machine Build</t>
  </si>
  <si>
    <t>STP 64/Opr Eval</t>
  </si>
  <si>
    <t>0-250 hrs</t>
  </si>
  <si>
    <t>Endurance Inspection</t>
  </si>
  <si>
    <t>251-500 hrs</t>
  </si>
  <si>
    <t>501-750 hrs</t>
  </si>
  <si>
    <t>751-1000 hrs</t>
  </si>
  <si>
    <t>PPG 966GC Stage V Pilot #1 (SN)</t>
  </si>
  <si>
    <t>SW Checkout # Pilot V01</t>
  </si>
  <si>
    <t>L5 Performance Check</t>
  </si>
  <si>
    <t>Machine Endurance- 100 hrs</t>
  </si>
  <si>
    <t>Stg V Alarm, FWD Horn, HAWB CERT</t>
  </si>
  <si>
    <t>Productivity</t>
  </si>
  <si>
    <t>QPG 966GC CNR4/ Stg V Pilot #2 (SN)</t>
  </si>
  <si>
    <t>SW Checkout # 1</t>
  </si>
  <si>
    <t>MLIT Practice &amp; Witness</t>
  </si>
  <si>
    <t>Sound Test</t>
  </si>
  <si>
    <t>ISO 3450- Brake CERT</t>
  </si>
  <si>
    <t>ISO 5010- Steering CERT</t>
  </si>
  <si>
    <t>Stage V EMC Test CERT</t>
  </si>
  <si>
    <t>QPG 966GC Pre-Production</t>
  </si>
  <si>
    <t xml:space="preserve">MLIT Witness </t>
  </si>
  <si>
    <t>Machine S/N</t>
  </si>
  <si>
    <t>Phase</t>
  </si>
  <si>
    <t>11/4/2019</t>
  </si>
  <si>
    <t>11/11/2019</t>
  </si>
  <si>
    <t>11/18/2019</t>
  </si>
  <si>
    <t>11/25/2019</t>
  </si>
  <si>
    <t>12/2/2019</t>
  </si>
  <si>
    <t>12/9/2019</t>
  </si>
  <si>
    <t>12/16/2019</t>
  </si>
  <si>
    <t>12/23/2019</t>
  </si>
  <si>
    <t>12/30/2019</t>
  </si>
  <si>
    <t>1/6/2020</t>
  </si>
  <si>
    <t>1/13/2020</t>
  </si>
  <si>
    <t>1/20/2020</t>
  </si>
  <si>
    <t>1/27/2020</t>
  </si>
  <si>
    <t>2/3/2020</t>
  </si>
  <si>
    <t>2/10/2020</t>
  </si>
  <si>
    <t>2/17/2020</t>
  </si>
  <si>
    <t>2/24/2020</t>
  </si>
  <si>
    <t>3/2/2020</t>
  </si>
  <si>
    <t>3/9/2020</t>
  </si>
  <si>
    <t>3/16/2020</t>
  </si>
  <si>
    <t>3/23/2020</t>
  </si>
  <si>
    <t>3/30/2020</t>
  </si>
  <si>
    <t>4/6/2020</t>
  </si>
  <si>
    <t>4/13/2020</t>
  </si>
  <si>
    <t>4/20/2020</t>
  </si>
  <si>
    <t>4/27/2020</t>
  </si>
  <si>
    <t>5/4/2020</t>
  </si>
  <si>
    <t>5/11/2020</t>
  </si>
  <si>
    <t>5/18/2020</t>
  </si>
  <si>
    <t>5/25/2020</t>
  </si>
  <si>
    <t>6/1/2020</t>
  </si>
  <si>
    <t>6/8/2020</t>
  </si>
  <si>
    <t>6/15/2020</t>
  </si>
  <si>
    <t>6/22/2020</t>
  </si>
  <si>
    <t>6/29/2020</t>
  </si>
  <si>
    <t>7/6/2020</t>
  </si>
  <si>
    <t>7/13/2020</t>
  </si>
  <si>
    <t>7/20/2020</t>
  </si>
  <si>
    <t>7/27/2020</t>
  </si>
  <si>
    <t>8/3/2020</t>
  </si>
  <si>
    <t>8/10/2020</t>
  </si>
  <si>
    <t>8/17/2020</t>
  </si>
  <si>
    <t>8/24/2020</t>
  </si>
  <si>
    <t>8/31/2020</t>
  </si>
  <si>
    <t>9/7/2020</t>
  </si>
  <si>
    <t>9/14/2020</t>
  </si>
  <si>
    <t>9/21/2020</t>
  </si>
  <si>
    <t>9/28/2020</t>
  </si>
  <si>
    <t>10/5/2020</t>
  </si>
  <si>
    <t>10/12/2020</t>
  </si>
  <si>
    <t>10/19/2020</t>
  </si>
  <si>
    <t>10/26/2020</t>
  </si>
  <si>
    <t>11/2/2020</t>
  </si>
  <si>
    <t>11/9/2020</t>
  </si>
  <si>
    <t>11/16/2020</t>
  </si>
  <si>
    <t>11/23/2020</t>
  </si>
  <si>
    <t>11/30/2020</t>
  </si>
  <si>
    <t>12/7/2020</t>
  </si>
  <si>
    <t>12/14/2020</t>
  </si>
  <si>
    <t>12/21/2020</t>
  </si>
  <si>
    <t>12/28/2020</t>
  </si>
  <si>
    <t>1/4/2021</t>
  </si>
  <si>
    <t>1/11/2021</t>
  </si>
  <si>
    <t>1/18/2021</t>
  </si>
  <si>
    <t>1/25/2021</t>
  </si>
  <si>
    <t>2/1/2021</t>
  </si>
  <si>
    <t>2/8/2021</t>
  </si>
  <si>
    <t>2/15/2021</t>
  </si>
  <si>
    <t>2/22/2021</t>
  </si>
  <si>
    <t>3/1/2021</t>
  </si>
  <si>
    <t>3/8/2021</t>
  </si>
  <si>
    <t>3/15/2021</t>
  </si>
  <si>
    <t>3/22/2021</t>
  </si>
  <si>
    <t>3/29/2021</t>
  </si>
  <si>
    <t>4/5/2021</t>
  </si>
  <si>
    <t>4/12/2021</t>
  </si>
  <si>
    <t>4/19/2021</t>
  </si>
  <si>
    <t>4/26/2021</t>
  </si>
  <si>
    <t>5/3/2021</t>
  </si>
  <si>
    <t>5/10/2021</t>
  </si>
  <si>
    <t>5/17/2021</t>
  </si>
  <si>
    <t>5/24/2021</t>
  </si>
  <si>
    <t>5/31/2021</t>
  </si>
  <si>
    <t>6/7/2021</t>
  </si>
  <si>
    <t>6/14/2021</t>
  </si>
  <si>
    <t>6/21/2021</t>
  </si>
  <si>
    <t>6/28/2021</t>
  </si>
  <si>
    <t>7/5/2021</t>
  </si>
  <si>
    <t>7/12/2021</t>
  </si>
  <si>
    <t>7/19/2021</t>
  </si>
  <si>
    <t>7/26/2021</t>
  </si>
  <si>
    <t>8/2/2021</t>
  </si>
  <si>
    <t>8/9/2021</t>
  </si>
  <si>
    <t>8/16/2021</t>
  </si>
  <si>
    <t>8/23/2021</t>
  </si>
  <si>
    <t>8/30/2021</t>
  </si>
  <si>
    <t>9/6/2021</t>
  </si>
  <si>
    <t>9/13/2021</t>
  </si>
  <si>
    <t>9/20/2021</t>
  </si>
  <si>
    <t>9/27/2021</t>
  </si>
  <si>
    <t>10/4/2021</t>
  </si>
  <si>
    <t>10/11/2021</t>
  </si>
  <si>
    <t>10/18/2021</t>
  </si>
  <si>
    <t>10/25/2021</t>
  </si>
  <si>
    <t>11/1/2021</t>
  </si>
  <si>
    <t>11/8/2021</t>
  </si>
  <si>
    <t>11/15/2021</t>
  </si>
  <si>
    <t>11/22/2021</t>
  </si>
  <si>
    <t>11/29/2021</t>
  </si>
  <si>
    <t>12/6/2021</t>
  </si>
  <si>
    <t>12/13/2021</t>
  </si>
  <si>
    <t>12/20/2021</t>
  </si>
  <si>
    <t>12/27/2021</t>
  </si>
  <si>
    <t>1/3/2022</t>
  </si>
  <si>
    <t>1/10/2022</t>
  </si>
  <si>
    <t>1/17/2022</t>
  </si>
  <si>
    <t>1/24/2022</t>
  </si>
  <si>
    <t>1/31/2022</t>
  </si>
  <si>
    <t>2/7/2022</t>
  </si>
  <si>
    <t>2/14/2022</t>
  </si>
  <si>
    <t>2/21/2022</t>
  </si>
  <si>
    <t>2/28/2022</t>
  </si>
  <si>
    <t>3/7/2022</t>
  </si>
  <si>
    <t>3/14/2022</t>
  </si>
  <si>
    <t>3/21/2022</t>
  </si>
  <si>
    <t>3/28/2022</t>
  </si>
  <si>
    <t>4/4/2022</t>
  </si>
  <si>
    <t>4/11/2022</t>
  </si>
  <si>
    <t>4/18/2022</t>
  </si>
  <si>
    <t>4/25/2022</t>
  </si>
  <si>
    <t>5/2/2022</t>
  </si>
  <si>
    <t>5/9/2022</t>
  </si>
  <si>
    <t>5/16/2022</t>
  </si>
  <si>
    <t>5/23/2022</t>
  </si>
  <si>
    <t>5/30/2022</t>
  </si>
  <si>
    <t>6/6/2022</t>
  </si>
  <si>
    <t>6/13/2022</t>
  </si>
  <si>
    <t>6/20/2022</t>
  </si>
  <si>
    <t>6/27/2022</t>
  </si>
  <si>
    <t>Key Project Milestone</t>
  </si>
  <si>
    <t>Key Validation review</t>
  </si>
  <si>
    <t>Software Milestone</t>
  </si>
  <si>
    <t>TIC Report Milestone</t>
  </si>
  <si>
    <t>Tech Center ShakeTabl</t>
  </si>
  <si>
    <t>Tech Center G LPT Axle</t>
  </si>
  <si>
    <t>SGW00208</t>
  </si>
  <si>
    <t>966GC T3 TB #3</t>
  </si>
  <si>
    <t>SGW00203</t>
  </si>
  <si>
    <t>966GC T3 TB #4</t>
  </si>
  <si>
    <t>SG700101</t>
  </si>
  <si>
    <t>966GC Stage V TB #1</t>
  </si>
  <si>
    <t>SG800101</t>
  </si>
  <si>
    <t>QPG 966GC CNR4 TB#2</t>
  </si>
  <si>
    <t>SN</t>
  </si>
  <si>
    <t>PPG 966GC Stage V Pilot #1</t>
  </si>
  <si>
    <t>QPG 966GC CNR4/ Stg V Pilot #2</t>
  </si>
  <si>
    <t>QPG 966GC Pre-Productio</t>
  </si>
  <si>
    <t>100 hrs Endurance</t>
  </si>
  <si>
    <t>Ver 01 SW (STP 230/289) (Steering, L5, XSMN), C9.3B Engine Checkout</t>
  </si>
  <si>
    <t>Engine</t>
  </si>
  <si>
    <t>Engine Enclosure Test</t>
  </si>
  <si>
    <t>Issue Resolution</t>
  </si>
  <si>
    <t>Collision Avoidance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</si>
</sst>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Arial"/>
      <family val="2"/>
    </font>
    <font>
      <sz val="14"/>
      <name val="Arial"/>
      <family val="2"/>
    </font>
    <font>
      <sz val="18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6"/>
      <color theme="0"/>
      <name val="Arial"/>
      <family val="2"/>
    </font>
    <font>
      <sz val="16"/>
      <color theme="0"/>
      <name val="Calibri"/>
      <family val="2"/>
      <scheme val="minor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16"/>
      <color theme="0"/>
      <name val="Arial"/>
      <family val="2"/>
    </font>
  </fonts>
  <fills count="8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E77A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FB8000"/>
        <bgColor rgb="FFFB8000"/>
      </patternFill>
    </fill>
    <fill>
      <patternFill patternType="solid">
        <fgColor rgb="FFB0E0E6"/>
        <bgColor rgb="FFB0E0E6"/>
      </patternFill>
    </fill>
    <fill>
      <patternFill patternType="solid">
        <fgColor rgb="FFD8BFD8"/>
        <bgColor rgb="FFD8BFD8"/>
      </patternFill>
    </fill>
    <fill>
      <patternFill patternType="solid">
        <fgColor rgb="FF4CFF00"/>
        <bgColor rgb="FF4CFF00"/>
      </patternFill>
    </fill>
    <fill>
      <patternFill patternType="solid">
        <fgColor rgb="FF40E0D0"/>
        <bgColor rgb="FF40E0D0"/>
      </patternFill>
    </fill>
    <fill>
      <patternFill patternType="solid">
        <fgColor rgb="FFCD5C5C"/>
        <bgColor rgb="FFCD5C5C"/>
      </patternFill>
    </fill>
    <fill>
      <patternFill patternType="solid">
        <fgColor rgb="FFF0E68C"/>
        <bgColor rgb="FFF0E68C"/>
      </patternFill>
    </fill>
    <fill>
      <patternFill patternType="solid">
        <fgColor rgb="FFBC8F8F"/>
        <bgColor rgb="FFBC8F8F"/>
      </patternFill>
    </fill>
    <fill>
      <patternFill patternType="solid">
        <fgColor rgb="FFC0C0C0"/>
        <bgColor rgb="FFC0C0C0"/>
      </patternFill>
    </fill>
    <fill>
      <patternFill patternType="solid">
        <fgColor rgb="FFCD853F"/>
        <bgColor rgb="FFCD853F"/>
      </patternFill>
    </fill>
    <fill>
      <patternFill patternType="solid">
        <fgColor rgb="FFB925F8"/>
        <bgColor rgb="FFB925F8"/>
      </patternFill>
    </fill>
    <fill>
      <patternFill patternType="solid">
        <fgColor rgb="FFDBE4FF"/>
        <bgColor rgb="FFDBE4FF"/>
      </patternFill>
    </fill>
    <fill>
      <patternFill patternType="solid">
        <fgColor rgb="FF9932CC"/>
        <bgColor rgb="FF9932CC"/>
      </patternFill>
    </fill>
    <fill>
      <patternFill patternType="solid">
        <fgColor rgb="FF3CB371"/>
        <bgColor rgb="FF3CB371"/>
      </patternFill>
    </fill>
    <fill>
      <patternFill patternType="solid">
        <fgColor rgb="FFE9967A"/>
        <bgColor rgb="FFE9967A"/>
      </patternFill>
    </fill>
    <fill>
      <patternFill patternType="solid">
        <fgColor rgb="FFFFAC83"/>
        <bgColor rgb="FFFFAC83"/>
      </patternFill>
    </fill>
    <fill>
      <patternFill patternType="solid">
        <fgColor rgb="FFFF0000"/>
        <bgColor rgb="FFFF0000"/>
      </patternFill>
    </fill>
    <fill>
      <patternFill patternType="solid">
        <fgColor rgb="FFFCBD00"/>
        <bgColor rgb="FFFCBD00"/>
      </patternFill>
    </fill>
    <fill>
      <patternFill patternType="solid">
        <fgColor rgb="FF8C8FF6"/>
        <bgColor rgb="FF8C8FF6"/>
      </patternFill>
    </fill>
    <fill>
      <patternFill patternType="solid">
        <fgColor rgb="FF00B8FF"/>
        <bgColor rgb="FF00B8FF"/>
      </patternFill>
    </fill>
    <fill>
      <patternFill patternType="solid">
        <fgColor rgb="FFB02500"/>
        <bgColor rgb="FFB02500"/>
      </patternFill>
    </fill>
    <fill>
      <patternFill patternType="solid">
        <fgColor rgb="FF9370DB"/>
        <bgColor rgb="FF9370DB"/>
      </patternFill>
    </fill>
    <fill>
      <patternFill patternType="solid">
        <fgColor rgb="FFEE82EE"/>
        <bgColor rgb="FFEE82EE"/>
      </patternFill>
    </fill>
    <fill>
      <patternFill patternType="solid">
        <fgColor rgb="FF9B4400"/>
        <bgColor rgb="FF9B4400"/>
      </patternFill>
    </fill>
    <fill>
      <patternFill patternType="solid">
        <fgColor rgb="FFFFFF28"/>
        <bgColor rgb="FFFFFF28"/>
      </patternFill>
    </fill>
    <fill>
      <patternFill patternType="solid">
        <fgColor rgb="FF0095F2"/>
        <bgColor rgb="FF0095F2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8" tint="0.59999389629810485"/>
        <bgColor rgb="FFFFFF00"/>
      </patternFill>
    </fill>
    <fill>
      <patternFill patternType="solid">
        <fgColor rgb="FFFF00FF"/>
        <bgColor rgb="FFFFFF0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5"/>
        <bgColor rgb="FFFFFF00"/>
      </patternFill>
    </fill>
    <fill>
      <gradientFill degree="90">
        <stop position="0">
          <color rgb="FFFF0000"/>
        </stop>
        <stop position="1">
          <color rgb="FFFFFF00"/>
        </stop>
      </gradientFill>
    </fill>
    <fill>
      <gradientFill degree="90">
        <stop position="0">
          <color rgb="FFFF0000"/>
        </stop>
        <stop position="1">
          <color rgb="FF92D050"/>
        </stop>
      </gradientFill>
    </fill>
    <fill>
      <patternFill patternType="solid">
        <fgColor rgb="FF92D050"/>
        <bgColor rgb="FFDBE4FF"/>
      </patternFill>
    </fill>
    <fill>
      <patternFill patternType="solid">
        <fgColor rgb="FF00FF00"/>
        <bgColor rgb="FF0095F2"/>
      </patternFill>
    </fill>
    <fill>
      <patternFill patternType="solid">
        <fgColor theme="7" tint="0.39997558519241921"/>
        <bgColor rgb="FF899D00"/>
      </patternFill>
    </fill>
    <fill>
      <patternFill patternType="solid">
        <fgColor rgb="FFFFFF00"/>
        <bgColor rgb="FFFFFF00"/>
      </patternFill>
    </fill>
    <fill>
      <patternFill patternType="solid">
        <fgColor rgb="FFFB8000"/>
        <bgColor rgb="FFFB8000"/>
      </patternFill>
    </fill>
    <fill>
      <patternFill patternType="solid">
        <fgColor rgb="FFB0E0E6"/>
        <bgColor rgb="FFB0E0E6"/>
      </patternFill>
    </fill>
    <fill>
      <patternFill patternType="solid">
        <fgColor rgb="FFD8BFD8"/>
        <bgColor rgb="FFD8BFD8"/>
      </patternFill>
    </fill>
    <fill>
      <patternFill patternType="solid">
        <fgColor rgb="FF4CFF00"/>
        <bgColor rgb="FF4CFF00"/>
      </patternFill>
    </fill>
    <fill>
      <patternFill patternType="solid">
        <fgColor rgb="FF40E0D0"/>
        <bgColor rgb="FF40E0D0"/>
      </patternFill>
    </fill>
    <fill>
      <patternFill patternType="solid">
        <fgColor rgb="FFCD5C5C"/>
        <bgColor rgb="FFCD5C5C"/>
      </patternFill>
    </fill>
    <fill>
      <patternFill patternType="solid">
        <fgColor rgb="FFF0E68C"/>
        <bgColor rgb="FFF0E68C"/>
      </patternFill>
    </fill>
    <fill>
      <patternFill patternType="solid">
        <fgColor rgb="FFBC8F8F"/>
        <bgColor rgb="FFBC8F8F"/>
      </patternFill>
    </fill>
    <fill>
      <patternFill patternType="solid">
        <fgColor rgb="FFC0C0C0"/>
        <bgColor rgb="FFC0C0C0"/>
      </patternFill>
    </fill>
    <fill>
      <patternFill patternType="solid">
        <fgColor rgb="FFCD853F"/>
        <bgColor rgb="FFCD853F"/>
      </patternFill>
    </fill>
    <fill>
      <patternFill patternType="solid">
        <fgColor rgb="FFB925F8"/>
        <bgColor rgb="FFB925F8"/>
      </patternFill>
    </fill>
    <fill>
      <patternFill patternType="solid">
        <fgColor rgb="FFDBE4FF"/>
        <bgColor rgb="FFDBE4FF"/>
      </patternFill>
    </fill>
    <fill>
      <patternFill patternType="solid">
        <fgColor rgb="FFFF8389"/>
        <bgColor rgb="FFFF8389"/>
      </patternFill>
    </fill>
    <fill>
      <patternFill patternType="solid">
        <fgColor rgb="FF9932CC"/>
        <bgColor rgb="FF9932CC"/>
      </patternFill>
    </fill>
    <fill>
      <patternFill patternType="solid">
        <fgColor rgb="FF3CB371"/>
        <bgColor rgb="FF3CB371"/>
      </patternFill>
    </fill>
    <fill>
      <patternFill patternType="solid">
        <fgColor rgb="FFE9967A"/>
        <bgColor rgb="FFE9967A"/>
      </patternFill>
    </fill>
    <fill>
      <patternFill patternType="solid">
        <fgColor rgb="FFFFAC83"/>
        <bgColor rgb="FFFFAC83"/>
      </patternFill>
    </fill>
    <fill>
      <patternFill patternType="solid">
        <fgColor rgb="FFFF0000"/>
        <bgColor rgb="FFFF0000"/>
      </patternFill>
    </fill>
    <fill>
      <patternFill patternType="solid">
        <fgColor rgb="FFFCBD00"/>
        <bgColor rgb="FFFCBD00"/>
      </patternFill>
    </fill>
    <fill>
      <patternFill patternType="solid">
        <fgColor rgb="FF8C8FF6"/>
        <bgColor rgb="FF8C8FF6"/>
      </patternFill>
    </fill>
    <fill>
      <patternFill patternType="solid">
        <fgColor rgb="FF00B8FF"/>
        <bgColor rgb="FF00B8FF"/>
      </patternFill>
    </fill>
    <fill>
      <patternFill patternType="solid">
        <fgColor rgb="FFB02500"/>
        <bgColor rgb="FFB02500"/>
      </patternFill>
    </fill>
    <fill>
      <patternFill patternType="solid">
        <fgColor rgb="FF9370DB"/>
        <bgColor rgb="FF9370DB"/>
      </patternFill>
    </fill>
    <fill>
      <patternFill patternType="solid">
        <fgColor rgb="FFEE82EE"/>
        <bgColor rgb="FFEE82EE"/>
      </patternFill>
    </fill>
    <fill>
      <patternFill patternType="solid">
        <fgColor rgb="FF9B4400"/>
        <bgColor rgb="FF9B4400"/>
      </patternFill>
    </fill>
    <fill>
      <patternFill patternType="solid">
        <fgColor rgb="FF899D00"/>
        <bgColor rgb="FF899D00"/>
      </patternFill>
    </fill>
    <fill>
      <patternFill patternType="solid">
        <fgColor rgb="FFFFFF28"/>
        <bgColor rgb="FFFFFF28"/>
      </patternFill>
    </fill>
    <fill>
      <patternFill patternType="solid">
        <fgColor rgb="FF0095F2"/>
        <bgColor rgb="FF0095F2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4" xfId="0" applyFill="1" applyBorder="1"/>
    <xf numFmtId="0" fontId="2" fillId="2" borderId="5" xfId="0" applyFont="1" applyFill="1" applyBorder="1"/>
    <xf numFmtId="15" fontId="0" fillId="2" borderId="5" xfId="0" applyNumberFormat="1" applyFill="1" applyBorder="1" applyAlignment="1">
      <alignment horizontal="center"/>
    </xf>
    <xf numFmtId="15" fontId="0" fillId="2" borderId="6" xfId="0" applyNumberFormat="1" applyFill="1" applyBorder="1" applyAlignment="1">
      <alignment horizontal="center"/>
    </xf>
    <xf numFmtId="0" fontId="0" fillId="0" borderId="5" xfId="0" applyBorder="1" applyAlignment="1">
      <alignment horizontal="left" indent="1"/>
    </xf>
    <xf numFmtId="15" fontId="0" fillId="0" borderId="5" xfId="0" applyNumberFormat="1" applyBorder="1" applyAlignment="1">
      <alignment horizontal="center"/>
    </xf>
    <xf numFmtId="15" fontId="0" fillId="0" borderId="6" xfId="0" applyNumberFormat="1" applyBorder="1" applyAlignment="1">
      <alignment horizontal="center"/>
    </xf>
    <xf numFmtId="15" fontId="0" fillId="0" borderId="0" xfId="0" applyNumberFormat="1"/>
    <xf numFmtId="0" fontId="0" fillId="3" borderId="4" xfId="0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15" fontId="0" fillId="3" borderId="5" xfId="0" applyNumberFormat="1" applyFill="1" applyBorder="1" applyAlignment="1">
      <alignment horizontal="center"/>
    </xf>
    <xf numFmtId="15" fontId="0" fillId="3" borderId="6" xfId="0" applyNumberFormat="1" applyFill="1" applyBorder="1" applyAlignment="1">
      <alignment horizontal="center"/>
    </xf>
    <xf numFmtId="15" fontId="0" fillId="4" borderId="5" xfId="0" applyNumberFormat="1" applyFill="1" applyBorder="1" applyAlignment="1">
      <alignment horizontal="center"/>
    </xf>
    <xf numFmtId="15" fontId="0" fillId="4" borderId="6" xfId="0" applyNumberFormat="1" applyFill="1" applyBorder="1" applyAlignment="1">
      <alignment horizontal="center"/>
    </xf>
    <xf numFmtId="15" fontId="0" fillId="5" borderId="5" xfId="0" applyNumberFormat="1" applyFill="1" applyBorder="1" applyAlignment="1">
      <alignment horizontal="center"/>
    </xf>
    <xf numFmtId="15" fontId="0" fillId="5" borderId="6" xfId="0" applyNumberFormat="1" applyFill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2" fillId="6" borderId="5" xfId="0" applyFont="1" applyFill="1" applyBorder="1" applyAlignment="1">
      <alignment horizontal="left" vertical="center"/>
    </xf>
    <xf numFmtId="15" fontId="0" fillId="6" borderId="5" xfId="0" applyNumberFormat="1" applyFill="1" applyBorder="1" applyAlignment="1">
      <alignment horizontal="center" vertical="center"/>
    </xf>
    <xf numFmtId="15" fontId="0" fillId="6" borderId="6" xfId="0" applyNumberFormat="1" applyFill="1" applyBorder="1" applyAlignment="1">
      <alignment horizontal="center" vertical="center"/>
    </xf>
    <xf numFmtId="0" fontId="0" fillId="0" borderId="7" xfId="0" applyBorder="1"/>
    <xf numFmtId="14" fontId="0" fillId="0" borderId="0" xfId="0" applyNumberFormat="1"/>
    <xf numFmtId="0" fontId="0" fillId="7" borderId="4" xfId="0" applyFill="1" applyBorder="1" applyAlignment="1">
      <alignment horizontal="center"/>
    </xf>
    <xf numFmtId="0" fontId="3" fillId="8" borderId="5" xfId="0" applyFont="1" applyFill="1" applyBorder="1" applyAlignment="1">
      <alignment horizontal="left"/>
    </xf>
    <xf numFmtId="15" fontId="0" fillId="8" borderId="5" xfId="0" applyNumberFormat="1" applyFill="1" applyBorder="1" applyAlignment="1">
      <alignment horizontal="center"/>
    </xf>
    <xf numFmtId="15" fontId="0" fillId="8" borderId="6" xfId="0" applyNumberFormat="1" applyFill="1" applyBorder="1" applyAlignment="1">
      <alignment horizontal="center"/>
    </xf>
    <xf numFmtId="0" fontId="0" fillId="0" borderId="5" xfId="0" applyBorder="1"/>
    <xf numFmtId="15" fontId="0" fillId="0" borderId="5" xfId="0" applyNumberFormat="1" applyBorder="1" applyAlignment="1">
      <alignment horizontal="center" vertical="center"/>
    </xf>
    <xf numFmtId="15" fontId="0" fillId="0" borderId="6" xfId="0" applyNumberForma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3" fillId="2" borderId="5" xfId="0" applyFont="1" applyFill="1" applyBorder="1" applyAlignment="1">
      <alignment horizontal="left"/>
    </xf>
    <xf numFmtId="0" fontId="0" fillId="7" borderId="4" xfId="0" applyFill="1" applyBorder="1"/>
    <xf numFmtId="0" fontId="3" fillId="9" borderId="5" xfId="0" applyFont="1" applyFill="1" applyBorder="1" applyAlignment="1">
      <alignment horizontal="left"/>
    </xf>
    <xf numFmtId="15" fontId="0" fillId="9" borderId="5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vertical="center"/>
    </xf>
    <xf numFmtId="15" fontId="0" fillId="0" borderId="10" xfId="0" applyNumberFormat="1" applyBorder="1" applyAlignment="1">
      <alignment horizontal="center"/>
    </xf>
    <xf numFmtId="0" fontId="3" fillId="10" borderId="5" xfId="0" applyFont="1" applyFill="1" applyBorder="1" applyAlignment="1">
      <alignment horizontal="left"/>
    </xf>
    <xf numFmtId="15" fontId="0" fillId="11" borderId="5" xfId="0" applyNumberFormat="1" applyFill="1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7" borderId="9" xfId="0" applyFill="1" applyBorder="1"/>
    <xf numFmtId="0" fontId="3" fillId="12" borderId="5" xfId="0" applyFont="1" applyFill="1" applyBorder="1" applyAlignment="1">
      <alignment horizontal="left"/>
    </xf>
    <xf numFmtId="15" fontId="0" fillId="12" borderId="5" xfId="0" applyNumberFormat="1" applyFill="1" applyBorder="1" applyAlignment="1">
      <alignment horizontal="center"/>
    </xf>
    <xf numFmtId="0" fontId="0" fillId="13" borderId="5" xfId="0" applyFill="1" applyBorder="1" applyAlignment="1">
      <alignment vertical="center"/>
    </xf>
    <xf numFmtId="0" fontId="3" fillId="14" borderId="5" xfId="0" applyFont="1" applyFill="1" applyBorder="1" applyAlignment="1">
      <alignment horizontal="left"/>
    </xf>
    <xf numFmtId="15" fontId="0" fillId="14" borderId="5" xfId="0" applyNumberFormat="1" applyFill="1" applyBorder="1" applyAlignment="1">
      <alignment horizontal="center"/>
    </xf>
    <xf numFmtId="15" fontId="0" fillId="14" borderId="6" xfId="0" applyNumberFormat="1" applyFill="1" applyBorder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vertical="center"/>
    </xf>
    <xf numFmtId="15" fontId="0" fillId="0" borderId="13" xfId="0" applyNumberFormat="1" applyBorder="1" applyAlignment="1">
      <alignment horizontal="center"/>
    </xf>
    <xf numFmtId="15" fontId="0" fillId="0" borderId="14" xfId="0" applyNumberFormat="1" applyBorder="1" applyAlignment="1">
      <alignment horizontal="center"/>
    </xf>
    <xf numFmtId="0" fontId="3" fillId="15" borderId="5" xfId="0" applyFont="1" applyFill="1" applyBorder="1" applyAlignment="1">
      <alignment horizontal="left"/>
    </xf>
    <xf numFmtId="15" fontId="0" fillId="12" borderId="2" xfId="0" applyNumberFormat="1" applyFill="1" applyBorder="1" applyAlignment="1">
      <alignment horizontal="center"/>
    </xf>
    <xf numFmtId="15" fontId="0" fillId="12" borderId="3" xfId="0" applyNumberFormat="1" applyFill="1" applyBorder="1" applyAlignment="1">
      <alignment horizontal="center"/>
    </xf>
    <xf numFmtId="0" fontId="3" fillId="16" borderId="5" xfId="0" applyFont="1" applyFill="1" applyBorder="1" applyAlignment="1">
      <alignment horizontal="left"/>
    </xf>
    <xf numFmtId="15" fontId="0" fillId="17" borderId="5" xfId="0" applyNumberFormat="1" applyFill="1" applyBorder="1" applyAlignment="1">
      <alignment horizontal="center"/>
    </xf>
    <xf numFmtId="15" fontId="0" fillId="17" borderId="6" xfId="0" applyNumberFormat="1" applyFill="1" applyBorder="1" applyAlignment="1">
      <alignment horizontal="center"/>
    </xf>
    <xf numFmtId="0" fontId="0" fillId="0" borderId="16" xfId="0" applyBorder="1"/>
    <xf numFmtId="0" fontId="3" fillId="18" borderId="5" xfId="0" applyFont="1" applyFill="1" applyBorder="1" applyAlignment="1">
      <alignment horizontal="left"/>
    </xf>
    <xf numFmtId="15" fontId="0" fillId="18" borderId="5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7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wrapText="1"/>
    </xf>
    <xf numFmtId="0" fontId="5" fillId="50" borderId="17" xfId="0" applyFont="1" applyFill="1" applyBorder="1" applyAlignment="1">
      <alignment horizontal="center" vertical="center" wrapText="1"/>
    </xf>
    <xf numFmtId="0" fontId="5" fillId="51" borderId="17" xfId="0" applyFont="1" applyFill="1" applyBorder="1" applyAlignment="1">
      <alignment horizontal="center" vertical="center" wrapText="1"/>
    </xf>
    <xf numFmtId="0" fontId="5" fillId="52" borderId="17" xfId="0" applyFont="1" applyFill="1" applyBorder="1" applyAlignment="1">
      <alignment horizontal="center" vertical="center" wrapText="1"/>
    </xf>
    <xf numFmtId="0" fontId="5" fillId="19" borderId="17" xfId="0" applyFont="1" applyFill="1" applyBorder="1" applyAlignment="1">
      <alignment horizontal="center" vertical="center"/>
    </xf>
    <xf numFmtId="0" fontId="4" fillId="19" borderId="22" xfId="0" applyFont="1" applyFill="1" applyBorder="1" applyAlignment="1">
      <alignment horizontal="center" vertical="center"/>
    </xf>
    <xf numFmtId="0" fontId="4" fillId="58" borderId="22" xfId="0" applyFont="1" applyFill="1" applyBorder="1" applyAlignment="1">
      <alignment horizontal="center" vertical="center"/>
    </xf>
    <xf numFmtId="0" fontId="4" fillId="62" borderId="22" xfId="0" applyFont="1" applyFill="1" applyBorder="1" applyAlignment="1">
      <alignment horizontal="center" vertical="center"/>
    </xf>
    <xf numFmtId="0" fontId="4" fillId="85" borderId="22" xfId="0" applyFont="1" applyFill="1" applyBorder="1" applyAlignment="1">
      <alignment horizontal="center" vertical="center"/>
    </xf>
    <xf numFmtId="0" fontId="11" fillId="0" borderId="0" xfId="0" applyFont="1"/>
    <xf numFmtId="0" fontId="10" fillId="46" borderId="17" xfId="0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0" fontId="0" fillId="0" borderId="11" xfId="0" applyBorder="1" applyAlignment="1">
      <alignment horizontal="center" vertical="center"/>
    </xf>
    <xf numFmtId="0" fontId="8" fillId="72" borderId="22" xfId="0" applyFont="1" applyFill="1" applyBorder="1" applyAlignment="1">
      <alignment horizontal="center" vertical="center"/>
    </xf>
    <xf numFmtId="0" fontId="9" fillId="0" borderId="23" xfId="0" applyFont="1" applyBorder="1"/>
    <xf numFmtId="0" fontId="9" fillId="0" borderId="24" xfId="0" applyFont="1" applyBorder="1"/>
    <xf numFmtId="0" fontId="5" fillId="76" borderId="22" xfId="0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5" fillId="48" borderId="17" xfId="0" applyFont="1" applyFill="1" applyBorder="1" applyAlignment="1">
      <alignment horizontal="center" vertical="center" wrapText="1"/>
    </xf>
    <xf numFmtId="0" fontId="0" fillId="0" borderId="19" xfId="0" applyBorder="1"/>
    <xf numFmtId="0" fontId="5" fillId="21" borderId="17" xfId="0" applyFont="1" applyFill="1" applyBorder="1" applyAlignment="1">
      <alignment horizontal="center" vertical="center" wrapText="1"/>
    </xf>
    <xf numFmtId="0" fontId="5" fillId="49" borderId="17" xfId="0" applyFont="1" applyFill="1" applyBorder="1" applyAlignment="1">
      <alignment horizontal="center" vertical="center" wrapText="1"/>
    </xf>
    <xf numFmtId="0" fontId="4" fillId="20" borderId="17" xfId="0" applyFont="1" applyFill="1" applyBorder="1" applyAlignment="1">
      <alignment horizontal="center" vertical="center"/>
    </xf>
    <xf numFmtId="0" fontId="0" fillId="0" borderId="18" xfId="0" applyBorder="1"/>
    <xf numFmtId="0" fontId="4" fillId="22" borderId="17" xfId="0" applyFont="1" applyFill="1" applyBorder="1" applyAlignment="1">
      <alignment horizontal="center" vertical="center" wrapText="1"/>
    </xf>
    <xf numFmtId="0" fontId="4" fillId="23" borderId="17" xfId="0" applyFont="1" applyFill="1" applyBorder="1" applyAlignment="1">
      <alignment horizontal="center" vertical="center" wrapText="1"/>
    </xf>
    <xf numFmtId="0" fontId="4" fillId="24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4" fillId="22" borderId="17" xfId="0" applyFont="1" applyFill="1" applyBorder="1" applyAlignment="1">
      <alignment horizontal="center" vertical="center"/>
    </xf>
    <xf numFmtId="0" fontId="4" fillId="25" borderId="17" xfId="0" applyFont="1" applyFill="1" applyBorder="1" applyAlignment="1">
      <alignment horizontal="center" vertical="center" wrapText="1"/>
    </xf>
    <xf numFmtId="0" fontId="4" fillId="26" borderId="17" xfId="0" applyFont="1" applyFill="1" applyBorder="1" applyAlignment="1">
      <alignment horizontal="center" vertical="center" wrapText="1"/>
    </xf>
    <xf numFmtId="0" fontId="4" fillId="28" borderId="17" xfId="0" applyFont="1" applyFill="1" applyBorder="1" applyAlignment="1">
      <alignment horizontal="center" vertical="center" wrapText="1"/>
    </xf>
    <xf numFmtId="0" fontId="10" fillId="29" borderId="17" xfId="0" applyFont="1" applyFill="1" applyBorder="1" applyAlignment="1">
      <alignment horizontal="center" vertical="center"/>
    </xf>
    <xf numFmtId="0" fontId="11" fillId="0" borderId="18" xfId="0" applyFont="1" applyBorder="1"/>
    <xf numFmtId="0" fontId="11" fillId="0" borderId="19" xfId="0" applyFont="1" applyBorder="1"/>
    <xf numFmtId="0" fontId="4" fillId="29" borderId="17" xfId="0" applyFont="1" applyFill="1" applyBorder="1" applyAlignment="1">
      <alignment horizontal="center" vertical="center"/>
    </xf>
    <xf numFmtId="0" fontId="4" fillId="27" borderId="17" xfId="0" applyFont="1" applyFill="1" applyBorder="1" applyAlignment="1">
      <alignment horizontal="center" vertical="center" wrapText="1"/>
    </xf>
    <xf numFmtId="0" fontId="4" fillId="28" borderId="17" xfId="0" applyFont="1" applyFill="1" applyBorder="1" applyAlignment="1">
      <alignment horizontal="center" vertical="center"/>
    </xf>
    <xf numFmtId="0" fontId="4" fillId="30" borderId="17" xfId="0" applyFont="1" applyFill="1" applyBorder="1" applyAlignment="1">
      <alignment horizontal="center" vertical="center"/>
    </xf>
    <xf numFmtId="0" fontId="4" fillId="31" borderId="17" xfId="0" applyFont="1" applyFill="1" applyBorder="1" applyAlignment="1">
      <alignment horizontal="center" vertical="center"/>
    </xf>
    <xf numFmtId="0" fontId="4" fillId="32" borderId="17" xfId="0" applyFont="1" applyFill="1" applyBorder="1" applyAlignment="1">
      <alignment horizontal="center" vertical="center"/>
    </xf>
    <xf numFmtId="0" fontId="4" fillId="33" borderId="17" xfId="0" applyFont="1" applyFill="1" applyBorder="1" applyAlignment="1">
      <alignment horizontal="center" vertical="center"/>
    </xf>
    <xf numFmtId="0" fontId="10" fillId="54" borderId="17" xfId="0" applyFont="1" applyFill="1" applyBorder="1" applyAlignment="1">
      <alignment horizontal="center" vertical="center"/>
    </xf>
    <xf numFmtId="0" fontId="10" fillId="33" borderId="17" xfId="0" applyFont="1" applyFill="1" applyBorder="1" applyAlignment="1">
      <alignment horizontal="center" vertical="center"/>
    </xf>
    <xf numFmtId="0" fontId="8" fillId="34" borderId="17" xfId="0" applyFont="1" applyFill="1" applyBorder="1" applyAlignment="1">
      <alignment horizontal="center" vertical="center" wrapText="1"/>
    </xf>
    <xf numFmtId="0" fontId="10" fillId="35" borderId="17" xfId="0" applyFont="1" applyFill="1" applyBorder="1" applyAlignment="1">
      <alignment horizontal="center" vertical="center"/>
    </xf>
    <xf numFmtId="0" fontId="10" fillId="36" borderId="17" xfId="0" applyFont="1" applyFill="1" applyBorder="1" applyAlignment="1">
      <alignment horizontal="center" vertical="center" wrapText="1"/>
    </xf>
    <xf numFmtId="0" fontId="14" fillId="34" borderId="17" xfId="0" applyFont="1" applyFill="1" applyBorder="1" applyAlignment="1">
      <alignment horizontal="center" vertical="center"/>
    </xf>
    <xf numFmtId="0" fontId="7" fillId="34" borderId="17" xfId="0" applyFont="1" applyFill="1" applyBorder="1" applyAlignment="1">
      <alignment horizontal="center" vertical="center"/>
    </xf>
    <xf numFmtId="0" fontId="4" fillId="37" borderId="17" xfId="0" applyFont="1" applyFill="1" applyBorder="1" applyAlignment="1">
      <alignment horizontal="center" vertical="center"/>
    </xf>
    <xf numFmtId="0" fontId="4" fillId="38" borderId="17" xfId="0" applyFont="1" applyFill="1" applyBorder="1" applyAlignment="1">
      <alignment horizontal="center" vertical="center" wrapText="1"/>
    </xf>
    <xf numFmtId="0" fontId="13" fillId="39" borderId="17" xfId="0" applyFont="1" applyFill="1" applyBorder="1" applyAlignment="1">
      <alignment horizontal="center" vertical="center"/>
    </xf>
    <xf numFmtId="0" fontId="12" fillId="0" borderId="18" xfId="0" applyFont="1" applyBorder="1"/>
    <xf numFmtId="0" fontId="12" fillId="0" borderId="19" xfId="0" applyFont="1" applyBorder="1"/>
    <xf numFmtId="0" fontId="10" fillId="35" borderId="17" xfId="0" applyFont="1" applyFill="1" applyBorder="1" applyAlignment="1">
      <alignment horizontal="center" vertical="center" wrapText="1"/>
    </xf>
    <xf numFmtId="0" fontId="10" fillId="40" borderId="17" xfId="0" applyFont="1" applyFill="1" applyBorder="1" applyAlignment="1">
      <alignment horizontal="center" vertical="center"/>
    </xf>
    <xf numFmtId="0" fontId="10" fillId="41" borderId="17" xfId="0" applyFont="1" applyFill="1" applyBorder="1" applyAlignment="1">
      <alignment horizontal="center" vertical="center" wrapText="1"/>
    </xf>
    <xf numFmtId="0" fontId="10" fillId="26" borderId="17" xfId="0" applyFont="1" applyFill="1" applyBorder="1" applyAlignment="1">
      <alignment horizontal="center" vertical="center"/>
    </xf>
    <xf numFmtId="0" fontId="10" fillId="42" borderId="17" xfId="0" applyFont="1" applyFill="1" applyBorder="1" applyAlignment="1">
      <alignment horizontal="center" vertical="center" wrapText="1"/>
    </xf>
    <xf numFmtId="0" fontId="10" fillId="43" borderId="17" xfId="0" applyFont="1" applyFill="1" applyBorder="1" applyAlignment="1">
      <alignment horizontal="center" vertical="center" wrapText="1"/>
    </xf>
    <xf numFmtId="0" fontId="10" fillId="44" borderId="17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wrapText="1"/>
    </xf>
    <xf numFmtId="0" fontId="10" fillId="45" borderId="17" xfId="0" applyFont="1" applyFill="1" applyBorder="1" applyAlignment="1">
      <alignment horizontal="center" vertical="center"/>
    </xf>
    <xf numFmtId="0" fontId="11" fillId="0" borderId="18" xfId="0" applyFont="1" applyBorder="1" applyAlignment="1">
      <alignment wrapText="1"/>
    </xf>
    <xf numFmtId="0" fontId="10" fillId="42" borderId="17" xfId="0" applyFont="1" applyFill="1" applyBorder="1" applyAlignment="1">
      <alignment horizontal="center" vertical="center"/>
    </xf>
    <xf numFmtId="0" fontId="10" fillId="57" borderId="17" xfId="0" applyFont="1" applyFill="1" applyBorder="1" applyAlignment="1">
      <alignment horizontal="center" vertical="center" wrapText="1"/>
    </xf>
    <xf numFmtId="0" fontId="10" fillId="44" borderId="17" xfId="0" applyFont="1" applyFill="1" applyBorder="1" applyAlignment="1">
      <alignment horizontal="center" vertical="center"/>
    </xf>
    <xf numFmtId="0" fontId="10" fillId="26" borderId="17" xfId="0" applyFont="1" applyFill="1" applyBorder="1" applyAlignment="1">
      <alignment horizontal="center" vertical="center" wrapText="1"/>
    </xf>
    <xf numFmtId="0" fontId="10" fillId="55" borderId="17" xfId="0" applyFont="1" applyFill="1" applyBorder="1" applyAlignment="1">
      <alignment horizontal="center" vertical="center"/>
    </xf>
    <xf numFmtId="0" fontId="10" fillId="55" borderId="17" xfId="0" applyFont="1" applyFill="1" applyBorder="1" applyAlignment="1">
      <alignment horizontal="center" vertical="center" wrapText="1"/>
    </xf>
    <xf numFmtId="0" fontId="10" fillId="53" borderId="17" xfId="0" applyFont="1" applyFill="1" applyBorder="1" applyAlignment="1">
      <alignment horizontal="center" vertical="center"/>
    </xf>
    <xf numFmtId="0" fontId="10" fillId="36" borderId="17" xfId="0" applyFont="1" applyFill="1" applyBorder="1" applyAlignment="1">
      <alignment horizontal="center" vertical="center"/>
    </xf>
    <xf numFmtId="0" fontId="10" fillId="56" borderId="17" xfId="0" applyFont="1" applyFill="1" applyBorder="1" applyAlignment="1">
      <alignment horizontal="center" vertical="center"/>
    </xf>
    <xf numFmtId="0" fontId="8" fillId="34" borderId="17" xfId="0" applyFont="1" applyFill="1" applyBorder="1" applyAlignment="1">
      <alignment horizontal="center" vertical="center"/>
    </xf>
    <xf numFmtId="0" fontId="10" fillId="37" borderId="17" xfId="0" applyFont="1" applyFill="1" applyBorder="1" applyAlignment="1">
      <alignment horizontal="center" vertical="center" wrapText="1"/>
    </xf>
    <xf numFmtId="0" fontId="4" fillId="47" borderId="17" xfId="0" applyFont="1" applyFill="1" applyBorder="1" applyAlignment="1">
      <alignment horizontal="center" vertical="center"/>
    </xf>
    <xf numFmtId="0" fontId="4" fillId="25" borderId="21" xfId="0" applyFont="1" applyFill="1" applyBorder="1" applyAlignment="1">
      <alignment horizontal="center" vertical="center" wrapText="1"/>
    </xf>
    <xf numFmtId="0" fontId="0" fillId="0" borderId="20" xfId="0" applyBorder="1"/>
    <xf numFmtId="0" fontId="4" fillId="42" borderId="17" xfId="0" applyFont="1" applyFill="1" applyBorder="1" applyAlignment="1">
      <alignment horizontal="center" vertical="center"/>
    </xf>
    <xf numFmtId="0" fontId="10" fillId="46" borderId="17" xfId="0" applyFont="1" applyFill="1" applyBorder="1" applyAlignment="1">
      <alignment horizontal="center" vertical="center" wrapText="1"/>
    </xf>
    <xf numFmtId="0" fontId="10" fillId="43" borderId="17" xfId="0" applyFont="1" applyFill="1" applyBorder="1" applyAlignment="1">
      <alignment horizontal="center" vertical="center"/>
    </xf>
    <xf numFmtId="0" fontId="10" fillId="56" borderId="17" xfId="0" applyFont="1" applyFill="1" applyBorder="1" applyAlignment="1">
      <alignment horizontal="center" vertical="center" wrapText="1"/>
    </xf>
    <xf numFmtId="0" fontId="4" fillId="56" borderId="17" xfId="0" applyFont="1" applyFill="1" applyBorder="1" applyAlignment="1">
      <alignment horizontal="center" vertical="center" wrapText="1"/>
    </xf>
    <xf numFmtId="0" fontId="6" fillId="34" borderId="17" xfId="0" applyFont="1" applyFill="1" applyBorder="1" applyAlignment="1">
      <alignment horizontal="center" vertical="center"/>
    </xf>
    <xf numFmtId="0" fontId="4" fillId="37" borderId="17" xfId="0" applyFont="1" applyFill="1" applyBorder="1" applyAlignment="1">
      <alignment horizontal="center" vertical="center" wrapText="1"/>
    </xf>
    <xf numFmtId="0" fontId="4" fillId="75" borderId="22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4" fillId="86" borderId="22" xfId="0" applyFont="1" applyFill="1" applyBorder="1" applyAlignment="1">
      <alignment horizontal="center" vertical="center"/>
    </xf>
    <xf numFmtId="0" fontId="4" fillId="80" borderId="22" xfId="0" applyFont="1" applyFill="1" applyBorder="1" applyAlignment="1">
      <alignment horizontal="center" vertical="center"/>
    </xf>
    <xf numFmtId="0" fontId="4" fillId="73" borderId="22" xfId="0" applyFont="1" applyFill="1" applyBorder="1" applyAlignment="1">
      <alignment horizontal="center" vertical="center"/>
    </xf>
    <xf numFmtId="0" fontId="4" fillId="74" borderId="22" xfId="0" applyFont="1" applyFill="1" applyBorder="1" applyAlignment="1">
      <alignment horizontal="center" vertical="center"/>
    </xf>
    <xf numFmtId="0" fontId="4" fillId="85" borderId="22" xfId="0" applyFont="1" applyFill="1" applyBorder="1" applyAlignment="1">
      <alignment horizontal="center" vertical="center"/>
    </xf>
    <xf numFmtId="0" fontId="4" fillId="63" borderId="22" xfId="0" applyFont="1" applyFill="1" applyBorder="1" applyAlignment="1">
      <alignment horizontal="center" vertical="center"/>
    </xf>
    <xf numFmtId="0" fontId="4" fillId="81" borderId="22" xfId="0" applyFont="1" applyFill="1" applyBorder="1" applyAlignment="1">
      <alignment horizontal="center" vertical="center"/>
    </xf>
    <xf numFmtId="0" fontId="4" fillId="72" borderId="22" xfId="0" applyFont="1" applyFill="1" applyBorder="1" applyAlignment="1">
      <alignment horizontal="center" vertical="center"/>
    </xf>
    <xf numFmtId="0" fontId="4" fillId="71" borderId="22" xfId="0" applyFont="1" applyFill="1" applyBorder="1" applyAlignment="1">
      <alignment horizontal="center" vertical="center"/>
    </xf>
    <xf numFmtId="0" fontId="4" fillId="82" borderId="22" xfId="0" applyFont="1" applyFill="1" applyBorder="1" applyAlignment="1">
      <alignment horizontal="center" vertical="center"/>
    </xf>
    <xf numFmtId="0" fontId="4" fillId="70" borderId="22" xfId="0" applyFont="1" applyFill="1" applyBorder="1" applyAlignment="1">
      <alignment horizontal="center" vertical="center"/>
    </xf>
    <xf numFmtId="0" fontId="4" fillId="78" borderId="22" xfId="0" applyFont="1" applyFill="1" applyBorder="1" applyAlignment="1">
      <alignment horizontal="center" vertical="center"/>
    </xf>
    <xf numFmtId="0" fontId="4" fillId="83" borderId="22" xfId="0" applyFont="1" applyFill="1" applyBorder="1" applyAlignment="1">
      <alignment horizontal="center" vertical="center"/>
    </xf>
    <xf numFmtId="0" fontId="4" fillId="76" borderId="22" xfId="0" applyFont="1" applyFill="1" applyBorder="1" applyAlignment="1">
      <alignment horizontal="center" vertical="center"/>
    </xf>
    <xf numFmtId="0" fontId="4" fillId="77" borderId="22" xfId="0" applyFont="1" applyFill="1" applyBorder="1" applyAlignment="1">
      <alignment horizontal="center" vertical="center"/>
    </xf>
    <xf numFmtId="0" fontId="4" fillId="79" borderId="22" xfId="0" applyFont="1" applyFill="1" applyBorder="1" applyAlignment="1">
      <alignment horizontal="center" vertical="center"/>
    </xf>
    <xf numFmtId="0" fontId="4" fillId="84" borderId="22" xfId="0" applyFont="1" applyFill="1" applyBorder="1" applyAlignment="1">
      <alignment horizontal="center" vertical="center"/>
    </xf>
    <xf numFmtId="0" fontId="4" fillId="67" borderId="22" xfId="0" applyFont="1" applyFill="1" applyBorder="1" applyAlignment="1">
      <alignment horizontal="center" vertical="center"/>
    </xf>
    <xf numFmtId="0" fontId="4" fillId="68" borderId="22" xfId="0" applyFont="1" applyFill="1" applyBorder="1" applyAlignment="1">
      <alignment horizontal="center" vertical="center"/>
    </xf>
    <xf numFmtId="0" fontId="4" fillId="69" borderId="22" xfId="0" applyFont="1" applyFill="1" applyBorder="1" applyAlignment="1">
      <alignment horizontal="center" vertical="center"/>
    </xf>
    <xf numFmtId="0" fontId="4" fillId="65" borderId="22" xfId="0" applyFont="1" applyFill="1" applyBorder="1" applyAlignment="1">
      <alignment horizontal="center" vertical="center"/>
    </xf>
    <xf numFmtId="0" fontId="4" fillId="66" borderId="22" xfId="0" applyFont="1" applyFill="1" applyBorder="1" applyAlignment="1">
      <alignment horizontal="center" vertical="center"/>
    </xf>
    <xf numFmtId="0" fontId="4" fillId="64" borderId="22" xfId="0" applyFont="1" applyFill="1" applyBorder="1" applyAlignment="1">
      <alignment horizontal="center" vertical="center"/>
    </xf>
    <xf numFmtId="0" fontId="4" fillId="62" borderId="22" xfId="0" applyFont="1" applyFill="1" applyBorder="1" applyAlignment="1">
      <alignment horizontal="center" vertical="center"/>
    </xf>
    <xf numFmtId="0" fontId="4" fillId="20" borderId="22" xfId="0" applyFont="1" applyFill="1" applyBorder="1" applyAlignment="1">
      <alignment horizontal="center" vertical="center"/>
    </xf>
    <xf numFmtId="0" fontId="4" fillId="59" borderId="22" xfId="0" applyFont="1" applyFill="1" applyBorder="1" applyAlignment="1">
      <alignment horizontal="center" vertical="center"/>
    </xf>
    <xf numFmtId="0" fontId="4" fillId="60" borderId="22" xfId="0" applyFont="1" applyFill="1" applyBorder="1" applyAlignment="1">
      <alignment horizontal="center" vertical="center"/>
    </xf>
    <xf numFmtId="0" fontId="4" fillId="61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2"/>
  <sheetViews>
    <sheetView tabSelected="1" topLeftCell="A46" zoomScale="120" zoomScaleNormal="120" workbookViewId="0">
      <selection activeCell="M65" sqref="M65"/>
    </sheetView>
  </sheetViews>
  <sheetFormatPr defaultColWidth="8.77734375" defaultRowHeight="14.4" x14ac:dyDescent="0.3"/>
  <cols>
    <col min="1" max="1" width="19" customWidth="1"/>
    <col min="2" max="2" width="57.33203125" style="65" bestFit="1" customWidth="1"/>
    <col min="3" max="3" width="12.6640625" style="65" customWidth="1"/>
    <col min="4" max="4" width="13.33203125" style="65" customWidth="1"/>
    <col min="6" max="6" width="9.44140625" bestFit="1" customWidth="1"/>
    <col min="7" max="7" width="10" bestFit="1" customWidth="1"/>
    <col min="8" max="8" width="13.109375" customWidth="1"/>
    <col min="9" max="9" width="9.6640625" bestFit="1" customWidth="1"/>
    <col min="11" max="11" width="10.109375" bestFit="1" customWidth="1"/>
    <col min="12" max="12" width="9.44140625" bestFit="1" customWidth="1"/>
    <col min="14" max="14" width="12.6640625" customWidth="1"/>
    <col min="15" max="15" width="15.44140625" customWidth="1"/>
  </cols>
  <sheetData>
    <row r="1" spans="1:15" ht="19.8" customHeight="1" x14ac:dyDescent="0.4">
      <c r="A1" s="1"/>
      <c r="B1" s="2" t="s">
        <v>0</v>
      </c>
      <c r="C1" s="2" t="s">
        <v>1</v>
      </c>
      <c r="D1" s="3" t="s">
        <v>2</v>
      </c>
    </row>
    <row r="2" spans="1:15" ht="22.8" customHeight="1" x14ac:dyDescent="0.45">
      <c r="A2" s="4"/>
      <c r="B2" s="5" t="s">
        <v>3</v>
      </c>
      <c r="C2" s="6">
        <f>MIN(C3:C16)</f>
        <v>43893</v>
      </c>
      <c r="D2" s="7">
        <f>MAX(D3:D16)</f>
        <v>44625</v>
      </c>
    </row>
    <row r="3" spans="1:15" x14ac:dyDescent="0.3">
      <c r="A3" s="75" t="s">
        <v>4</v>
      </c>
      <c r="B3" s="8" t="s">
        <v>5</v>
      </c>
      <c r="C3" s="9">
        <v>43893</v>
      </c>
      <c r="D3" s="10">
        <f>C3+2</f>
        <v>43895</v>
      </c>
    </row>
    <row r="4" spans="1:15" x14ac:dyDescent="0.3">
      <c r="A4" s="75" t="s">
        <v>4</v>
      </c>
      <c r="B4" s="8" t="s">
        <v>6</v>
      </c>
      <c r="C4" s="9">
        <v>43943</v>
      </c>
      <c r="D4" s="10">
        <f>C4+1</f>
        <v>43944</v>
      </c>
    </row>
    <row r="5" spans="1:15" x14ac:dyDescent="0.3">
      <c r="A5" s="75" t="s">
        <v>7</v>
      </c>
      <c r="B5" s="8" t="s">
        <v>8</v>
      </c>
      <c r="C5" s="9">
        <v>44024</v>
      </c>
      <c r="D5" s="10">
        <f>C5+1</f>
        <v>44025</v>
      </c>
      <c r="F5" s="11"/>
    </row>
    <row r="6" spans="1:15" x14ac:dyDescent="0.3">
      <c r="A6" s="75" t="s">
        <v>7</v>
      </c>
      <c r="B6" s="8" t="s">
        <v>10</v>
      </c>
      <c r="C6" s="9">
        <v>44077</v>
      </c>
      <c r="D6" s="10">
        <f>C6+2</f>
        <v>44079</v>
      </c>
    </row>
    <row r="7" spans="1:15" x14ac:dyDescent="0.3">
      <c r="A7" s="75" t="s">
        <v>4</v>
      </c>
      <c r="B7" s="8" t="s">
        <v>9</v>
      </c>
      <c r="C7" s="9">
        <f>D34</f>
        <v>44081</v>
      </c>
      <c r="D7" s="10">
        <f>C7+1</f>
        <v>44082</v>
      </c>
      <c r="F7" s="11"/>
    </row>
    <row r="8" spans="1:15" x14ac:dyDescent="0.3">
      <c r="A8" s="75" t="s">
        <v>4</v>
      </c>
      <c r="B8" s="8" t="s">
        <v>11</v>
      </c>
      <c r="C8" s="9">
        <v>44092</v>
      </c>
      <c r="D8" s="10">
        <f>C8+1</f>
        <v>44093</v>
      </c>
    </row>
    <row r="9" spans="1:15" x14ac:dyDescent="0.3">
      <c r="A9" s="75" t="s">
        <v>12</v>
      </c>
      <c r="B9" s="8" t="s">
        <v>13</v>
      </c>
      <c r="C9" s="9">
        <v>44102</v>
      </c>
      <c r="D9" s="10">
        <f>C9+2</f>
        <v>44104</v>
      </c>
    </row>
    <row r="10" spans="1:15" x14ac:dyDescent="0.3">
      <c r="A10" s="75" t="s">
        <v>12</v>
      </c>
      <c r="B10" s="8" t="s">
        <v>14</v>
      </c>
      <c r="C10" s="9">
        <v>44119</v>
      </c>
      <c r="D10" s="10">
        <f>C10+2</f>
        <v>44121</v>
      </c>
      <c r="F10" s="11"/>
    </row>
    <row r="11" spans="1:15" x14ac:dyDescent="0.3">
      <c r="A11" s="75" t="s">
        <v>4</v>
      </c>
      <c r="B11" s="8" t="s">
        <v>15</v>
      </c>
      <c r="C11" s="9">
        <v>44149</v>
      </c>
      <c r="D11" s="10">
        <f>C11+2</f>
        <v>44151</v>
      </c>
      <c r="F11" s="11"/>
    </row>
    <row r="12" spans="1:15" x14ac:dyDescent="0.3">
      <c r="A12" s="75" t="s">
        <v>7</v>
      </c>
      <c r="B12" s="8" t="s">
        <v>16</v>
      </c>
      <c r="C12" s="9">
        <v>44470</v>
      </c>
      <c r="D12" s="10">
        <f>C12+2</f>
        <v>44472</v>
      </c>
      <c r="F12" s="11"/>
    </row>
    <row r="13" spans="1:15" x14ac:dyDescent="0.3">
      <c r="A13" s="75" t="s">
        <v>12</v>
      </c>
      <c r="B13" s="8" t="s">
        <v>17</v>
      </c>
      <c r="C13" s="9">
        <v>44484</v>
      </c>
      <c r="D13" s="10">
        <f>C13+2</f>
        <v>44486</v>
      </c>
      <c r="F13" s="11"/>
    </row>
    <row r="14" spans="1:15" x14ac:dyDescent="0.3">
      <c r="A14" s="75" t="s">
        <v>4</v>
      </c>
      <c r="B14" s="8" t="s">
        <v>18</v>
      </c>
      <c r="C14" s="9">
        <v>44489</v>
      </c>
      <c r="D14" s="10">
        <f>C14+1</f>
        <v>44490</v>
      </c>
    </row>
    <row r="15" spans="1:15" x14ac:dyDescent="0.3">
      <c r="A15" s="75" t="s">
        <v>7</v>
      </c>
      <c r="B15" s="8" t="s">
        <v>19</v>
      </c>
      <c r="C15" s="9">
        <v>44531</v>
      </c>
      <c r="D15" s="10">
        <f>C15+2</f>
        <v>44533</v>
      </c>
    </row>
    <row r="16" spans="1:15" x14ac:dyDescent="0.3">
      <c r="A16" s="75" t="s">
        <v>4</v>
      </c>
      <c r="B16" s="8" t="s">
        <v>20</v>
      </c>
      <c r="C16" s="9">
        <v>44622</v>
      </c>
      <c r="D16" s="10">
        <f>C16+3</f>
        <v>44625</v>
      </c>
      <c r="N16" s="11"/>
      <c r="O16" s="11"/>
    </row>
    <row r="17" spans="1:14" ht="23.4" customHeight="1" x14ac:dyDescent="0.45">
      <c r="A17" s="4"/>
      <c r="B17" s="5" t="s">
        <v>21</v>
      </c>
      <c r="C17" s="6">
        <f>MIN(C18:C20)</f>
        <v>43893</v>
      </c>
      <c r="D17" s="7">
        <f>MAX(D18:D20)</f>
        <v>44137</v>
      </c>
    </row>
    <row r="18" spans="1:14" x14ac:dyDescent="0.3">
      <c r="A18" s="75" t="s">
        <v>22</v>
      </c>
      <c r="B18" s="8" t="s">
        <v>23</v>
      </c>
      <c r="C18" s="9">
        <f>C3</f>
        <v>43893</v>
      </c>
      <c r="D18" s="10">
        <f>C18+2</f>
        <v>43895</v>
      </c>
      <c r="N18" s="11"/>
    </row>
    <row r="19" spans="1:14" x14ac:dyDescent="0.3">
      <c r="A19" s="75" t="s">
        <v>22</v>
      </c>
      <c r="B19" s="8" t="s">
        <v>24</v>
      </c>
      <c r="C19" s="9">
        <v>44058</v>
      </c>
      <c r="D19" s="10">
        <f>C19</f>
        <v>44058</v>
      </c>
    </row>
    <row r="20" spans="1:14" x14ac:dyDescent="0.3">
      <c r="A20" s="75" t="s">
        <v>22</v>
      </c>
      <c r="B20" s="8" t="s">
        <v>25</v>
      </c>
      <c r="C20" s="9">
        <v>44137</v>
      </c>
      <c r="D20" s="10">
        <f>C20</f>
        <v>44137</v>
      </c>
    </row>
    <row r="21" spans="1:14" ht="23.4" customHeight="1" x14ac:dyDescent="0.45">
      <c r="A21" s="12"/>
      <c r="B21" s="13" t="s">
        <v>26</v>
      </c>
      <c r="C21" s="14">
        <f>MIN(C22:C29)</f>
        <v>43850</v>
      </c>
      <c r="D21" s="15">
        <f>MAX(D22:D29)</f>
        <v>44223</v>
      </c>
    </row>
    <row r="22" spans="1:14" x14ac:dyDescent="0.3">
      <c r="A22" s="75" t="s">
        <v>27</v>
      </c>
      <c r="B22" s="8" t="s">
        <v>28</v>
      </c>
      <c r="C22" s="16">
        <v>43850</v>
      </c>
      <c r="D22" s="17">
        <f t="shared" ref="D22:D29" si="0">C22+1</f>
        <v>43851</v>
      </c>
    </row>
    <row r="23" spans="1:14" x14ac:dyDescent="0.3">
      <c r="A23" s="75" t="s">
        <v>27</v>
      </c>
      <c r="B23" s="8" t="s">
        <v>29</v>
      </c>
      <c r="C23" s="16">
        <v>43906</v>
      </c>
      <c r="D23" s="17">
        <f t="shared" si="0"/>
        <v>43907</v>
      </c>
    </row>
    <row r="24" spans="1:14" x14ac:dyDescent="0.3">
      <c r="A24" s="75" t="s">
        <v>27</v>
      </c>
      <c r="B24" s="8" t="s">
        <v>30</v>
      </c>
      <c r="C24" s="16">
        <v>44005</v>
      </c>
      <c r="D24" s="17">
        <f t="shared" si="0"/>
        <v>44006</v>
      </c>
    </row>
    <row r="25" spans="1:14" x14ac:dyDescent="0.3">
      <c r="A25" s="75" t="s">
        <v>27</v>
      </c>
      <c r="B25" s="8" t="s">
        <v>31</v>
      </c>
      <c r="C25" s="16">
        <v>44053</v>
      </c>
      <c r="D25" s="17">
        <f t="shared" si="0"/>
        <v>44054</v>
      </c>
    </row>
    <row r="26" spans="1:14" x14ac:dyDescent="0.3">
      <c r="A26" s="75" t="s">
        <v>27</v>
      </c>
      <c r="B26" s="8" t="s">
        <v>32</v>
      </c>
      <c r="C26" s="18">
        <v>44097</v>
      </c>
      <c r="D26" s="19">
        <f t="shared" si="0"/>
        <v>44098</v>
      </c>
    </row>
    <row r="27" spans="1:14" x14ac:dyDescent="0.3">
      <c r="A27" s="75" t="s">
        <v>27</v>
      </c>
      <c r="B27" s="8" t="s">
        <v>33</v>
      </c>
      <c r="C27" s="18">
        <v>44146</v>
      </c>
      <c r="D27" s="19">
        <f t="shared" si="0"/>
        <v>44147</v>
      </c>
    </row>
    <row r="28" spans="1:14" x14ac:dyDescent="0.3">
      <c r="A28" s="75" t="s">
        <v>27</v>
      </c>
      <c r="B28" s="8" t="s">
        <v>34</v>
      </c>
      <c r="C28" s="18">
        <v>44180</v>
      </c>
      <c r="D28" s="19">
        <f t="shared" si="0"/>
        <v>44181</v>
      </c>
    </row>
    <row r="29" spans="1:14" x14ac:dyDescent="0.3">
      <c r="A29" s="75" t="s">
        <v>27</v>
      </c>
      <c r="B29" s="8" t="s">
        <v>35</v>
      </c>
      <c r="C29" s="18">
        <v>44222</v>
      </c>
      <c r="D29" s="19">
        <f t="shared" si="0"/>
        <v>44223</v>
      </c>
    </row>
    <row r="30" spans="1:14" ht="23.4" customHeight="1" x14ac:dyDescent="0.3">
      <c r="A30" s="20"/>
      <c r="B30" s="21" t="s">
        <v>36</v>
      </c>
      <c r="C30" s="22">
        <f>MIN(C31:C40)</f>
        <v>43920</v>
      </c>
      <c r="D30" s="23">
        <f>MAX(D31:D40)</f>
        <v>44474</v>
      </c>
    </row>
    <row r="31" spans="1:14" x14ac:dyDescent="0.3">
      <c r="A31" s="75" t="s">
        <v>37</v>
      </c>
      <c r="B31" s="24" t="s">
        <v>38</v>
      </c>
      <c r="C31" s="9">
        <v>43920</v>
      </c>
      <c r="D31" s="10">
        <f>C31+1</f>
        <v>43921</v>
      </c>
    </row>
    <row r="32" spans="1:14" x14ac:dyDescent="0.3">
      <c r="A32" s="75" t="s">
        <v>37</v>
      </c>
      <c r="B32" s="24" t="s">
        <v>39</v>
      </c>
      <c r="C32" s="9">
        <f>D124+28</f>
        <v>44036</v>
      </c>
      <c r="D32" s="10">
        <f>C32+1</f>
        <v>44037</v>
      </c>
    </row>
    <row r="33" spans="1:10" x14ac:dyDescent="0.3">
      <c r="A33" s="75" t="s">
        <v>37</v>
      </c>
      <c r="B33" s="24" t="s">
        <v>42</v>
      </c>
      <c r="C33" s="9">
        <v>44067</v>
      </c>
      <c r="D33" s="10">
        <f>C33+1</f>
        <v>44068</v>
      </c>
    </row>
    <row r="34" spans="1:10" x14ac:dyDescent="0.3">
      <c r="A34" s="75" t="s">
        <v>37</v>
      </c>
      <c r="B34" s="24" t="s">
        <v>40</v>
      </c>
      <c r="C34" s="9">
        <f>D126+23</f>
        <v>44080</v>
      </c>
      <c r="D34" s="10">
        <f>C34+1</f>
        <v>44081</v>
      </c>
    </row>
    <row r="35" spans="1:10" x14ac:dyDescent="0.3">
      <c r="A35" s="75" t="s">
        <v>37</v>
      </c>
      <c r="B35" s="24" t="s">
        <v>41</v>
      </c>
      <c r="C35" s="9">
        <f>D34+2</f>
        <v>44083</v>
      </c>
      <c r="D35" s="10">
        <f>C35+1</f>
        <v>44084</v>
      </c>
      <c r="H35" s="25"/>
      <c r="I35" s="25"/>
    </row>
    <row r="36" spans="1:10" x14ac:dyDescent="0.3">
      <c r="A36" s="75" t="s">
        <v>43</v>
      </c>
      <c r="B36" s="24" t="s">
        <v>44</v>
      </c>
      <c r="C36" s="9">
        <v>44311</v>
      </c>
      <c r="D36" s="10">
        <f>C36+2</f>
        <v>44313</v>
      </c>
    </row>
    <row r="37" spans="1:10" x14ac:dyDescent="0.3">
      <c r="A37" s="75" t="s">
        <v>43</v>
      </c>
      <c r="B37" s="24" t="s">
        <v>45</v>
      </c>
      <c r="C37" s="9">
        <v>44332</v>
      </c>
      <c r="D37" s="10">
        <f>C37+1</f>
        <v>44333</v>
      </c>
    </row>
    <row r="38" spans="1:10" x14ac:dyDescent="0.3">
      <c r="A38" s="75" t="s">
        <v>43</v>
      </c>
      <c r="B38" s="24" t="s">
        <v>46</v>
      </c>
      <c r="C38" s="9">
        <v>44341</v>
      </c>
      <c r="D38" s="10">
        <f>C38+1</f>
        <v>44342</v>
      </c>
    </row>
    <row r="39" spans="1:10" x14ac:dyDescent="0.3">
      <c r="A39" s="75" t="s">
        <v>43</v>
      </c>
      <c r="B39" s="24" t="s">
        <v>47</v>
      </c>
      <c r="C39" s="9">
        <v>44430</v>
      </c>
      <c r="D39" s="10">
        <f>C39+1</f>
        <v>44431</v>
      </c>
    </row>
    <row r="40" spans="1:10" x14ac:dyDescent="0.3">
      <c r="A40" s="75" t="s">
        <v>43</v>
      </c>
      <c r="B40" s="24" t="s">
        <v>48</v>
      </c>
      <c r="C40" s="9">
        <f>D172+60</f>
        <v>44473</v>
      </c>
      <c r="D40" s="10">
        <f>C40+1</f>
        <v>44474</v>
      </c>
    </row>
    <row r="41" spans="1:10" ht="20.399999999999999" customHeight="1" x14ac:dyDescent="0.35">
      <c r="A41" s="26"/>
      <c r="B41" s="27" t="s">
        <v>49</v>
      </c>
      <c r="C41" s="28">
        <f>MIN(C42:C49)</f>
        <v>43789</v>
      </c>
      <c r="D41" s="29">
        <f>MAX(D42:D49)</f>
        <v>44240</v>
      </c>
    </row>
    <row r="42" spans="1:10" x14ac:dyDescent="0.3">
      <c r="A42" s="76" t="s">
        <v>50</v>
      </c>
      <c r="B42" s="30" t="s">
        <v>51</v>
      </c>
      <c r="C42" s="31">
        <v>43789</v>
      </c>
      <c r="D42" s="32">
        <v>43814</v>
      </c>
    </row>
    <row r="43" spans="1:10" x14ac:dyDescent="0.3">
      <c r="A43" s="76" t="s">
        <v>50</v>
      </c>
      <c r="B43" s="30" t="s">
        <v>52</v>
      </c>
      <c r="C43" s="31">
        <v>43836</v>
      </c>
      <c r="D43" s="32">
        <v>43889</v>
      </c>
    </row>
    <row r="44" spans="1:10" x14ac:dyDescent="0.3">
      <c r="A44" s="76" t="s">
        <v>50</v>
      </c>
      <c r="B44" s="30" t="s">
        <v>53</v>
      </c>
      <c r="C44" s="31">
        <v>44114</v>
      </c>
      <c r="D44" s="31">
        <f>WORKDAY(C44,19)</f>
        <v>44140</v>
      </c>
    </row>
    <row r="45" spans="1:10" x14ac:dyDescent="0.3">
      <c r="A45" s="76" t="s">
        <v>50</v>
      </c>
      <c r="B45" s="30" t="s">
        <v>54</v>
      </c>
      <c r="C45" s="31">
        <f>D44+1</f>
        <v>44141</v>
      </c>
      <c r="D45" s="31">
        <f>C45+3</f>
        <v>44144</v>
      </c>
    </row>
    <row r="46" spans="1:10" x14ac:dyDescent="0.3">
      <c r="A46" s="76" t="s">
        <v>50</v>
      </c>
      <c r="B46" s="33" t="s">
        <v>55</v>
      </c>
      <c r="C46" s="31">
        <f>D45+1</f>
        <v>44145</v>
      </c>
      <c r="D46" s="31">
        <f>WORKDAY(C46,1)</f>
        <v>44146</v>
      </c>
      <c r="I46" s="11"/>
      <c r="J46" s="11"/>
    </row>
    <row r="47" spans="1:10" x14ac:dyDescent="0.3">
      <c r="A47" s="76" t="s">
        <v>50</v>
      </c>
      <c r="B47" s="30" t="s">
        <v>56</v>
      </c>
      <c r="C47" s="31">
        <f>D45+16</f>
        <v>44160</v>
      </c>
      <c r="D47" s="31">
        <f>C47+24</f>
        <v>44184</v>
      </c>
    </row>
    <row r="48" spans="1:10" x14ac:dyDescent="0.3">
      <c r="A48" s="76" t="s">
        <v>50</v>
      </c>
      <c r="B48" s="30" t="s">
        <v>57</v>
      </c>
      <c r="C48" s="31">
        <f>D47+1</f>
        <v>44185</v>
      </c>
      <c r="D48" s="31">
        <f>C48+34</f>
        <v>44219</v>
      </c>
    </row>
    <row r="49" spans="1:12" x14ac:dyDescent="0.3">
      <c r="A49" s="76" t="s">
        <v>50</v>
      </c>
      <c r="B49" s="30" t="s">
        <v>58</v>
      </c>
      <c r="C49" s="31">
        <f>D48+1</f>
        <v>44220</v>
      </c>
      <c r="D49" s="31">
        <f>C49+20</f>
        <v>44240</v>
      </c>
    </row>
    <row r="50" spans="1:12" ht="20.399999999999999" customHeight="1" x14ac:dyDescent="0.35">
      <c r="A50" s="26"/>
      <c r="B50" s="34" t="s">
        <v>59</v>
      </c>
      <c r="C50" s="6">
        <f>MIN(C51:C54)</f>
        <v>43966</v>
      </c>
      <c r="D50" s="7">
        <f>MAX(D51:D54)</f>
        <v>44256</v>
      </c>
    </row>
    <row r="51" spans="1:12" x14ac:dyDescent="0.3">
      <c r="A51" s="75" t="s">
        <v>60</v>
      </c>
      <c r="B51" s="30" t="s">
        <v>61</v>
      </c>
      <c r="C51" s="31">
        <v>43966</v>
      </c>
      <c r="D51" s="31">
        <v>44042</v>
      </c>
    </row>
    <row r="52" spans="1:12" x14ac:dyDescent="0.3">
      <c r="A52" s="75" t="s">
        <v>60</v>
      </c>
      <c r="B52" s="30" t="s">
        <v>62</v>
      </c>
      <c r="C52" s="31">
        <f>WORKDAY(D51,10)</f>
        <v>44056</v>
      </c>
      <c r="D52" s="31">
        <f>WORKDAY(C52,55)</f>
        <v>44133</v>
      </c>
    </row>
    <row r="53" spans="1:12" x14ac:dyDescent="0.3">
      <c r="A53" s="75" t="s">
        <v>60</v>
      </c>
      <c r="B53" s="30" t="s">
        <v>63</v>
      </c>
      <c r="C53" s="31">
        <f>WORKDAY(D52,2)</f>
        <v>44137</v>
      </c>
      <c r="D53" s="31">
        <f>WORKDAY(C53,53)</f>
        <v>44210</v>
      </c>
    </row>
    <row r="54" spans="1:12" ht="16.2" customHeight="1" x14ac:dyDescent="0.3">
      <c r="A54" s="75" t="s">
        <v>60</v>
      </c>
      <c r="B54" s="30" t="s">
        <v>64</v>
      </c>
      <c r="C54" s="31">
        <f>WORKDAY(D53,1)</f>
        <v>44211</v>
      </c>
      <c r="D54" s="31">
        <f>WORKDAY(C54,31)</f>
        <v>44256</v>
      </c>
    </row>
    <row r="55" spans="1:12" ht="20.399999999999999" x14ac:dyDescent="0.35">
      <c r="A55" s="35"/>
      <c r="B55" s="36" t="s">
        <v>65</v>
      </c>
      <c r="C55" s="37">
        <f>MIN(C56:C73)</f>
        <v>43961</v>
      </c>
      <c r="D55" s="37">
        <f>MAX(D56:D73)</f>
        <v>44401</v>
      </c>
    </row>
    <row r="56" spans="1:12" x14ac:dyDescent="0.3">
      <c r="A56" s="67" t="s">
        <v>66</v>
      </c>
      <c r="B56" s="39" t="s">
        <v>67</v>
      </c>
      <c r="C56" s="9">
        <v>43961</v>
      </c>
      <c r="D56" s="9">
        <f>C56+10</f>
        <v>43971</v>
      </c>
    </row>
    <row r="57" spans="1:12" x14ac:dyDescent="0.3">
      <c r="A57" s="67" t="s">
        <v>66</v>
      </c>
      <c r="B57" s="39" t="s">
        <v>341</v>
      </c>
      <c r="C57" s="9">
        <v>44042</v>
      </c>
      <c r="D57" s="9">
        <f>C57+20</f>
        <v>44062</v>
      </c>
    </row>
    <row r="58" spans="1:12" x14ac:dyDescent="0.3">
      <c r="A58" s="67" t="s">
        <v>68</v>
      </c>
      <c r="B58" s="39" t="s">
        <v>68</v>
      </c>
      <c r="C58" s="9">
        <f>C10+1</f>
        <v>44120</v>
      </c>
      <c r="D58" s="31">
        <f>WORKDAY(C58,3)</f>
        <v>44125</v>
      </c>
    </row>
    <row r="59" spans="1:12" x14ac:dyDescent="0.3">
      <c r="A59" s="72" t="s">
        <v>69</v>
      </c>
      <c r="B59" s="40" t="s">
        <v>70</v>
      </c>
      <c r="C59" s="31">
        <f>D58+1</f>
        <v>44126</v>
      </c>
      <c r="D59" s="31">
        <f>WORKDAY(C59,22)</f>
        <v>44158</v>
      </c>
    </row>
    <row r="60" spans="1:12" x14ac:dyDescent="0.3">
      <c r="A60" s="68" t="s">
        <v>71</v>
      </c>
      <c r="B60" s="40" t="s">
        <v>72</v>
      </c>
      <c r="C60" s="31">
        <f>D59+1</f>
        <v>44159</v>
      </c>
      <c r="D60" s="31">
        <f>C60+6</f>
        <v>44165</v>
      </c>
    </row>
    <row r="61" spans="1:12" x14ac:dyDescent="0.3">
      <c r="A61" s="68" t="s">
        <v>69</v>
      </c>
      <c r="B61" s="40" t="s">
        <v>73</v>
      </c>
      <c r="C61" s="31">
        <f>D60+1</f>
        <v>44166</v>
      </c>
      <c r="D61" s="31">
        <f>C61+12</f>
        <v>44178</v>
      </c>
    </row>
    <row r="62" spans="1:12" x14ac:dyDescent="0.3">
      <c r="A62" s="68" t="s">
        <v>74</v>
      </c>
      <c r="B62" s="40" t="s">
        <v>75</v>
      </c>
      <c r="C62" s="31">
        <f>D61+1</f>
        <v>44179</v>
      </c>
      <c r="D62" s="31">
        <f>WORKDAY(C62,6)</f>
        <v>44187</v>
      </c>
      <c r="K62" s="11"/>
      <c r="L62" s="11"/>
    </row>
    <row r="63" spans="1:12" x14ac:dyDescent="0.3">
      <c r="A63" s="76" t="s">
        <v>76</v>
      </c>
      <c r="B63" s="40" t="s">
        <v>77</v>
      </c>
      <c r="C63" s="31">
        <v>44247</v>
      </c>
      <c r="D63" s="31">
        <f>WORKDAY(C63,9)</f>
        <v>44259</v>
      </c>
    </row>
    <row r="64" spans="1:12" x14ac:dyDescent="0.3">
      <c r="A64" s="69" t="s">
        <v>78</v>
      </c>
      <c r="B64" s="40" t="s">
        <v>79</v>
      </c>
      <c r="C64" s="9">
        <f>D63+3</f>
        <v>44262</v>
      </c>
      <c r="D64" s="31">
        <f>WORKDAY(C64,4)</f>
        <v>44266</v>
      </c>
    </row>
    <row r="65" spans="1:4" x14ac:dyDescent="0.3">
      <c r="A65" s="75" t="s">
        <v>74</v>
      </c>
      <c r="B65" s="30" t="s">
        <v>80</v>
      </c>
      <c r="C65" s="9">
        <f t="shared" ref="C65:C73" si="1">D64+1</f>
        <v>44267</v>
      </c>
      <c r="D65" s="10">
        <f t="shared" ref="D65:D73" si="2">C65+14</f>
        <v>44281</v>
      </c>
    </row>
    <row r="66" spans="1:4" x14ac:dyDescent="0.3">
      <c r="A66" s="75" t="s">
        <v>74</v>
      </c>
      <c r="B66" s="30" t="s">
        <v>81</v>
      </c>
      <c r="C66" s="9">
        <f t="shared" si="1"/>
        <v>44282</v>
      </c>
      <c r="D66" s="10">
        <f t="shared" si="2"/>
        <v>44296</v>
      </c>
    </row>
    <row r="67" spans="1:4" x14ac:dyDescent="0.3">
      <c r="A67" s="75" t="s">
        <v>74</v>
      </c>
      <c r="B67" s="30" t="s">
        <v>82</v>
      </c>
      <c r="C67" s="9">
        <f t="shared" si="1"/>
        <v>44297</v>
      </c>
      <c r="D67" s="10">
        <f t="shared" si="2"/>
        <v>44311</v>
      </c>
    </row>
    <row r="68" spans="1:4" x14ac:dyDescent="0.3">
      <c r="A68" s="75" t="s">
        <v>74</v>
      </c>
      <c r="B68" s="30" t="s">
        <v>83</v>
      </c>
      <c r="C68" s="9">
        <f t="shared" si="1"/>
        <v>44312</v>
      </c>
      <c r="D68" s="10">
        <f t="shared" si="2"/>
        <v>44326</v>
      </c>
    </row>
    <row r="69" spans="1:4" x14ac:dyDescent="0.3">
      <c r="A69" s="75" t="s">
        <v>74</v>
      </c>
      <c r="B69" s="30" t="s">
        <v>84</v>
      </c>
      <c r="C69" s="9">
        <f t="shared" si="1"/>
        <v>44327</v>
      </c>
      <c r="D69" s="10">
        <f t="shared" si="2"/>
        <v>44341</v>
      </c>
    </row>
    <row r="70" spans="1:4" x14ac:dyDescent="0.3">
      <c r="A70" s="75" t="s">
        <v>74</v>
      </c>
      <c r="B70" s="30" t="s">
        <v>85</v>
      </c>
      <c r="C70" s="9">
        <f t="shared" si="1"/>
        <v>44342</v>
      </c>
      <c r="D70" s="10">
        <f t="shared" si="2"/>
        <v>44356</v>
      </c>
    </row>
    <row r="71" spans="1:4" x14ac:dyDescent="0.3">
      <c r="A71" s="75" t="s">
        <v>74</v>
      </c>
      <c r="B71" s="30" t="s">
        <v>86</v>
      </c>
      <c r="C71" s="9">
        <f t="shared" si="1"/>
        <v>44357</v>
      </c>
      <c r="D71" s="10">
        <f t="shared" si="2"/>
        <v>44371</v>
      </c>
    </row>
    <row r="72" spans="1:4" x14ac:dyDescent="0.3">
      <c r="A72" s="75" t="s">
        <v>74</v>
      </c>
      <c r="B72" s="30" t="s">
        <v>87</v>
      </c>
      <c r="C72" s="9">
        <f t="shared" si="1"/>
        <v>44372</v>
      </c>
      <c r="D72" s="10">
        <f t="shared" si="2"/>
        <v>44386</v>
      </c>
    </row>
    <row r="73" spans="1:4" x14ac:dyDescent="0.3">
      <c r="A73" s="75" t="s">
        <v>88</v>
      </c>
      <c r="B73" s="30" t="s">
        <v>89</v>
      </c>
      <c r="C73" s="9">
        <f t="shared" si="1"/>
        <v>44387</v>
      </c>
      <c r="D73" s="41">
        <f t="shared" si="2"/>
        <v>44401</v>
      </c>
    </row>
    <row r="74" spans="1:4" ht="20.399999999999999" customHeight="1" x14ac:dyDescent="0.35">
      <c r="A74" s="26"/>
      <c r="B74" s="42" t="s">
        <v>90</v>
      </c>
      <c r="C74" s="43">
        <f>MIN(C75:C76)</f>
        <v>43866</v>
      </c>
      <c r="D74" s="43">
        <f>MAX(D75:D76)</f>
        <v>43984</v>
      </c>
    </row>
    <row r="75" spans="1:4" ht="28.8" customHeight="1" x14ac:dyDescent="0.3">
      <c r="A75" s="69" t="s">
        <v>91</v>
      </c>
      <c r="B75" s="44" t="s">
        <v>92</v>
      </c>
      <c r="C75" s="31">
        <v>43866</v>
      </c>
      <c r="D75" s="31">
        <f>WORKDAY(C75,5)</f>
        <v>43873</v>
      </c>
    </row>
    <row r="76" spans="1:4" ht="15" customHeight="1" x14ac:dyDescent="0.3">
      <c r="A76" s="69" t="s">
        <v>93</v>
      </c>
      <c r="B76" s="44" t="s">
        <v>94</v>
      </c>
      <c r="C76" s="31">
        <v>43944</v>
      </c>
      <c r="D76" s="31">
        <f>C76+40</f>
        <v>43984</v>
      </c>
    </row>
    <row r="77" spans="1:4" ht="15" customHeight="1" x14ac:dyDescent="0.3">
      <c r="A77" s="69" t="s">
        <v>74</v>
      </c>
      <c r="B77" s="44" t="s">
        <v>95</v>
      </c>
      <c r="C77" s="31">
        <f>D76+9</f>
        <v>43993</v>
      </c>
      <c r="D77" s="31">
        <f>C77+22</f>
        <v>44015</v>
      </c>
    </row>
    <row r="78" spans="1:4" ht="15" customHeight="1" x14ac:dyDescent="0.3">
      <c r="A78" s="69" t="s">
        <v>96</v>
      </c>
      <c r="B78" s="44" t="s">
        <v>97</v>
      </c>
      <c r="C78" s="31">
        <f>D77+1</f>
        <v>44016</v>
      </c>
      <c r="D78" s="31">
        <f>C78+6</f>
        <v>44022</v>
      </c>
    </row>
    <row r="79" spans="1:4" ht="20.399999999999999" customHeight="1" x14ac:dyDescent="0.35">
      <c r="A79" s="45"/>
      <c r="B79" s="46" t="s">
        <v>98</v>
      </c>
      <c r="C79" s="47">
        <f>MIN(C80:C112)</f>
        <v>43836</v>
      </c>
      <c r="D79" s="47">
        <f>MAX(D80:D112)</f>
        <v>44348</v>
      </c>
    </row>
    <row r="80" spans="1:4" x14ac:dyDescent="0.3">
      <c r="A80" s="69" t="s">
        <v>76</v>
      </c>
      <c r="B80" s="48" t="s">
        <v>99</v>
      </c>
      <c r="C80" s="31">
        <v>43836</v>
      </c>
      <c r="D80" s="31">
        <f>WORKDAY(C80,2)</f>
        <v>43838</v>
      </c>
    </row>
    <row r="81" spans="1:4" x14ac:dyDescent="0.3">
      <c r="A81" s="69" t="s">
        <v>76</v>
      </c>
      <c r="B81" s="48" t="s">
        <v>100</v>
      </c>
      <c r="C81" s="31">
        <f>WORKDAY(D80,3)</f>
        <v>43843</v>
      </c>
      <c r="D81" s="31">
        <f>WORKDAY(C81,35)</f>
        <v>43892</v>
      </c>
    </row>
    <row r="82" spans="1:4" x14ac:dyDescent="0.3">
      <c r="A82" s="69" t="s">
        <v>101</v>
      </c>
      <c r="B82" s="48" t="s">
        <v>102</v>
      </c>
      <c r="C82" s="31">
        <f>WORKDAY(D81,1)</f>
        <v>43893</v>
      </c>
      <c r="D82" s="31">
        <f>WORKDAY(C82,5)</f>
        <v>43900</v>
      </c>
    </row>
    <row r="83" spans="1:4" x14ac:dyDescent="0.3">
      <c r="A83" s="69" t="s">
        <v>103</v>
      </c>
      <c r="B83" s="48" t="s">
        <v>104</v>
      </c>
      <c r="C83" s="31">
        <f>WORKDAY(D82,2)</f>
        <v>43902</v>
      </c>
      <c r="D83" s="31">
        <f>WORKDAY(C83,2)</f>
        <v>43906</v>
      </c>
    </row>
    <row r="84" spans="1:4" x14ac:dyDescent="0.3">
      <c r="A84" s="69" t="s">
        <v>78</v>
      </c>
      <c r="B84" s="40" t="s">
        <v>105</v>
      </c>
      <c r="C84" s="31">
        <f>WORKDAY(D83,5)</f>
        <v>43913</v>
      </c>
      <c r="D84" s="31">
        <f>WORKDAY(C84,4)</f>
        <v>43917</v>
      </c>
    </row>
    <row r="85" spans="1:4" x14ac:dyDescent="0.3">
      <c r="A85" s="69" t="s">
        <v>27</v>
      </c>
      <c r="B85" s="40" t="s">
        <v>337</v>
      </c>
      <c r="C85" s="31">
        <f>WORKDAY(D84,21)</f>
        <v>43948</v>
      </c>
      <c r="D85" s="31">
        <f>WORKDAY(C85,12)</f>
        <v>43964</v>
      </c>
    </row>
    <row r="86" spans="1:4" x14ac:dyDescent="0.3">
      <c r="A86" s="69" t="s">
        <v>109</v>
      </c>
      <c r="B86" s="40" t="s">
        <v>110</v>
      </c>
      <c r="C86" s="31">
        <f>WORKDAY(D85,5)</f>
        <v>43971</v>
      </c>
      <c r="D86" s="31">
        <f>WORKDAY(C86,6)</f>
        <v>43979</v>
      </c>
    </row>
    <row r="87" spans="1:4" x14ac:dyDescent="0.3">
      <c r="A87" s="69" t="s">
        <v>74</v>
      </c>
      <c r="B87" s="40" t="s">
        <v>336</v>
      </c>
      <c r="C87" s="31">
        <f>D86+1</f>
        <v>43980</v>
      </c>
      <c r="D87" s="31">
        <f>C87+7</f>
        <v>43987</v>
      </c>
    </row>
    <row r="88" spans="1:4" x14ac:dyDescent="0.3">
      <c r="A88" s="69" t="s">
        <v>107</v>
      </c>
      <c r="B88" s="40" t="s">
        <v>108</v>
      </c>
      <c r="C88" s="31">
        <f t="shared" ref="C88:C95" si="3">WORKDAY(D87,1)</f>
        <v>43990</v>
      </c>
      <c r="D88" s="31">
        <f>WORKDAY(C88,7)</f>
        <v>43999</v>
      </c>
    </row>
    <row r="89" spans="1:4" x14ac:dyDescent="0.3">
      <c r="A89" s="70" t="s">
        <v>113</v>
      </c>
      <c r="B89" s="40" t="s">
        <v>114</v>
      </c>
      <c r="C89" s="31">
        <f t="shared" si="3"/>
        <v>44000</v>
      </c>
      <c r="D89" s="31">
        <f>WORKDAY(C89,4)</f>
        <v>44006</v>
      </c>
    </row>
    <row r="90" spans="1:4" x14ac:dyDescent="0.3">
      <c r="A90" s="91" t="s">
        <v>338</v>
      </c>
      <c r="B90" s="40" t="s">
        <v>339</v>
      </c>
      <c r="C90" s="31">
        <f t="shared" si="3"/>
        <v>44007</v>
      </c>
      <c r="D90" s="31">
        <f>WORKDAY(C90,3)</f>
        <v>44012</v>
      </c>
    </row>
    <row r="91" spans="1:4" x14ac:dyDescent="0.3">
      <c r="A91" s="70" t="s">
        <v>107</v>
      </c>
      <c r="B91" s="40" t="s">
        <v>115</v>
      </c>
      <c r="C91" s="31">
        <f t="shared" si="3"/>
        <v>44013</v>
      </c>
      <c r="D91" s="31">
        <f>WORKDAY(C91,4)</f>
        <v>44019</v>
      </c>
    </row>
    <row r="92" spans="1:4" x14ac:dyDescent="0.3">
      <c r="A92" s="69" t="s">
        <v>107</v>
      </c>
      <c r="B92" s="40" t="s">
        <v>116</v>
      </c>
      <c r="C92" s="31">
        <f t="shared" si="3"/>
        <v>44020</v>
      </c>
      <c r="D92" s="31">
        <f>WORKDAY(C92,13)</f>
        <v>44039</v>
      </c>
    </row>
    <row r="93" spans="1:4" x14ac:dyDescent="0.3">
      <c r="A93" s="69" t="s">
        <v>101</v>
      </c>
      <c r="B93" s="40" t="s">
        <v>117</v>
      </c>
      <c r="C93" s="31">
        <f t="shared" si="3"/>
        <v>44040</v>
      </c>
      <c r="D93" s="31">
        <f>WORKDAY(C93,6)</f>
        <v>44048</v>
      </c>
    </row>
    <row r="94" spans="1:4" x14ac:dyDescent="0.3">
      <c r="A94" s="69" t="s">
        <v>120</v>
      </c>
      <c r="B94" s="40" t="s">
        <v>121</v>
      </c>
      <c r="C94" s="31">
        <f t="shared" si="3"/>
        <v>44049</v>
      </c>
      <c r="D94" s="31">
        <f>WORKDAY(C94,7)</f>
        <v>44060</v>
      </c>
    </row>
    <row r="95" spans="1:4" x14ac:dyDescent="0.3">
      <c r="A95" s="69" t="s">
        <v>120</v>
      </c>
      <c r="B95" s="40" t="s">
        <v>122</v>
      </c>
      <c r="C95" s="31">
        <f t="shared" si="3"/>
        <v>44061</v>
      </c>
      <c r="D95" s="31">
        <f>WORKDAY(C95,39)</f>
        <v>44116</v>
      </c>
    </row>
    <row r="96" spans="1:4" x14ac:dyDescent="0.3">
      <c r="A96" s="69" t="s">
        <v>27</v>
      </c>
      <c r="B96" s="40" t="s">
        <v>123</v>
      </c>
      <c r="C96" s="31">
        <f>WORKDAY(C25,19)+39</f>
        <v>44117</v>
      </c>
      <c r="D96" s="31">
        <f>WORKDAY(C96,2)</f>
        <v>44119</v>
      </c>
    </row>
    <row r="97" spans="1:4" x14ac:dyDescent="0.3">
      <c r="A97" s="72" t="s">
        <v>69</v>
      </c>
      <c r="B97" s="40" t="s">
        <v>124</v>
      </c>
      <c r="C97" s="31">
        <f>D96+4</f>
        <v>44123</v>
      </c>
      <c r="D97" s="31">
        <f>WORKDAY(C97,25)</f>
        <v>44158</v>
      </c>
    </row>
    <row r="98" spans="1:4" x14ac:dyDescent="0.3">
      <c r="A98" s="72" t="s">
        <v>71</v>
      </c>
      <c r="B98" s="39" t="s">
        <v>72</v>
      </c>
      <c r="C98" s="9">
        <f>D97+1</f>
        <v>44159</v>
      </c>
      <c r="D98" s="31">
        <f>WORKDAY(C98,4)</f>
        <v>44165</v>
      </c>
    </row>
    <row r="99" spans="1:4" x14ac:dyDescent="0.3">
      <c r="A99" s="72" t="s">
        <v>69</v>
      </c>
      <c r="B99" s="39" t="s">
        <v>125</v>
      </c>
      <c r="C99" s="9">
        <f>D98+1</f>
        <v>44166</v>
      </c>
      <c r="D99" s="31">
        <f>WORKDAY(C99,8)</f>
        <v>44176</v>
      </c>
    </row>
    <row r="100" spans="1:4" x14ac:dyDescent="0.3">
      <c r="A100" s="72" t="s">
        <v>71</v>
      </c>
      <c r="B100" s="39" t="s">
        <v>129</v>
      </c>
      <c r="C100" s="9">
        <v>44188</v>
      </c>
      <c r="D100" s="31">
        <f>WORKDAY(C100,8)</f>
        <v>44200</v>
      </c>
    </row>
    <row r="101" spans="1:4" x14ac:dyDescent="0.3">
      <c r="A101" s="69" t="s">
        <v>27</v>
      </c>
      <c r="B101" s="40" t="s">
        <v>126</v>
      </c>
      <c r="C101" s="31">
        <f>WORKDAY(C27,0)+55</f>
        <v>44201</v>
      </c>
      <c r="D101" s="31">
        <f>WORKDAY(C101,1)</f>
        <v>44202</v>
      </c>
    </row>
    <row r="102" spans="1:4" x14ac:dyDescent="0.3">
      <c r="A102" s="69" t="s">
        <v>111</v>
      </c>
      <c r="B102" s="40" t="s">
        <v>127</v>
      </c>
      <c r="C102" s="31">
        <f>WORKDAY(D101,1)</f>
        <v>44203</v>
      </c>
      <c r="D102" s="31">
        <f>WORKDAY(C102,1)</f>
        <v>44204</v>
      </c>
    </row>
    <row r="103" spans="1:4" x14ac:dyDescent="0.3">
      <c r="A103" s="69" t="s">
        <v>111</v>
      </c>
      <c r="B103" s="40" t="s">
        <v>128</v>
      </c>
      <c r="C103" s="31">
        <f>WORKDAY(D102,1)</f>
        <v>44207</v>
      </c>
      <c r="D103" s="31">
        <f>WORKDAY(C103,1)</f>
        <v>44208</v>
      </c>
    </row>
    <row r="104" spans="1:4" x14ac:dyDescent="0.3">
      <c r="A104" s="69" t="s">
        <v>118</v>
      </c>
      <c r="B104" s="40" t="s">
        <v>119</v>
      </c>
      <c r="C104" s="31">
        <f>WORKDAY(D103,1)</f>
        <v>44209</v>
      </c>
      <c r="D104" s="31">
        <f>WORKDAY(C104,2)</f>
        <v>44211</v>
      </c>
    </row>
    <row r="105" spans="1:4" x14ac:dyDescent="0.3">
      <c r="A105" s="69" t="s">
        <v>111</v>
      </c>
      <c r="B105" s="40" t="s">
        <v>130</v>
      </c>
      <c r="C105" s="31">
        <f>WORKDAY(D104,1)</f>
        <v>44214</v>
      </c>
      <c r="D105" s="31">
        <f>WORKDAY(C105,1)</f>
        <v>44215</v>
      </c>
    </row>
    <row r="106" spans="1:4" x14ac:dyDescent="0.3">
      <c r="A106" s="69" t="s">
        <v>111</v>
      </c>
      <c r="B106" s="40" t="s">
        <v>131</v>
      </c>
      <c r="C106" s="31">
        <f>WORKDAY(D105,1)</f>
        <v>44216</v>
      </c>
      <c r="D106" s="31">
        <f>C106+14</f>
        <v>44230</v>
      </c>
    </row>
    <row r="107" spans="1:4" x14ac:dyDescent="0.3">
      <c r="A107" s="69" t="s">
        <v>27</v>
      </c>
      <c r="B107" s="40" t="s">
        <v>134</v>
      </c>
      <c r="C107" s="31">
        <f>WORKDAY(C29,12)</f>
        <v>44238</v>
      </c>
      <c r="D107" s="31">
        <f>WORKDAY(C107,12)</f>
        <v>44256</v>
      </c>
    </row>
    <row r="108" spans="1:4" ht="15.45" customHeight="1" x14ac:dyDescent="0.3">
      <c r="A108" s="69" t="s">
        <v>101</v>
      </c>
      <c r="B108" s="40" t="s">
        <v>132</v>
      </c>
      <c r="C108" s="31">
        <f>WORKDAY(D107,1)</f>
        <v>44257</v>
      </c>
      <c r="D108" s="31">
        <f>WORKDAY(C108,5)</f>
        <v>44264</v>
      </c>
    </row>
    <row r="109" spans="1:4" x14ac:dyDescent="0.3">
      <c r="A109" s="69" t="s">
        <v>107</v>
      </c>
      <c r="B109" s="40" t="s">
        <v>133</v>
      </c>
      <c r="C109" s="31">
        <f>WORKDAY(D108,1)</f>
        <v>44265</v>
      </c>
      <c r="D109" s="31">
        <f>WORKDAY(C109,5)</f>
        <v>44272</v>
      </c>
    </row>
    <row r="110" spans="1:4" x14ac:dyDescent="0.3">
      <c r="A110" s="69" t="s">
        <v>111</v>
      </c>
      <c r="B110" s="40" t="s">
        <v>135</v>
      </c>
      <c r="C110" s="31">
        <f>WORKDAY(D107,25)</f>
        <v>44291</v>
      </c>
      <c r="D110" s="31">
        <f>WORKDAY(C110,3)</f>
        <v>44294</v>
      </c>
    </row>
    <row r="111" spans="1:4" x14ac:dyDescent="0.3">
      <c r="A111" s="69" t="s">
        <v>69</v>
      </c>
      <c r="B111" s="40" t="s">
        <v>136</v>
      </c>
      <c r="C111" s="31">
        <f>WORKDAY(D110,4)</f>
        <v>44300</v>
      </c>
      <c r="D111" s="31">
        <f>WORKDAY(C111,28)</f>
        <v>44340</v>
      </c>
    </row>
    <row r="112" spans="1:4" ht="12.45" customHeight="1" x14ac:dyDescent="0.3">
      <c r="A112" s="69" t="s">
        <v>101</v>
      </c>
      <c r="B112" s="40" t="s">
        <v>137</v>
      </c>
      <c r="C112" s="31">
        <f>WORKDAY(D111,1)</f>
        <v>44341</v>
      </c>
      <c r="D112" s="31">
        <f>WORKDAY(C112,5)</f>
        <v>44348</v>
      </c>
    </row>
    <row r="113" spans="1:4" ht="20.399999999999999" customHeight="1" x14ac:dyDescent="0.35">
      <c r="A113" s="26"/>
      <c r="B113" s="49" t="s">
        <v>138</v>
      </c>
      <c r="C113" s="50">
        <f>MIN(C114:C138)</f>
        <v>43800</v>
      </c>
      <c r="D113" s="51">
        <f>MAX(D114:D138)</f>
        <v>44391</v>
      </c>
    </row>
    <row r="114" spans="1:4" x14ac:dyDescent="0.3">
      <c r="A114" s="76" t="s">
        <v>76</v>
      </c>
      <c r="B114" s="52" t="s">
        <v>139</v>
      </c>
      <c r="C114" s="31">
        <v>43800</v>
      </c>
      <c r="D114" s="31">
        <f>C114+28</f>
        <v>43828</v>
      </c>
    </row>
    <row r="115" spans="1:4" x14ac:dyDescent="0.3">
      <c r="A115" s="76" t="s">
        <v>71</v>
      </c>
      <c r="B115" s="53" t="s">
        <v>140</v>
      </c>
      <c r="C115" s="31">
        <v>43854</v>
      </c>
      <c r="D115" s="31">
        <f>WORKDAY(C115,5)</f>
        <v>43861</v>
      </c>
    </row>
    <row r="116" spans="1:4" x14ac:dyDescent="0.3">
      <c r="A116" s="76" t="s">
        <v>107</v>
      </c>
      <c r="B116" s="53" t="s">
        <v>141</v>
      </c>
      <c r="C116" s="31">
        <f>WORKDAY(D115,8)</f>
        <v>43873</v>
      </c>
      <c r="D116" s="31">
        <f>WORKDAY(C116,9)</f>
        <v>43886</v>
      </c>
    </row>
    <row r="117" spans="1:4" x14ac:dyDescent="0.3">
      <c r="A117" s="76" t="s">
        <v>78</v>
      </c>
      <c r="B117" s="52" t="s">
        <v>105</v>
      </c>
      <c r="C117" s="31">
        <f>D116+1</f>
        <v>43887</v>
      </c>
      <c r="D117" s="31">
        <f>WORKDAY(C117,9)</f>
        <v>43900</v>
      </c>
    </row>
    <row r="118" spans="1:4" x14ac:dyDescent="0.3">
      <c r="A118" s="72" t="s">
        <v>109</v>
      </c>
      <c r="B118" s="40" t="s">
        <v>142</v>
      </c>
      <c r="C118" s="31">
        <f>WORKDAY(D117,1)</f>
        <v>43901</v>
      </c>
      <c r="D118" s="31">
        <f>WORKDAY(C118,1)</f>
        <v>43902</v>
      </c>
    </row>
    <row r="119" spans="1:4" ht="15" customHeight="1" x14ac:dyDescent="0.3">
      <c r="A119" s="73" t="s">
        <v>113</v>
      </c>
      <c r="B119" s="40" t="s">
        <v>143</v>
      </c>
      <c r="C119" s="9">
        <f>WORKDAY(D118,5)</f>
        <v>43909</v>
      </c>
      <c r="D119" s="9">
        <f>WORKDAY(C119,20)</f>
        <v>43937</v>
      </c>
    </row>
    <row r="120" spans="1:4" ht="15" customHeight="1" x14ac:dyDescent="0.3">
      <c r="A120" s="72" t="s">
        <v>109</v>
      </c>
      <c r="B120" s="40" t="s">
        <v>144</v>
      </c>
      <c r="C120" s="31">
        <f>WORKDAY(D119,3)</f>
        <v>43942</v>
      </c>
      <c r="D120" s="31">
        <f>WORKDAY(C120,4)</f>
        <v>43948</v>
      </c>
    </row>
    <row r="121" spans="1:4" ht="18.75" customHeight="1" x14ac:dyDescent="0.3">
      <c r="A121" s="76" t="s">
        <v>147</v>
      </c>
      <c r="B121" s="53" t="s">
        <v>148</v>
      </c>
      <c r="C121" s="31">
        <f>WORKDAY(D120,1)</f>
        <v>43949</v>
      </c>
      <c r="D121" s="31">
        <f>WORKDAY(C121,1)</f>
        <v>43950</v>
      </c>
    </row>
    <row r="122" spans="1:4" ht="15" customHeight="1" x14ac:dyDescent="0.3">
      <c r="A122" s="71" t="s">
        <v>111</v>
      </c>
      <c r="B122" s="39" t="s">
        <v>146</v>
      </c>
      <c r="C122" s="9">
        <f>WORKDAY(D121,9)</f>
        <v>43963</v>
      </c>
      <c r="D122" s="9">
        <f>WORKDAY(C122,9)</f>
        <v>43976</v>
      </c>
    </row>
    <row r="123" spans="1:4" ht="15" customHeight="1" x14ac:dyDescent="0.3">
      <c r="A123" s="71" t="s">
        <v>101</v>
      </c>
      <c r="B123" s="39" t="s">
        <v>340</v>
      </c>
      <c r="C123" s="9">
        <f>D122+3</f>
        <v>43979</v>
      </c>
      <c r="D123" s="9">
        <f>WORKDAY(C123,5)</f>
        <v>43986</v>
      </c>
    </row>
    <row r="124" spans="1:4" ht="18.75" customHeight="1" x14ac:dyDescent="0.3">
      <c r="A124" s="75" t="s">
        <v>149</v>
      </c>
      <c r="B124" s="40" t="s">
        <v>150</v>
      </c>
      <c r="C124" s="31">
        <f>WORKDAY(D123,1)</f>
        <v>43987</v>
      </c>
      <c r="D124" s="31">
        <f>WORKDAY(C124,15)</f>
        <v>44008</v>
      </c>
    </row>
    <row r="125" spans="1:4" x14ac:dyDescent="0.3">
      <c r="A125" s="75" t="s">
        <v>149</v>
      </c>
      <c r="B125" s="24" t="s">
        <v>151</v>
      </c>
      <c r="C125" s="31">
        <f t="shared" ref="C125:C126" si="4">WORKDAY(D124,1)</f>
        <v>44011</v>
      </c>
      <c r="D125" s="31">
        <f>WORKDAY(C125,15)</f>
        <v>44032</v>
      </c>
    </row>
    <row r="126" spans="1:4" x14ac:dyDescent="0.3">
      <c r="A126" s="74" t="s">
        <v>149</v>
      </c>
      <c r="B126" s="38" t="s">
        <v>152</v>
      </c>
      <c r="C126" s="31">
        <f t="shared" si="4"/>
        <v>44033</v>
      </c>
      <c r="D126" s="31">
        <f>WORKDAY(C126,18)</f>
        <v>44057</v>
      </c>
    </row>
    <row r="127" spans="1:4" x14ac:dyDescent="0.3">
      <c r="A127" s="75" t="s">
        <v>27</v>
      </c>
      <c r="B127" s="53" t="s">
        <v>153</v>
      </c>
      <c r="C127" s="31">
        <f>WORKDAY(D96,1)</f>
        <v>44120</v>
      </c>
      <c r="D127" s="31">
        <f>WORKDAY(C127,1)</f>
        <v>44123</v>
      </c>
    </row>
    <row r="128" spans="1:4" x14ac:dyDescent="0.3">
      <c r="A128" s="75" t="s">
        <v>27</v>
      </c>
      <c r="B128" s="53" t="s">
        <v>154</v>
      </c>
      <c r="C128" s="54">
        <f>D101+16</f>
        <v>44218</v>
      </c>
      <c r="D128" s="55">
        <f>C128+3</f>
        <v>44221</v>
      </c>
    </row>
    <row r="129" spans="1:4" x14ac:dyDescent="0.3">
      <c r="A129" s="75" t="s">
        <v>76</v>
      </c>
      <c r="B129" s="24" t="s">
        <v>155</v>
      </c>
      <c r="C129" s="9">
        <f>D128+1</f>
        <v>44222</v>
      </c>
      <c r="D129" s="31">
        <f>WORKDAY(C129,5)</f>
        <v>44229</v>
      </c>
    </row>
    <row r="130" spans="1:4" x14ac:dyDescent="0.3">
      <c r="A130" s="75" t="s">
        <v>78</v>
      </c>
      <c r="B130" s="24" t="s">
        <v>156</v>
      </c>
      <c r="C130" s="31">
        <f t="shared" ref="C130:C138" si="5">WORKDAY(D129,1)</f>
        <v>44230</v>
      </c>
      <c r="D130" s="31">
        <f>WORKDAY(C130,3)</f>
        <v>44235</v>
      </c>
    </row>
    <row r="131" spans="1:4" x14ac:dyDescent="0.3">
      <c r="A131" s="75" t="s">
        <v>74</v>
      </c>
      <c r="B131" s="24" t="s">
        <v>157</v>
      </c>
      <c r="C131" s="31">
        <f t="shared" si="5"/>
        <v>44236</v>
      </c>
      <c r="D131" s="31">
        <f>WORKDAY(C131,23)</f>
        <v>44267</v>
      </c>
    </row>
    <row r="132" spans="1:4" x14ac:dyDescent="0.3">
      <c r="A132" s="75" t="s">
        <v>88</v>
      </c>
      <c r="B132" s="24" t="s">
        <v>158</v>
      </c>
      <c r="C132" s="31">
        <f t="shared" si="5"/>
        <v>44270</v>
      </c>
      <c r="D132" s="31">
        <f>WORKDAY(C132,3)</f>
        <v>44273</v>
      </c>
    </row>
    <row r="133" spans="1:4" x14ac:dyDescent="0.3">
      <c r="A133" s="75" t="s">
        <v>74</v>
      </c>
      <c r="B133" s="24" t="s">
        <v>159</v>
      </c>
      <c r="C133" s="31">
        <f t="shared" si="5"/>
        <v>44274</v>
      </c>
      <c r="D133" s="31">
        <f>WORKDAY(C133,23)</f>
        <v>44307</v>
      </c>
    </row>
    <row r="134" spans="1:4" x14ac:dyDescent="0.3">
      <c r="A134" s="75" t="s">
        <v>88</v>
      </c>
      <c r="B134" s="24" t="s">
        <v>158</v>
      </c>
      <c r="C134" s="31">
        <f t="shared" si="5"/>
        <v>44308</v>
      </c>
      <c r="D134" s="31">
        <f>WORKDAY(C134,3)</f>
        <v>44313</v>
      </c>
    </row>
    <row r="135" spans="1:4" x14ac:dyDescent="0.3">
      <c r="A135" s="75" t="s">
        <v>74</v>
      </c>
      <c r="B135" s="24" t="s">
        <v>160</v>
      </c>
      <c r="C135" s="31">
        <f t="shared" si="5"/>
        <v>44314</v>
      </c>
      <c r="D135" s="31">
        <f>WORKDAY(C135,23)</f>
        <v>44347</v>
      </c>
    </row>
    <row r="136" spans="1:4" x14ac:dyDescent="0.3">
      <c r="A136" s="75" t="s">
        <v>88</v>
      </c>
      <c r="B136" s="24" t="s">
        <v>158</v>
      </c>
      <c r="C136" s="31">
        <f t="shared" si="5"/>
        <v>44348</v>
      </c>
      <c r="D136" s="31">
        <f>WORKDAY(C136,3)</f>
        <v>44351</v>
      </c>
    </row>
    <row r="137" spans="1:4" x14ac:dyDescent="0.3">
      <c r="A137" s="75" t="s">
        <v>74</v>
      </c>
      <c r="B137" s="24" t="s">
        <v>161</v>
      </c>
      <c r="C137" s="31">
        <f t="shared" si="5"/>
        <v>44354</v>
      </c>
      <c r="D137" s="31">
        <f>WORKDAY(C137,23)</f>
        <v>44385</v>
      </c>
    </row>
    <row r="138" spans="1:4" ht="15" customHeight="1" thickBot="1" x14ac:dyDescent="0.35">
      <c r="A138" s="75" t="s">
        <v>88</v>
      </c>
      <c r="B138" s="24" t="s">
        <v>158</v>
      </c>
      <c r="C138" s="31">
        <f t="shared" si="5"/>
        <v>44386</v>
      </c>
      <c r="D138" s="31">
        <f>WORKDAY(C138,3)</f>
        <v>44391</v>
      </c>
    </row>
    <row r="139" spans="1:4" ht="20.399999999999999" customHeight="1" x14ac:dyDescent="0.35">
      <c r="A139" s="26"/>
      <c r="B139" s="56" t="s">
        <v>162</v>
      </c>
      <c r="C139" s="57">
        <f>MIN(C140:C159)</f>
        <v>43854</v>
      </c>
      <c r="D139" s="58">
        <f>MAX(D140:D159)</f>
        <v>44660</v>
      </c>
    </row>
    <row r="140" spans="1:4" x14ac:dyDescent="0.3">
      <c r="A140" s="75" t="s">
        <v>71</v>
      </c>
      <c r="B140" s="40" t="s">
        <v>76</v>
      </c>
      <c r="C140" s="31">
        <f>C115</f>
        <v>43854</v>
      </c>
      <c r="D140" s="32">
        <f>D115</f>
        <v>43861</v>
      </c>
    </row>
    <row r="141" spans="1:4" x14ac:dyDescent="0.3">
      <c r="A141" s="75" t="s">
        <v>76</v>
      </c>
      <c r="B141" s="53" t="s">
        <v>140</v>
      </c>
      <c r="C141" s="31">
        <v>44238</v>
      </c>
      <c r="D141" s="32">
        <f>C141+7</f>
        <v>44245</v>
      </c>
    </row>
    <row r="142" spans="1:4" x14ac:dyDescent="0.3">
      <c r="A142" s="75" t="s">
        <v>76</v>
      </c>
      <c r="B142" s="40" t="s">
        <v>76</v>
      </c>
      <c r="C142" s="31">
        <f>WORKDAY(D141,1)</f>
        <v>44246</v>
      </c>
      <c r="D142" s="32">
        <f>WORKDAY(C142,10)</f>
        <v>44260</v>
      </c>
    </row>
    <row r="143" spans="1:4" x14ac:dyDescent="0.3">
      <c r="A143" s="75" t="s">
        <v>76</v>
      </c>
      <c r="B143" s="40" t="s">
        <v>103</v>
      </c>
      <c r="C143" s="31">
        <f>D142+5</f>
        <v>44265</v>
      </c>
      <c r="D143" s="32">
        <f>C143+50</f>
        <v>44315</v>
      </c>
    </row>
    <row r="144" spans="1:4" x14ac:dyDescent="0.3">
      <c r="A144" s="75" t="s">
        <v>78</v>
      </c>
      <c r="B144" s="40" t="s">
        <v>105</v>
      </c>
      <c r="C144" s="31">
        <f>WORKDAY(D143,18)</f>
        <v>44341</v>
      </c>
      <c r="D144" s="32">
        <f>WORKDAY(C144,4)</f>
        <v>44347</v>
      </c>
    </row>
    <row r="145" spans="1:4" x14ac:dyDescent="0.3">
      <c r="A145" s="77" t="s">
        <v>27</v>
      </c>
      <c r="B145" s="40" t="s">
        <v>163</v>
      </c>
      <c r="C145" s="31">
        <f>WORKDAY(D144,1)</f>
        <v>44348</v>
      </c>
      <c r="D145" s="32">
        <f>WORKDAY(C145,1)</f>
        <v>44349</v>
      </c>
    </row>
    <row r="146" spans="1:4" x14ac:dyDescent="0.3">
      <c r="A146" s="77" t="s">
        <v>111</v>
      </c>
      <c r="B146" s="40" t="s">
        <v>112</v>
      </c>
      <c r="C146" s="31">
        <f>WORKDAY(D145,1)</f>
        <v>44350</v>
      </c>
      <c r="D146" s="32">
        <f>WORKDAY(C146,1)</f>
        <v>44351</v>
      </c>
    </row>
    <row r="147" spans="1:4" x14ac:dyDescent="0.3">
      <c r="A147" s="77" t="s">
        <v>107</v>
      </c>
      <c r="B147" s="40" t="s">
        <v>164</v>
      </c>
      <c r="C147" s="31">
        <f>WORKDAY(D146,1)</f>
        <v>44354</v>
      </c>
      <c r="D147" s="32">
        <f>WORKDAY(C147,3)</f>
        <v>44357</v>
      </c>
    </row>
    <row r="148" spans="1:4" x14ac:dyDescent="0.3">
      <c r="A148" s="77" t="s">
        <v>74</v>
      </c>
      <c r="B148" s="40" t="s">
        <v>165</v>
      </c>
      <c r="C148" s="31">
        <f>WORKDAY(D147,1)</f>
        <v>44358</v>
      </c>
      <c r="D148" s="32">
        <f>WORKDAY(C148,4)</f>
        <v>44364</v>
      </c>
    </row>
    <row r="149" spans="1:4" x14ac:dyDescent="0.3">
      <c r="A149" s="77" t="s">
        <v>109</v>
      </c>
      <c r="B149" s="40" t="s">
        <v>166</v>
      </c>
      <c r="C149" s="31">
        <f>WORKDAY(D148,1)</f>
        <v>44365</v>
      </c>
      <c r="D149" s="32">
        <f>WORKDAY(C149,1)</f>
        <v>44368</v>
      </c>
    </row>
    <row r="150" spans="1:4" x14ac:dyDescent="0.3">
      <c r="A150" s="75" t="s">
        <v>74</v>
      </c>
      <c r="B150" s="30" t="s">
        <v>80</v>
      </c>
      <c r="C150" s="9">
        <f>D172+1</f>
        <v>44414</v>
      </c>
      <c r="D150" s="10">
        <f t="shared" ref="D150:D157" si="6">C150+14</f>
        <v>44428</v>
      </c>
    </row>
    <row r="151" spans="1:4" x14ac:dyDescent="0.3">
      <c r="A151" s="75" t="s">
        <v>74</v>
      </c>
      <c r="B151" s="30" t="s">
        <v>81</v>
      </c>
      <c r="C151" s="9">
        <f t="shared" ref="C151:C159" si="7">D150+1</f>
        <v>44429</v>
      </c>
      <c r="D151" s="10">
        <f t="shared" si="6"/>
        <v>44443</v>
      </c>
    </row>
    <row r="152" spans="1:4" x14ac:dyDescent="0.3">
      <c r="A152" s="75" t="s">
        <v>74</v>
      </c>
      <c r="B152" s="30" t="s">
        <v>82</v>
      </c>
      <c r="C152" s="9">
        <f t="shared" si="7"/>
        <v>44444</v>
      </c>
      <c r="D152" s="10">
        <f t="shared" si="6"/>
        <v>44458</v>
      </c>
    </row>
    <row r="153" spans="1:4" x14ac:dyDescent="0.3">
      <c r="A153" s="75" t="s">
        <v>74</v>
      </c>
      <c r="B153" s="30" t="s">
        <v>83</v>
      </c>
      <c r="C153" s="9">
        <f t="shared" si="7"/>
        <v>44459</v>
      </c>
      <c r="D153" s="10">
        <f t="shared" si="6"/>
        <v>44473</v>
      </c>
    </row>
    <row r="154" spans="1:4" x14ac:dyDescent="0.3">
      <c r="A154" s="75" t="s">
        <v>74</v>
      </c>
      <c r="B154" s="30" t="s">
        <v>84</v>
      </c>
      <c r="C154" s="9">
        <f t="shared" si="7"/>
        <v>44474</v>
      </c>
      <c r="D154" s="10">
        <f t="shared" si="6"/>
        <v>44488</v>
      </c>
    </row>
    <row r="155" spans="1:4" x14ac:dyDescent="0.3">
      <c r="A155" s="75" t="s">
        <v>74</v>
      </c>
      <c r="B155" s="30" t="s">
        <v>85</v>
      </c>
      <c r="C155" s="9">
        <f t="shared" si="7"/>
        <v>44489</v>
      </c>
      <c r="D155" s="10">
        <f t="shared" si="6"/>
        <v>44503</v>
      </c>
    </row>
    <row r="156" spans="1:4" x14ac:dyDescent="0.3">
      <c r="A156" s="75" t="s">
        <v>74</v>
      </c>
      <c r="B156" s="30" t="s">
        <v>86</v>
      </c>
      <c r="C156" s="9">
        <f t="shared" si="7"/>
        <v>44504</v>
      </c>
      <c r="D156" s="10">
        <f t="shared" si="6"/>
        <v>44518</v>
      </c>
    </row>
    <row r="157" spans="1:4" x14ac:dyDescent="0.3">
      <c r="A157" s="75" t="s">
        <v>74</v>
      </c>
      <c r="B157" s="30" t="s">
        <v>87</v>
      </c>
      <c r="C157" s="9">
        <f t="shared" si="7"/>
        <v>44519</v>
      </c>
      <c r="D157" s="10">
        <f t="shared" si="6"/>
        <v>44533</v>
      </c>
    </row>
    <row r="158" spans="1:4" x14ac:dyDescent="0.3">
      <c r="A158" s="75" t="s">
        <v>88</v>
      </c>
      <c r="B158" s="30" t="s">
        <v>89</v>
      </c>
      <c r="C158" s="9">
        <f t="shared" si="7"/>
        <v>44534</v>
      </c>
      <c r="D158" s="41">
        <f>C158+15</f>
        <v>44549</v>
      </c>
    </row>
    <row r="159" spans="1:4" x14ac:dyDescent="0.3">
      <c r="A159" s="76" t="s">
        <v>107</v>
      </c>
      <c r="B159" s="53" t="s">
        <v>167</v>
      </c>
      <c r="C159" s="31">
        <f>D158+90</f>
        <v>44639</v>
      </c>
      <c r="D159" s="32">
        <f>C159+21</f>
        <v>44660</v>
      </c>
    </row>
    <row r="160" spans="1:4" ht="20.399999999999999" customHeight="1" x14ac:dyDescent="0.35">
      <c r="A160" s="26"/>
      <c r="B160" s="59" t="s">
        <v>168</v>
      </c>
      <c r="C160" s="60">
        <f>MIN(C161:C180)</f>
        <v>44228</v>
      </c>
      <c r="D160" s="61">
        <f>MAX(D161:D180)</f>
        <v>44587</v>
      </c>
    </row>
    <row r="161" spans="1:4" x14ac:dyDescent="0.3">
      <c r="A161" s="75" t="s">
        <v>76</v>
      </c>
      <c r="B161" s="24" t="s">
        <v>76</v>
      </c>
      <c r="C161" s="31">
        <v>44228</v>
      </c>
      <c r="D161" s="32">
        <f>C161+9</f>
        <v>44237</v>
      </c>
    </row>
    <row r="162" spans="1:4" x14ac:dyDescent="0.3">
      <c r="A162" s="75" t="s">
        <v>78</v>
      </c>
      <c r="B162" s="53" t="s">
        <v>140</v>
      </c>
      <c r="C162" s="31">
        <v>44238</v>
      </c>
      <c r="D162" s="32">
        <f>C162+7</f>
        <v>44245</v>
      </c>
    </row>
    <row r="163" spans="1:4" x14ac:dyDescent="0.3">
      <c r="A163" s="75" t="s">
        <v>76</v>
      </c>
      <c r="B163" s="40" t="s">
        <v>76</v>
      </c>
      <c r="C163" s="31">
        <f>WORKDAY(D162,1)</f>
        <v>44246</v>
      </c>
      <c r="D163" s="32">
        <f>WORKDAY(C163,10)</f>
        <v>44260</v>
      </c>
    </row>
    <row r="164" spans="1:4" x14ac:dyDescent="0.3">
      <c r="A164" s="75" t="s">
        <v>78</v>
      </c>
      <c r="B164" s="24" t="s">
        <v>105</v>
      </c>
      <c r="C164" s="31">
        <f>WORKDAY(D162,25)</f>
        <v>44280</v>
      </c>
      <c r="D164" s="32">
        <f>WORKDAY(C164,12)</f>
        <v>44298</v>
      </c>
    </row>
    <row r="165" spans="1:4" x14ac:dyDescent="0.3">
      <c r="A165" s="76" t="s">
        <v>147</v>
      </c>
      <c r="B165" s="53" t="s">
        <v>148</v>
      </c>
      <c r="C165" s="31">
        <f>WORKDAY(D164,1)</f>
        <v>44299</v>
      </c>
      <c r="D165" s="31">
        <f>WORKDAY(C165,2)</f>
        <v>44301</v>
      </c>
    </row>
    <row r="166" spans="1:4" x14ac:dyDescent="0.3">
      <c r="A166" s="75" t="s">
        <v>27</v>
      </c>
      <c r="B166" s="24" t="s">
        <v>169</v>
      </c>
      <c r="C166" s="9">
        <f>D165+1</f>
        <v>44302</v>
      </c>
      <c r="D166" s="31">
        <f>WORKDAY(C166,7)</f>
        <v>44313</v>
      </c>
    </row>
    <row r="167" spans="1:4" x14ac:dyDescent="0.3">
      <c r="A167" s="78" t="s">
        <v>149</v>
      </c>
      <c r="B167" s="62" t="s">
        <v>170</v>
      </c>
      <c r="C167" s="31">
        <f>WORKDAY(D166,1)</f>
        <v>44314</v>
      </c>
      <c r="D167" s="32">
        <f>WORKDAY(C167,25)</f>
        <v>44349</v>
      </c>
    </row>
    <row r="168" spans="1:4" x14ac:dyDescent="0.3">
      <c r="A168" s="75" t="s">
        <v>109</v>
      </c>
      <c r="B168" s="24" t="s">
        <v>171</v>
      </c>
      <c r="C168" s="9">
        <f>D167+1</f>
        <v>44350</v>
      </c>
      <c r="D168" s="32">
        <f>WORKDAY(C168,3)</f>
        <v>44355</v>
      </c>
    </row>
    <row r="169" spans="1:4" x14ac:dyDescent="0.3">
      <c r="A169" s="75" t="s">
        <v>149</v>
      </c>
      <c r="B169" s="24" t="s">
        <v>172</v>
      </c>
      <c r="C169" s="31">
        <f t="shared" ref="C169:C180" si="8">WORKDAY(D168,1)</f>
        <v>44356</v>
      </c>
      <c r="D169" s="32">
        <f>WORKDAY(C169,15)</f>
        <v>44377</v>
      </c>
    </row>
    <row r="170" spans="1:4" x14ac:dyDescent="0.3">
      <c r="A170" s="75" t="s">
        <v>149</v>
      </c>
      <c r="B170" s="24" t="s">
        <v>173</v>
      </c>
      <c r="C170" s="31">
        <f t="shared" si="8"/>
        <v>44378</v>
      </c>
      <c r="D170" s="32">
        <f>WORKDAY(C170,13)</f>
        <v>44397</v>
      </c>
    </row>
    <row r="171" spans="1:4" x14ac:dyDescent="0.3">
      <c r="A171" s="78" t="s">
        <v>149</v>
      </c>
      <c r="B171" s="62" t="s">
        <v>46</v>
      </c>
      <c r="C171" s="31">
        <f t="shared" si="8"/>
        <v>44398</v>
      </c>
      <c r="D171" s="32">
        <f>WORKDAY(C171,6)</f>
        <v>44406</v>
      </c>
    </row>
    <row r="172" spans="1:4" x14ac:dyDescent="0.3">
      <c r="A172" s="77" t="s">
        <v>149</v>
      </c>
      <c r="B172" s="30" t="s">
        <v>174</v>
      </c>
      <c r="C172" s="31">
        <f t="shared" si="8"/>
        <v>44407</v>
      </c>
      <c r="D172" s="10">
        <f>C172+6</f>
        <v>44413</v>
      </c>
    </row>
    <row r="173" spans="1:4" x14ac:dyDescent="0.3">
      <c r="A173" s="75" t="s">
        <v>74</v>
      </c>
      <c r="B173" s="24" t="s">
        <v>157</v>
      </c>
      <c r="C173" s="31">
        <f t="shared" si="8"/>
        <v>44414</v>
      </c>
      <c r="D173" s="31">
        <f>WORKDAY(C173,23)</f>
        <v>44447</v>
      </c>
    </row>
    <row r="174" spans="1:4" x14ac:dyDescent="0.3">
      <c r="A174" s="75" t="s">
        <v>88</v>
      </c>
      <c r="B174" s="24" t="s">
        <v>158</v>
      </c>
      <c r="C174" s="31">
        <f t="shared" si="8"/>
        <v>44448</v>
      </c>
      <c r="D174" s="31">
        <f>WORKDAY(C174,3)</f>
        <v>44453</v>
      </c>
    </row>
    <row r="175" spans="1:4" x14ac:dyDescent="0.3">
      <c r="A175" s="75" t="s">
        <v>74</v>
      </c>
      <c r="B175" s="24" t="s">
        <v>159</v>
      </c>
      <c r="C175" s="31">
        <f t="shared" si="8"/>
        <v>44454</v>
      </c>
      <c r="D175" s="31">
        <f>WORKDAY(C175,23)</f>
        <v>44487</v>
      </c>
    </row>
    <row r="176" spans="1:4" x14ac:dyDescent="0.3">
      <c r="A176" s="75" t="s">
        <v>88</v>
      </c>
      <c r="B176" s="24" t="s">
        <v>158</v>
      </c>
      <c r="C176" s="31">
        <f t="shared" si="8"/>
        <v>44488</v>
      </c>
      <c r="D176" s="31">
        <f>WORKDAY(C176,3)</f>
        <v>44491</v>
      </c>
    </row>
    <row r="177" spans="1:4" x14ac:dyDescent="0.3">
      <c r="A177" s="75" t="s">
        <v>74</v>
      </c>
      <c r="B177" s="24" t="s">
        <v>160</v>
      </c>
      <c r="C177" s="31">
        <f t="shared" si="8"/>
        <v>44494</v>
      </c>
      <c r="D177" s="31">
        <f>WORKDAY(C177,23)</f>
        <v>44525</v>
      </c>
    </row>
    <row r="178" spans="1:4" x14ac:dyDescent="0.3">
      <c r="A178" s="75" t="s">
        <v>88</v>
      </c>
      <c r="B178" s="24" t="s">
        <v>158</v>
      </c>
      <c r="C178" s="31">
        <f t="shared" si="8"/>
        <v>44526</v>
      </c>
      <c r="D178" s="31">
        <f>WORKDAY(C178,3)</f>
        <v>44531</v>
      </c>
    </row>
    <row r="179" spans="1:4" x14ac:dyDescent="0.3">
      <c r="A179" s="75" t="s">
        <v>74</v>
      </c>
      <c r="B179" s="24" t="s">
        <v>161</v>
      </c>
      <c r="C179" s="31">
        <f t="shared" si="8"/>
        <v>44532</v>
      </c>
      <c r="D179" s="31">
        <f>WORKDAY(C179,23)</f>
        <v>44565</v>
      </c>
    </row>
    <row r="180" spans="1:4" x14ac:dyDescent="0.3">
      <c r="A180" s="75" t="s">
        <v>88</v>
      </c>
      <c r="B180" s="24" t="s">
        <v>158</v>
      </c>
      <c r="C180" s="31">
        <f t="shared" si="8"/>
        <v>44566</v>
      </c>
      <c r="D180" s="31">
        <f>WORKDAY(C180,15)</f>
        <v>44587</v>
      </c>
    </row>
    <row r="181" spans="1:4" ht="20.399999999999999" customHeight="1" x14ac:dyDescent="0.35">
      <c r="A181" s="66"/>
      <c r="B181" s="63" t="s">
        <v>175</v>
      </c>
      <c r="C181" s="64">
        <f>MIN(C182:C182)</f>
        <v>44713</v>
      </c>
      <c r="D181" s="64">
        <f>MAX(D182:D182)</f>
        <v>44726</v>
      </c>
    </row>
    <row r="182" spans="1:4" x14ac:dyDescent="0.3">
      <c r="A182" s="67" t="s">
        <v>149</v>
      </c>
      <c r="B182" s="30" t="s">
        <v>176</v>
      </c>
      <c r="C182" s="31">
        <v>44713</v>
      </c>
      <c r="D182" s="31">
        <f>WORKDAY(C182,9)</f>
        <v>44726</v>
      </c>
    </row>
  </sheetData>
  <pageMargins left="0.7" right="0.7" top="0.75" bottom="0.75" header="0.3" footer="0.3"/>
  <pageSetup orientation="portrait" r:id="rId1"/>
  <headerFooter>
    <oddFooter>&amp;L&amp;"Calibri"&amp;11&amp;K000000&amp;"Calibri"&amp;11&amp;K000000&amp;"Calibri"&amp;11&amp;K000000&amp;"Calibri"&amp;10 &amp;K737373#Caterpillar: Confidential Green_x000D_&amp;1#&amp;"Calibri"&amp;10&amp;K737373Caterpillar: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M14"/>
  <sheetViews>
    <sheetView zoomScale="60" zoomScaleNormal="60" workbookViewId="0">
      <pane xSplit="2" ySplit="1" topLeftCell="FY5" activePane="bottomRight" state="frozen"/>
      <selection pane="topRight" activeCell="C1" sqref="C1"/>
      <selection pane="bottomLeft" activeCell="A2" sqref="A2"/>
      <selection pane="bottomRight" activeCell="HS10" sqref="HS10:HV10"/>
    </sheetView>
  </sheetViews>
  <sheetFormatPr defaultRowHeight="14.4" x14ac:dyDescent="0.3"/>
  <cols>
    <col min="1" max="1" width="26.21875" customWidth="1"/>
    <col min="2" max="2" width="32.77734375" bestFit="1" customWidth="1"/>
    <col min="3" max="79" width="4.33203125" customWidth="1"/>
    <col min="80" max="80" width="8.33203125" customWidth="1"/>
    <col min="81" max="130" width="4.33203125" customWidth="1"/>
    <col min="131" max="131" width="8.109375" customWidth="1"/>
    <col min="132" max="132" width="6.5546875" customWidth="1"/>
    <col min="133" max="194" width="4.33203125" customWidth="1"/>
    <col min="195" max="195" width="9.21875" customWidth="1"/>
    <col min="196" max="334" width="4.33203125" customWidth="1"/>
    <col min="335" max="335" width="8.33203125" customWidth="1"/>
    <col min="336" max="452" width="4.33203125" customWidth="1"/>
    <col min="453" max="453" width="7.44140625" customWidth="1"/>
    <col min="454" max="488" width="4.33203125" customWidth="1"/>
    <col min="489" max="489" width="6.109375" customWidth="1"/>
    <col min="490" max="975" width="4.33203125" customWidth="1"/>
  </cols>
  <sheetData>
    <row r="1" spans="1:975" ht="49.95" customHeight="1" thickTop="1" thickBot="1" x14ac:dyDescent="0.35">
      <c r="A1" s="83" t="s">
        <v>177</v>
      </c>
      <c r="B1" s="83" t="s">
        <v>178</v>
      </c>
      <c r="C1" s="102" t="s">
        <v>179</v>
      </c>
      <c r="D1" s="103"/>
      <c r="E1" s="103"/>
      <c r="F1" s="103"/>
      <c r="G1" s="103"/>
      <c r="H1" s="103"/>
      <c r="I1" s="99"/>
      <c r="J1" s="102" t="s">
        <v>180</v>
      </c>
      <c r="K1" s="103"/>
      <c r="L1" s="103"/>
      <c r="M1" s="103"/>
      <c r="N1" s="103"/>
      <c r="O1" s="103"/>
      <c r="P1" s="99"/>
      <c r="Q1" s="102" t="s">
        <v>181</v>
      </c>
      <c r="R1" s="103"/>
      <c r="S1" s="103"/>
      <c r="T1" s="103"/>
      <c r="U1" s="103"/>
      <c r="V1" s="103"/>
      <c r="W1" s="99"/>
      <c r="X1" s="102" t="s">
        <v>182</v>
      </c>
      <c r="Y1" s="103"/>
      <c r="Z1" s="103"/>
      <c r="AA1" s="103"/>
      <c r="AB1" s="103"/>
      <c r="AC1" s="103"/>
      <c r="AD1" s="99"/>
      <c r="AE1" s="102" t="s">
        <v>183</v>
      </c>
      <c r="AF1" s="103"/>
      <c r="AG1" s="103"/>
      <c r="AH1" s="103"/>
      <c r="AI1" s="103"/>
      <c r="AJ1" s="103"/>
      <c r="AK1" s="99"/>
      <c r="AL1" s="102" t="s">
        <v>184</v>
      </c>
      <c r="AM1" s="103"/>
      <c r="AN1" s="103"/>
      <c r="AO1" s="103"/>
      <c r="AP1" s="103"/>
      <c r="AQ1" s="103"/>
      <c r="AR1" s="99"/>
      <c r="AS1" s="102" t="s">
        <v>185</v>
      </c>
      <c r="AT1" s="103"/>
      <c r="AU1" s="103"/>
      <c r="AV1" s="103"/>
      <c r="AW1" s="103"/>
      <c r="AX1" s="103"/>
      <c r="AY1" s="99"/>
      <c r="AZ1" s="102" t="s">
        <v>186</v>
      </c>
      <c r="BA1" s="103"/>
      <c r="BB1" s="103"/>
      <c r="BC1" s="103"/>
      <c r="BD1" s="103"/>
      <c r="BE1" s="103"/>
      <c r="BF1" s="99"/>
      <c r="BG1" s="102" t="s">
        <v>187</v>
      </c>
      <c r="BH1" s="103"/>
      <c r="BI1" s="103"/>
      <c r="BJ1" s="103"/>
      <c r="BK1" s="103"/>
      <c r="BL1" s="103"/>
      <c r="BM1" s="99"/>
      <c r="BN1" s="102" t="s">
        <v>188</v>
      </c>
      <c r="BO1" s="103"/>
      <c r="BP1" s="103"/>
      <c r="BQ1" s="103"/>
      <c r="BR1" s="103"/>
      <c r="BS1" s="103"/>
      <c r="BT1" s="99"/>
      <c r="BU1" s="102" t="s">
        <v>189</v>
      </c>
      <c r="BV1" s="103"/>
      <c r="BW1" s="103"/>
      <c r="BX1" s="103"/>
      <c r="BY1" s="103"/>
      <c r="BZ1" s="103"/>
      <c r="CA1" s="99"/>
      <c r="CB1" s="102" t="s">
        <v>190</v>
      </c>
      <c r="CC1" s="103"/>
      <c r="CD1" s="103"/>
      <c r="CE1" s="103"/>
      <c r="CF1" s="103"/>
      <c r="CG1" s="103"/>
      <c r="CH1" s="99"/>
      <c r="CI1" s="102" t="s">
        <v>191</v>
      </c>
      <c r="CJ1" s="103"/>
      <c r="CK1" s="103"/>
      <c r="CL1" s="103"/>
      <c r="CM1" s="103"/>
      <c r="CN1" s="103"/>
      <c r="CO1" s="99"/>
      <c r="CP1" s="102" t="s">
        <v>192</v>
      </c>
      <c r="CQ1" s="103"/>
      <c r="CR1" s="103"/>
      <c r="CS1" s="103"/>
      <c r="CT1" s="103"/>
      <c r="CU1" s="103"/>
      <c r="CV1" s="99"/>
      <c r="CW1" s="102" t="s">
        <v>193</v>
      </c>
      <c r="CX1" s="103"/>
      <c r="CY1" s="103"/>
      <c r="CZ1" s="103"/>
      <c r="DA1" s="103"/>
      <c r="DB1" s="103"/>
      <c r="DC1" s="99"/>
      <c r="DD1" s="102" t="s">
        <v>194</v>
      </c>
      <c r="DE1" s="103"/>
      <c r="DF1" s="103"/>
      <c r="DG1" s="103"/>
      <c r="DH1" s="103"/>
      <c r="DI1" s="103"/>
      <c r="DJ1" s="99"/>
      <c r="DK1" s="102" t="s">
        <v>195</v>
      </c>
      <c r="DL1" s="103"/>
      <c r="DM1" s="103"/>
      <c r="DN1" s="103"/>
      <c r="DO1" s="103"/>
      <c r="DP1" s="103"/>
      <c r="DQ1" s="99"/>
      <c r="DR1" s="102" t="s">
        <v>196</v>
      </c>
      <c r="DS1" s="103"/>
      <c r="DT1" s="103"/>
      <c r="DU1" s="103"/>
      <c r="DV1" s="103"/>
      <c r="DW1" s="103"/>
      <c r="DX1" s="99"/>
      <c r="DY1" s="102" t="s">
        <v>197</v>
      </c>
      <c r="DZ1" s="103"/>
      <c r="EA1" s="103"/>
      <c r="EB1" s="103"/>
      <c r="EC1" s="103"/>
      <c r="ED1" s="103"/>
      <c r="EE1" s="99"/>
      <c r="EF1" s="102" t="s">
        <v>198</v>
      </c>
      <c r="EG1" s="103"/>
      <c r="EH1" s="103"/>
      <c r="EI1" s="103"/>
      <c r="EJ1" s="103"/>
      <c r="EK1" s="103"/>
      <c r="EL1" s="99"/>
      <c r="EM1" s="102" t="s">
        <v>199</v>
      </c>
      <c r="EN1" s="103"/>
      <c r="EO1" s="103"/>
      <c r="EP1" s="103"/>
      <c r="EQ1" s="103"/>
      <c r="ER1" s="103"/>
      <c r="ES1" s="99"/>
      <c r="ET1" s="102" t="s">
        <v>200</v>
      </c>
      <c r="EU1" s="103"/>
      <c r="EV1" s="103"/>
      <c r="EW1" s="103"/>
      <c r="EX1" s="103"/>
      <c r="EY1" s="103"/>
      <c r="EZ1" s="99"/>
      <c r="FA1" s="102" t="s">
        <v>201</v>
      </c>
      <c r="FB1" s="103"/>
      <c r="FC1" s="103"/>
      <c r="FD1" s="103"/>
      <c r="FE1" s="103"/>
      <c r="FF1" s="103"/>
      <c r="FG1" s="99"/>
      <c r="FH1" s="102" t="s">
        <v>202</v>
      </c>
      <c r="FI1" s="103"/>
      <c r="FJ1" s="103"/>
      <c r="FK1" s="103"/>
      <c r="FL1" s="103"/>
      <c r="FM1" s="103"/>
      <c r="FN1" s="99"/>
      <c r="FO1" s="102" t="s">
        <v>203</v>
      </c>
      <c r="FP1" s="103"/>
      <c r="FQ1" s="103"/>
      <c r="FR1" s="103"/>
      <c r="FS1" s="103"/>
      <c r="FT1" s="103"/>
      <c r="FU1" s="99"/>
      <c r="FV1" s="102" t="s">
        <v>204</v>
      </c>
      <c r="FW1" s="103"/>
      <c r="FX1" s="103"/>
      <c r="FY1" s="103"/>
      <c r="FZ1" s="103"/>
      <c r="GA1" s="103"/>
      <c r="GB1" s="99"/>
      <c r="GC1" s="102" t="s">
        <v>205</v>
      </c>
      <c r="GD1" s="103"/>
      <c r="GE1" s="103"/>
      <c r="GF1" s="103"/>
      <c r="GG1" s="103"/>
      <c r="GH1" s="103"/>
      <c r="GI1" s="99"/>
      <c r="GJ1" s="102" t="s">
        <v>206</v>
      </c>
      <c r="GK1" s="103"/>
      <c r="GL1" s="103"/>
      <c r="GM1" s="103"/>
      <c r="GN1" s="103"/>
      <c r="GO1" s="103"/>
      <c r="GP1" s="99"/>
      <c r="GQ1" s="102" t="s">
        <v>207</v>
      </c>
      <c r="GR1" s="103"/>
      <c r="GS1" s="103"/>
      <c r="GT1" s="103"/>
      <c r="GU1" s="103"/>
      <c r="GV1" s="103"/>
      <c r="GW1" s="99"/>
      <c r="GX1" s="102" t="s">
        <v>208</v>
      </c>
      <c r="GY1" s="103"/>
      <c r="GZ1" s="103"/>
      <c r="HA1" s="103"/>
      <c r="HB1" s="103"/>
      <c r="HC1" s="103"/>
      <c r="HD1" s="99"/>
      <c r="HE1" s="102" t="s">
        <v>209</v>
      </c>
      <c r="HF1" s="103"/>
      <c r="HG1" s="103"/>
      <c r="HH1" s="103"/>
      <c r="HI1" s="103"/>
      <c r="HJ1" s="103"/>
      <c r="HK1" s="99"/>
      <c r="HL1" s="102" t="s">
        <v>210</v>
      </c>
      <c r="HM1" s="103"/>
      <c r="HN1" s="103"/>
      <c r="HO1" s="103"/>
      <c r="HP1" s="103"/>
      <c r="HQ1" s="103"/>
      <c r="HR1" s="99"/>
      <c r="HS1" s="102" t="s">
        <v>211</v>
      </c>
      <c r="HT1" s="103"/>
      <c r="HU1" s="103"/>
      <c r="HV1" s="103"/>
      <c r="HW1" s="103"/>
      <c r="HX1" s="103"/>
      <c r="HY1" s="99"/>
      <c r="HZ1" s="102" t="s">
        <v>212</v>
      </c>
      <c r="IA1" s="103"/>
      <c r="IB1" s="103"/>
      <c r="IC1" s="103"/>
      <c r="ID1" s="103"/>
      <c r="IE1" s="103"/>
      <c r="IF1" s="99"/>
      <c r="IG1" s="102" t="s">
        <v>213</v>
      </c>
      <c r="IH1" s="103"/>
      <c r="II1" s="103"/>
      <c r="IJ1" s="103"/>
      <c r="IK1" s="103"/>
      <c r="IL1" s="103"/>
      <c r="IM1" s="99"/>
      <c r="IN1" s="102" t="s">
        <v>214</v>
      </c>
      <c r="IO1" s="103"/>
      <c r="IP1" s="103"/>
      <c r="IQ1" s="103"/>
      <c r="IR1" s="103"/>
      <c r="IS1" s="103"/>
      <c r="IT1" s="99"/>
      <c r="IU1" s="102" t="s">
        <v>215</v>
      </c>
      <c r="IV1" s="103"/>
      <c r="IW1" s="103"/>
      <c r="IX1" s="103"/>
      <c r="IY1" s="103"/>
      <c r="IZ1" s="103"/>
      <c r="JA1" s="99"/>
      <c r="JB1" s="102" t="s">
        <v>216</v>
      </c>
      <c r="JC1" s="103"/>
      <c r="JD1" s="103"/>
      <c r="JE1" s="103"/>
      <c r="JF1" s="103"/>
      <c r="JG1" s="103"/>
      <c r="JH1" s="99"/>
      <c r="JI1" s="102" t="s">
        <v>217</v>
      </c>
      <c r="JJ1" s="103"/>
      <c r="JK1" s="103"/>
      <c r="JL1" s="103"/>
      <c r="JM1" s="103"/>
      <c r="JN1" s="103"/>
      <c r="JO1" s="99"/>
      <c r="JP1" s="102" t="s">
        <v>218</v>
      </c>
      <c r="JQ1" s="103"/>
      <c r="JR1" s="103"/>
      <c r="JS1" s="103"/>
      <c r="JT1" s="103"/>
      <c r="JU1" s="103"/>
      <c r="JV1" s="99"/>
      <c r="JW1" s="102" t="s">
        <v>219</v>
      </c>
      <c r="JX1" s="103"/>
      <c r="JY1" s="103"/>
      <c r="JZ1" s="103"/>
      <c r="KA1" s="103"/>
      <c r="KB1" s="103"/>
      <c r="KC1" s="99"/>
      <c r="KD1" s="102" t="s">
        <v>220</v>
      </c>
      <c r="KE1" s="103"/>
      <c r="KF1" s="103"/>
      <c r="KG1" s="103"/>
      <c r="KH1" s="103"/>
      <c r="KI1" s="103"/>
      <c r="KJ1" s="99"/>
      <c r="KK1" s="102" t="s">
        <v>221</v>
      </c>
      <c r="KL1" s="103"/>
      <c r="KM1" s="103"/>
      <c r="KN1" s="103"/>
      <c r="KO1" s="103"/>
      <c r="KP1" s="103"/>
      <c r="KQ1" s="99"/>
      <c r="KR1" s="102" t="s">
        <v>222</v>
      </c>
      <c r="KS1" s="103"/>
      <c r="KT1" s="103"/>
      <c r="KU1" s="103"/>
      <c r="KV1" s="103"/>
      <c r="KW1" s="103"/>
      <c r="KX1" s="99"/>
      <c r="KY1" s="102" t="s">
        <v>223</v>
      </c>
      <c r="KZ1" s="103"/>
      <c r="LA1" s="103"/>
      <c r="LB1" s="103"/>
      <c r="LC1" s="103"/>
      <c r="LD1" s="103"/>
      <c r="LE1" s="99"/>
      <c r="LF1" s="102" t="s">
        <v>224</v>
      </c>
      <c r="LG1" s="103"/>
      <c r="LH1" s="103"/>
      <c r="LI1" s="103"/>
      <c r="LJ1" s="103"/>
      <c r="LK1" s="103"/>
      <c r="LL1" s="99"/>
      <c r="LM1" s="102" t="s">
        <v>225</v>
      </c>
      <c r="LN1" s="103"/>
      <c r="LO1" s="103"/>
      <c r="LP1" s="103"/>
      <c r="LQ1" s="103"/>
      <c r="LR1" s="103"/>
      <c r="LS1" s="99"/>
      <c r="LT1" s="102" t="s">
        <v>226</v>
      </c>
      <c r="LU1" s="103"/>
      <c r="LV1" s="103"/>
      <c r="LW1" s="103"/>
      <c r="LX1" s="103"/>
      <c r="LY1" s="103"/>
      <c r="LZ1" s="99"/>
      <c r="MA1" s="102" t="s">
        <v>227</v>
      </c>
      <c r="MB1" s="103"/>
      <c r="MC1" s="103"/>
      <c r="MD1" s="103"/>
      <c r="ME1" s="103"/>
      <c r="MF1" s="103"/>
      <c r="MG1" s="99"/>
      <c r="MH1" s="102" t="s">
        <v>228</v>
      </c>
      <c r="MI1" s="103"/>
      <c r="MJ1" s="103"/>
      <c r="MK1" s="103"/>
      <c r="ML1" s="103"/>
      <c r="MM1" s="103"/>
      <c r="MN1" s="99"/>
      <c r="MO1" s="102" t="s">
        <v>229</v>
      </c>
      <c r="MP1" s="103"/>
      <c r="MQ1" s="103"/>
      <c r="MR1" s="103"/>
      <c r="MS1" s="103"/>
      <c r="MT1" s="103"/>
      <c r="MU1" s="99"/>
      <c r="MV1" s="102" t="s">
        <v>230</v>
      </c>
      <c r="MW1" s="103"/>
      <c r="MX1" s="103"/>
      <c r="MY1" s="103"/>
      <c r="MZ1" s="103"/>
      <c r="NA1" s="103"/>
      <c r="NB1" s="99"/>
      <c r="NC1" s="102" t="s">
        <v>231</v>
      </c>
      <c r="ND1" s="103"/>
      <c r="NE1" s="103"/>
      <c r="NF1" s="103"/>
      <c r="NG1" s="103"/>
      <c r="NH1" s="103"/>
      <c r="NI1" s="99"/>
      <c r="NJ1" s="102" t="s">
        <v>232</v>
      </c>
      <c r="NK1" s="103"/>
      <c r="NL1" s="103"/>
      <c r="NM1" s="103"/>
      <c r="NN1" s="103"/>
      <c r="NO1" s="103"/>
      <c r="NP1" s="99"/>
      <c r="NQ1" s="102" t="s">
        <v>233</v>
      </c>
      <c r="NR1" s="103"/>
      <c r="NS1" s="103"/>
      <c r="NT1" s="103"/>
      <c r="NU1" s="103"/>
      <c r="NV1" s="103"/>
      <c r="NW1" s="99"/>
      <c r="NX1" s="102" t="s">
        <v>234</v>
      </c>
      <c r="NY1" s="103"/>
      <c r="NZ1" s="103"/>
      <c r="OA1" s="103"/>
      <c r="OB1" s="103"/>
      <c r="OC1" s="103"/>
      <c r="OD1" s="99"/>
      <c r="OE1" s="102" t="s">
        <v>235</v>
      </c>
      <c r="OF1" s="103"/>
      <c r="OG1" s="103"/>
      <c r="OH1" s="103"/>
      <c r="OI1" s="103"/>
      <c r="OJ1" s="103"/>
      <c r="OK1" s="99"/>
      <c r="OL1" s="102" t="s">
        <v>236</v>
      </c>
      <c r="OM1" s="103"/>
      <c r="ON1" s="103"/>
      <c r="OO1" s="103"/>
      <c r="OP1" s="103"/>
      <c r="OQ1" s="103"/>
      <c r="OR1" s="99"/>
      <c r="OS1" s="102" t="s">
        <v>237</v>
      </c>
      <c r="OT1" s="103"/>
      <c r="OU1" s="103"/>
      <c r="OV1" s="103"/>
      <c r="OW1" s="103"/>
      <c r="OX1" s="103"/>
      <c r="OY1" s="99"/>
      <c r="OZ1" s="102" t="s">
        <v>238</v>
      </c>
      <c r="PA1" s="103"/>
      <c r="PB1" s="103"/>
      <c r="PC1" s="103"/>
      <c r="PD1" s="103"/>
      <c r="PE1" s="103"/>
      <c r="PF1" s="99"/>
      <c r="PG1" s="102" t="s">
        <v>239</v>
      </c>
      <c r="PH1" s="103"/>
      <c r="PI1" s="103"/>
      <c r="PJ1" s="103"/>
      <c r="PK1" s="103"/>
      <c r="PL1" s="103"/>
      <c r="PM1" s="99"/>
      <c r="PN1" s="102" t="s">
        <v>240</v>
      </c>
      <c r="PO1" s="103"/>
      <c r="PP1" s="103"/>
      <c r="PQ1" s="103"/>
      <c r="PR1" s="103"/>
      <c r="PS1" s="103"/>
      <c r="PT1" s="99"/>
      <c r="PU1" s="102" t="s">
        <v>241</v>
      </c>
      <c r="PV1" s="103"/>
      <c r="PW1" s="103"/>
      <c r="PX1" s="103"/>
      <c r="PY1" s="103"/>
      <c r="PZ1" s="103"/>
      <c r="QA1" s="99"/>
      <c r="QB1" s="102" t="s">
        <v>242</v>
      </c>
      <c r="QC1" s="103"/>
      <c r="QD1" s="103"/>
      <c r="QE1" s="103"/>
      <c r="QF1" s="103"/>
      <c r="QG1" s="103"/>
      <c r="QH1" s="99"/>
      <c r="QI1" s="102" t="s">
        <v>243</v>
      </c>
      <c r="QJ1" s="103"/>
      <c r="QK1" s="103"/>
      <c r="QL1" s="103"/>
      <c r="QM1" s="103"/>
      <c r="QN1" s="103"/>
      <c r="QO1" s="99"/>
      <c r="QP1" s="102" t="s">
        <v>244</v>
      </c>
      <c r="QQ1" s="103"/>
      <c r="QR1" s="103"/>
      <c r="QS1" s="103"/>
      <c r="QT1" s="103"/>
      <c r="QU1" s="103"/>
      <c r="QV1" s="99"/>
      <c r="QW1" s="102" t="s">
        <v>245</v>
      </c>
      <c r="QX1" s="103"/>
      <c r="QY1" s="103"/>
      <c r="QZ1" s="103"/>
      <c r="RA1" s="103"/>
      <c r="RB1" s="103"/>
      <c r="RC1" s="99"/>
      <c r="RD1" s="102" t="s">
        <v>246</v>
      </c>
      <c r="RE1" s="103"/>
      <c r="RF1" s="103"/>
      <c r="RG1" s="103"/>
      <c r="RH1" s="103"/>
      <c r="RI1" s="103"/>
      <c r="RJ1" s="99"/>
      <c r="RK1" s="102" t="s">
        <v>247</v>
      </c>
      <c r="RL1" s="103"/>
      <c r="RM1" s="103"/>
      <c r="RN1" s="103"/>
      <c r="RO1" s="103"/>
      <c r="RP1" s="103"/>
      <c r="RQ1" s="99"/>
      <c r="RR1" s="102" t="s">
        <v>248</v>
      </c>
      <c r="RS1" s="103"/>
      <c r="RT1" s="103"/>
      <c r="RU1" s="103"/>
      <c r="RV1" s="103"/>
      <c r="RW1" s="103"/>
      <c r="RX1" s="99"/>
      <c r="RY1" s="102" t="s">
        <v>249</v>
      </c>
      <c r="RZ1" s="103"/>
      <c r="SA1" s="103"/>
      <c r="SB1" s="103"/>
      <c r="SC1" s="103"/>
      <c r="SD1" s="103"/>
      <c r="SE1" s="99"/>
      <c r="SF1" s="102" t="s">
        <v>250</v>
      </c>
      <c r="SG1" s="103"/>
      <c r="SH1" s="103"/>
      <c r="SI1" s="103"/>
      <c r="SJ1" s="103"/>
      <c r="SK1" s="103"/>
      <c r="SL1" s="99"/>
      <c r="SM1" s="102" t="s">
        <v>251</v>
      </c>
      <c r="SN1" s="103"/>
      <c r="SO1" s="103"/>
      <c r="SP1" s="103"/>
      <c r="SQ1" s="103"/>
      <c r="SR1" s="103"/>
      <c r="SS1" s="99"/>
      <c r="ST1" s="102" t="s">
        <v>252</v>
      </c>
      <c r="SU1" s="103"/>
      <c r="SV1" s="103"/>
      <c r="SW1" s="103"/>
      <c r="SX1" s="103"/>
      <c r="SY1" s="103"/>
      <c r="SZ1" s="99"/>
      <c r="TA1" s="102" t="s">
        <v>253</v>
      </c>
      <c r="TB1" s="103"/>
      <c r="TC1" s="103"/>
      <c r="TD1" s="103"/>
      <c r="TE1" s="103"/>
      <c r="TF1" s="103"/>
      <c r="TG1" s="99"/>
      <c r="TH1" s="102" t="s">
        <v>254</v>
      </c>
      <c r="TI1" s="103"/>
      <c r="TJ1" s="103"/>
      <c r="TK1" s="103"/>
      <c r="TL1" s="103"/>
      <c r="TM1" s="103"/>
      <c r="TN1" s="99"/>
      <c r="TO1" s="102" t="s">
        <v>255</v>
      </c>
      <c r="TP1" s="103"/>
      <c r="TQ1" s="103"/>
      <c r="TR1" s="103"/>
      <c r="TS1" s="103"/>
      <c r="TT1" s="103"/>
      <c r="TU1" s="99"/>
      <c r="TV1" s="102" t="s">
        <v>256</v>
      </c>
      <c r="TW1" s="103"/>
      <c r="TX1" s="103"/>
      <c r="TY1" s="103"/>
      <c r="TZ1" s="103"/>
      <c r="UA1" s="103"/>
      <c r="UB1" s="99"/>
      <c r="UC1" s="102" t="s">
        <v>257</v>
      </c>
      <c r="UD1" s="103"/>
      <c r="UE1" s="103"/>
      <c r="UF1" s="103"/>
      <c r="UG1" s="103"/>
      <c r="UH1" s="103"/>
      <c r="UI1" s="99"/>
      <c r="UJ1" s="102" t="s">
        <v>258</v>
      </c>
      <c r="UK1" s="103"/>
      <c r="UL1" s="103"/>
      <c r="UM1" s="103"/>
      <c r="UN1" s="103"/>
      <c r="UO1" s="103"/>
      <c r="UP1" s="99"/>
      <c r="UQ1" s="102" t="s">
        <v>259</v>
      </c>
      <c r="UR1" s="103"/>
      <c r="US1" s="103"/>
      <c r="UT1" s="103"/>
      <c r="UU1" s="103"/>
      <c r="UV1" s="103"/>
      <c r="UW1" s="99"/>
      <c r="UX1" s="102" t="s">
        <v>260</v>
      </c>
      <c r="UY1" s="103"/>
      <c r="UZ1" s="103"/>
      <c r="VA1" s="103"/>
      <c r="VB1" s="103"/>
      <c r="VC1" s="103"/>
      <c r="VD1" s="99"/>
      <c r="VE1" s="102" t="s">
        <v>261</v>
      </c>
      <c r="VF1" s="103"/>
      <c r="VG1" s="103"/>
      <c r="VH1" s="103"/>
      <c r="VI1" s="103"/>
      <c r="VJ1" s="103"/>
      <c r="VK1" s="99"/>
      <c r="VL1" s="102" t="s">
        <v>262</v>
      </c>
      <c r="VM1" s="103"/>
      <c r="VN1" s="103"/>
      <c r="VO1" s="103"/>
      <c r="VP1" s="103"/>
      <c r="VQ1" s="103"/>
      <c r="VR1" s="99"/>
      <c r="VS1" s="102" t="s">
        <v>263</v>
      </c>
      <c r="VT1" s="103"/>
      <c r="VU1" s="103"/>
      <c r="VV1" s="103"/>
      <c r="VW1" s="103"/>
      <c r="VX1" s="103"/>
      <c r="VY1" s="99"/>
      <c r="VZ1" s="102" t="s">
        <v>264</v>
      </c>
      <c r="WA1" s="103"/>
      <c r="WB1" s="103"/>
      <c r="WC1" s="103"/>
      <c r="WD1" s="103"/>
      <c r="WE1" s="103"/>
      <c r="WF1" s="99"/>
      <c r="WG1" s="102" t="s">
        <v>265</v>
      </c>
      <c r="WH1" s="103"/>
      <c r="WI1" s="103"/>
      <c r="WJ1" s="103"/>
      <c r="WK1" s="103"/>
      <c r="WL1" s="103"/>
      <c r="WM1" s="99"/>
      <c r="WN1" s="102" t="s">
        <v>266</v>
      </c>
      <c r="WO1" s="103"/>
      <c r="WP1" s="103"/>
      <c r="WQ1" s="103"/>
      <c r="WR1" s="103"/>
      <c r="WS1" s="103"/>
      <c r="WT1" s="99"/>
      <c r="WU1" s="102" t="s">
        <v>267</v>
      </c>
      <c r="WV1" s="103"/>
      <c r="WW1" s="103"/>
      <c r="WX1" s="103"/>
      <c r="WY1" s="103"/>
      <c r="WZ1" s="103"/>
      <c r="XA1" s="99"/>
      <c r="XB1" s="102" t="s">
        <v>268</v>
      </c>
      <c r="XC1" s="103"/>
      <c r="XD1" s="103"/>
      <c r="XE1" s="103"/>
      <c r="XF1" s="103"/>
      <c r="XG1" s="103"/>
      <c r="XH1" s="99"/>
      <c r="XI1" s="102" t="s">
        <v>269</v>
      </c>
      <c r="XJ1" s="103"/>
      <c r="XK1" s="103"/>
      <c r="XL1" s="103"/>
      <c r="XM1" s="103"/>
      <c r="XN1" s="103"/>
      <c r="XO1" s="99"/>
      <c r="XP1" s="102" t="s">
        <v>270</v>
      </c>
      <c r="XQ1" s="103"/>
      <c r="XR1" s="103"/>
      <c r="XS1" s="103"/>
      <c r="XT1" s="103"/>
      <c r="XU1" s="103"/>
      <c r="XV1" s="99"/>
      <c r="XW1" s="102" t="s">
        <v>271</v>
      </c>
      <c r="XX1" s="103"/>
      <c r="XY1" s="103"/>
      <c r="XZ1" s="103"/>
      <c r="YA1" s="103"/>
      <c r="YB1" s="103"/>
      <c r="YC1" s="99"/>
      <c r="YD1" s="102" t="s">
        <v>272</v>
      </c>
      <c r="YE1" s="103"/>
      <c r="YF1" s="103"/>
      <c r="YG1" s="103"/>
      <c r="YH1" s="103"/>
      <c r="YI1" s="103"/>
      <c r="YJ1" s="99"/>
      <c r="YK1" s="102" t="s">
        <v>273</v>
      </c>
      <c r="YL1" s="103"/>
      <c r="YM1" s="103"/>
      <c r="YN1" s="103"/>
      <c r="YO1" s="103"/>
      <c r="YP1" s="103"/>
      <c r="YQ1" s="99"/>
      <c r="YR1" s="102" t="s">
        <v>274</v>
      </c>
      <c r="YS1" s="103"/>
      <c r="YT1" s="103"/>
      <c r="YU1" s="103"/>
      <c r="YV1" s="103"/>
      <c r="YW1" s="103"/>
      <c r="YX1" s="99"/>
      <c r="YY1" s="102" t="s">
        <v>275</v>
      </c>
      <c r="YZ1" s="103"/>
      <c r="ZA1" s="103"/>
      <c r="ZB1" s="103"/>
      <c r="ZC1" s="103"/>
      <c r="ZD1" s="103"/>
      <c r="ZE1" s="99"/>
      <c r="ZF1" s="102" t="s">
        <v>276</v>
      </c>
      <c r="ZG1" s="103"/>
      <c r="ZH1" s="103"/>
      <c r="ZI1" s="103"/>
      <c r="ZJ1" s="103"/>
      <c r="ZK1" s="103"/>
      <c r="ZL1" s="99"/>
      <c r="ZM1" s="102" t="s">
        <v>277</v>
      </c>
      <c r="ZN1" s="103"/>
      <c r="ZO1" s="103"/>
      <c r="ZP1" s="103"/>
      <c r="ZQ1" s="103"/>
      <c r="ZR1" s="103"/>
      <c r="ZS1" s="99"/>
      <c r="ZT1" s="102" t="s">
        <v>278</v>
      </c>
      <c r="ZU1" s="103"/>
      <c r="ZV1" s="103"/>
      <c r="ZW1" s="103"/>
      <c r="ZX1" s="103"/>
      <c r="ZY1" s="103"/>
      <c r="ZZ1" s="99"/>
      <c r="AAA1" s="102" t="s">
        <v>279</v>
      </c>
      <c r="AAB1" s="103"/>
      <c r="AAC1" s="103"/>
      <c r="AAD1" s="103"/>
      <c r="AAE1" s="103"/>
      <c r="AAF1" s="103"/>
      <c r="AAG1" s="99"/>
      <c r="AAH1" s="102" t="s">
        <v>280</v>
      </c>
      <c r="AAI1" s="103"/>
      <c r="AAJ1" s="103"/>
      <c r="AAK1" s="103"/>
      <c r="AAL1" s="103"/>
      <c r="AAM1" s="103"/>
      <c r="AAN1" s="99"/>
      <c r="AAO1" s="102" t="s">
        <v>281</v>
      </c>
      <c r="AAP1" s="103"/>
      <c r="AAQ1" s="103"/>
      <c r="AAR1" s="103"/>
      <c r="AAS1" s="103"/>
      <c r="AAT1" s="103"/>
      <c r="AAU1" s="99"/>
      <c r="AAV1" s="102" t="s">
        <v>282</v>
      </c>
      <c r="AAW1" s="103"/>
      <c r="AAX1" s="103"/>
      <c r="AAY1" s="103"/>
      <c r="AAZ1" s="103"/>
      <c r="ABA1" s="103"/>
      <c r="ABB1" s="99"/>
      <c r="ABC1" s="102" t="s">
        <v>283</v>
      </c>
      <c r="ABD1" s="103"/>
      <c r="ABE1" s="103"/>
      <c r="ABF1" s="103"/>
      <c r="ABG1" s="103"/>
      <c r="ABH1" s="103"/>
      <c r="ABI1" s="99"/>
      <c r="ABJ1" s="102" t="s">
        <v>284</v>
      </c>
      <c r="ABK1" s="103"/>
      <c r="ABL1" s="103"/>
      <c r="ABM1" s="103"/>
      <c r="ABN1" s="103"/>
      <c r="ABO1" s="103"/>
      <c r="ABP1" s="99"/>
      <c r="ABQ1" s="102" t="s">
        <v>285</v>
      </c>
      <c r="ABR1" s="103"/>
      <c r="ABS1" s="103"/>
      <c r="ABT1" s="103"/>
      <c r="ABU1" s="103"/>
      <c r="ABV1" s="103"/>
      <c r="ABW1" s="99"/>
      <c r="ABX1" s="102" t="s">
        <v>286</v>
      </c>
      <c r="ABY1" s="103"/>
      <c r="ABZ1" s="103"/>
      <c r="ACA1" s="103"/>
      <c r="ACB1" s="103"/>
      <c r="ACC1" s="103"/>
      <c r="ACD1" s="99"/>
      <c r="ACE1" s="102" t="s">
        <v>287</v>
      </c>
      <c r="ACF1" s="103"/>
      <c r="ACG1" s="103"/>
      <c r="ACH1" s="103"/>
      <c r="ACI1" s="103"/>
      <c r="ACJ1" s="103"/>
      <c r="ACK1" s="99"/>
      <c r="ACL1" s="102" t="s">
        <v>288</v>
      </c>
      <c r="ACM1" s="103"/>
      <c r="ACN1" s="103"/>
      <c r="ACO1" s="103"/>
      <c r="ACP1" s="103"/>
      <c r="ACQ1" s="103"/>
      <c r="ACR1" s="99"/>
      <c r="ACS1" s="102" t="s">
        <v>289</v>
      </c>
      <c r="ACT1" s="103"/>
      <c r="ACU1" s="103"/>
      <c r="ACV1" s="103"/>
      <c r="ACW1" s="103"/>
      <c r="ACX1" s="103"/>
      <c r="ACY1" s="99"/>
      <c r="ACZ1" s="102" t="s">
        <v>290</v>
      </c>
      <c r="ADA1" s="103"/>
      <c r="ADB1" s="103"/>
      <c r="ADC1" s="103"/>
      <c r="ADD1" s="103"/>
      <c r="ADE1" s="103"/>
      <c r="ADF1" s="99"/>
      <c r="ADG1" s="102" t="s">
        <v>291</v>
      </c>
      <c r="ADH1" s="103"/>
      <c r="ADI1" s="103"/>
      <c r="ADJ1" s="103"/>
      <c r="ADK1" s="103"/>
      <c r="ADL1" s="103"/>
      <c r="ADM1" s="99"/>
      <c r="ADN1" s="102" t="s">
        <v>292</v>
      </c>
      <c r="ADO1" s="103"/>
      <c r="ADP1" s="103"/>
      <c r="ADQ1" s="103"/>
      <c r="ADR1" s="103"/>
      <c r="ADS1" s="103"/>
      <c r="ADT1" s="99"/>
      <c r="ADU1" s="102" t="s">
        <v>293</v>
      </c>
      <c r="ADV1" s="103"/>
      <c r="ADW1" s="103"/>
      <c r="ADX1" s="103"/>
      <c r="ADY1" s="103"/>
      <c r="ADZ1" s="103"/>
      <c r="AEA1" s="99"/>
      <c r="AEB1" s="102" t="s">
        <v>294</v>
      </c>
      <c r="AEC1" s="103"/>
      <c r="AED1" s="103"/>
      <c r="AEE1" s="103"/>
      <c r="AEF1" s="103"/>
      <c r="AEG1" s="103"/>
      <c r="AEH1" s="99"/>
      <c r="AEI1" s="102" t="s">
        <v>295</v>
      </c>
      <c r="AEJ1" s="103"/>
      <c r="AEK1" s="103"/>
      <c r="AEL1" s="103"/>
      <c r="AEM1" s="103"/>
      <c r="AEN1" s="103"/>
      <c r="AEO1" s="99"/>
      <c r="AEP1" s="102" t="s">
        <v>296</v>
      </c>
      <c r="AEQ1" s="103"/>
      <c r="AER1" s="103"/>
      <c r="AES1" s="103"/>
      <c r="AET1" s="103"/>
      <c r="AEU1" s="103"/>
      <c r="AEV1" s="99"/>
      <c r="AEW1" s="102" t="s">
        <v>297</v>
      </c>
      <c r="AEX1" s="103"/>
      <c r="AEY1" s="103"/>
      <c r="AEZ1" s="103"/>
      <c r="AFA1" s="103"/>
      <c r="AFB1" s="103"/>
      <c r="AFC1" s="99"/>
      <c r="AFD1" s="102" t="s">
        <v>298</v>
      </c>
      <c r="AFE1" s="103"/>
      <c r="AFF1" s="103"/>
      <c r="AFG1" s="103"/>
      <c r="AFH1" s="103"/>
      <c r="AFI1" s="103"/>
      <c r="AFJ1" s="99"/>
      <c r="AFK1" s="102" t="s">
        <v>299</v>
      </c>
      <c r="AFL1" s="103"/>
      <c r="AFM1" s="103"/>
      <c r="AFN1" s="103"/>
      <c r="AFO1" s="103"/>
      <c r="AFP1" s="103"/>
      <c r="AFQ1" s="99"/>
      <c r="AFR1" s="102" t="s">
        <v>300</v>
      </c>
      <c r="AFS1" s="103"/>
      <c r="AFT1" s="103"/>
      <c r="AFU1" s="103"/>
      <c r="AFV1" s="103"/>
      <c r="AFW1" s="103"/>
      <c r="AFX1" s="99"/>
      <c r="AFY1" s="102" t="s">
        <v>301</v>
      </c>
      <c r="AFZ1" s="103"/>
      <c r="AGA1" s="103"/>
      <c r="AGB1" s="103"/>
      <c r="AGC1" s="103"/>
      <c r="AGD1" s="103"/>
      <c r="AGE1" s="99"/>
      <c r="AGF1" s="102" t="s">
        <v>302</v>
      </c>
      <c r="AGG1" s="103"/>
      <c r="AGH1" s="103"/>
      <c r="AGI1" s="103"/>
      <c r="AGJ1" s="103"/>
      <c r="AGK1" s="103"/>
      <c r="AGL1" s="99"/>
      <c r="AGM1" s="102" t="s">
        <v>303</v>
      </c>
      <c r="AGN1" s="103"/>
      <c r="AGO1" s="103"/>
      <c r="AGP1" s="103"/>
      <c r="AGQ1" s="103"/>
      <c r="AGR1" s="103"/>
      <c r="AGS1" s="99"/>
      <c r="AGT1" s="102" t="s">
        <v>304</v>
      </c>
      <c r="AGU1" s="103"/>
      <c r="AGV1" s="103"/>
      <c r="AGW1" s="103"/>
      <c r="AGX1" s="103"/>
      <c r="AGY1" s="103"/>
      <c r="AGZ1" s="99"/>
      <c r="AHA1" s="102" t="s">
        <v>305</v>
      </c>
      <c r="AHB1" s="103"/>
      <c r="AHC1" s="103"/>
      <c r="AHD1" s="103"/>
      <c r="AHE1" s="103"/>
      <c r="AHF1" s="103"/>
      <c r="AHG1" s="99"/>
      <c r="AHH1" s="102" t="s">
        <v>306</v>
      </c>
      <c r="AHI1" s="103"/>
      <c r="AHJ1" s="103"/>
      <c r="AHK1" s="103"/>
      <c r="AHL1" s="103"/>
      <c r="AHM1" s="103"/>
      <c r="AHN1" s="99"/>
      <c r="AHO1" s="102" t="s">
        <v>307</v>
      </c>
      <c r="AHP1" s="103"/>
      <c r="AHQ1" s="103"/>
      <c r="AHR1" s="103"/>
      <c r="AHS1" s="103"/>
      <c r="AHT1" s="103"/>
      <c r="AHU1" s="99"/>
      <c r="AHV1" s="102" t="s">
        <v>308</v>
      </c>
      <c r="AHW1" s="103"/>
      <c r="AHX1" s="103"/>
      <c r="AHY1" s="103"/>
      <c r="AHZ1" s="103"/>
      <c r="AIA1" s="103"/>
      <c r="AIB1" s="99"/>
      <c r="AIC1" s="102" t="s">
        <v>309</v>
      </c>
      <c r="AID1" s="103"/>
      <c r="AIE1" s="103"/>
      <c r="AIF1" s="103"/>
      <c r="AIG1" s="103"/>
      <c r="AIH1" s="103"/>
      <c r="AII1" s="99"/>
      <c r="AIJ1" s="102" t="s">
        <v>310</v>
      </c>
      <c r="AIK1" s="103"/>
      <c r="AIL1" s="103"/>
      <c r="AIM1" s="103"/>
      <c r="AIN1" s="103"/>
      <c r="AIO1" s="103"/>
      <c r="AIP1" s="99"/>
      <c r="AIQ1" s="102" t="s">
        <v>311</v>
      </c>
      <c r="AIR1" s="103"/>
      <c r="AIS1" s="103"/>
      <c r="AIT1" s="103"/>
      <c r="AIU1" s="103"/>
      <c r="AIV1" s="103"/>
      <c r="AIW1" s="99"/>
      <c r="AIX1" s="102" t="s">
        <v>312</v>
      </c>
      <c r="AIY1" s="103"/>
      <c r="AIZ1" s="103"/>
      <c r="AJA1" s="103"/>
      <c r="AJB1" s="103"/>
      <c r="AJC1" s="103"/>
      <c r="AJD1" s="99"/>
      <c r="AJE1" s="102" t="s">
        <v>313</v>
      </c>
      <c r="AJF1" s="103"/>
      <c r="AJG1" s="103"/>
      <c r="AJH1" s="103"/>
      <c r="AJI1" s="103"/>
      <c r="AJJ1" s="103"/>
      <c r="AJK1" s="99"/>
      <c r="AJL1" s="102" t="s">
        <v>314</v>
      </c>
      <c r="AJM1" s="103"/>
      <c r="AJN1" s="103"/>
      <c r="AJO1" s="103"/>
      <c r="AJP1" s="103"/>
      <c r="AJQ1" s="103"/>
      <c r="AJR1" s="99"/>
      <c r="AJS1" s="102" t="s">
        <v>315</v>
      </c>
      <c r="AJT1" s="103"/>
      <c r="AJU1" s="103"/>
      <c r="AJV1" s="103"/>
      <c r="AJW1" s="103"/>
      <c r="AJX1" s="103"/>
      <c r="AJY1" s="99"/>
      <c r="AJZ1" s="102" t="s">
        <v>316</v>
      </c>
      <c r="AKA1" s="103"/>
      <c r="AKB1" s="103"/>
      <c r="AKC1" s="103"/>
      <c r="AKD1" s="103"/>
      <c r="AKE1" s="103"/>
      <c r="AKF1" s="99"/>
      <c r="AKG1" s="102" t="s">
        <v>317</v>
      </c>
      <c r="AKH1" s="103"/>
      <c r="AKI1" s="103"/>
      <c r="AKJ1" s="103"/>
      <c r="AKK1" s="103"/>
      <c r="AKL1" s="103"/>
      <c r="AKM1" s="99"/>
    </row>
    <row r="2" spans="1:975" ht="103.95" customHeight="1" thickTop="1" thickBot="1" x14ac:dyDescent="0.35">
      <c r="A2" s="100" t="s">
        <v>318</v>
      </c>
      <c r="B2" s="9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/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/>
      <c r="DS2" s="104" t="s">
        <v>5</v>
      </c>
      <c r="DT2" s="103"/>
      <c r="DU2" s="99"/>
      <c r="DV2" s="79"/>
      <c r="DW2" s="79"/>
      <c r="DX2" s="79"/>
      <c r="DY2" s="79"/>
      <c r="DZ2" s="79"/>
      <c r="EA2" s="79"/>
      <c r="EB2" s="79"/>
      <c r="EC2" s="79"/>
      <c r="ED2" s="79"/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  <c r="ER2" s="79"/>
      <c r="ES2" s="79"/>
      <c r="ET2" s="79"/>
      <c r="EU2" s="79"/>
      <c r="EV2" s="79"/>
      <c r="EW2" s="79"/>
      <c r="EX2" s="79"/>
      <c r="EY2" s="79"/>
      <c r="EZ2" s="79"/>
      <c r="FA2" s="79"/>
      <c r="FB2" s="79"/>
      <c r="FC2" s="79"/>
      <c r="FD2" s="79"/>
      <c r="FE2" s="79"/>
      <c r="FF2" s="79"/>
      <c r="FG2" s="79"/>
      <c r="FH2" s="79"/>
      <c r="FI2" s="79"/>
      <c r="FJ2" s="79"/>
      <c r="FK2" s="79"/>
      <c r="FL2" s="79"/>
      <c r="FM2" s="79"/>
      <c r="FN2" s="79"/>
      <c r="FO2" s="79"/>
      <c r="FP2" s="79"/>
      <c r="FQ2" s="104" t="s">
        <v>6</v>
      </c>
      <c r="FR2" s="99"/>
      <c r="FS2" s="79"/>
      <c r="FT2" s="79"/>
      <c r="FU2" s="79"/>
      <c r="FV2" s="79"/>
      <c r="FW2" s="79"/>
      <c r="FX2" s="79"/>
      <c r="FY2" s="79"/>
      <c r="FZ2" s="79"/>
      <c r="GA2" s="79"/>
      <c r="GB2" s="79"/>
      <c r="GC2" s="79"/>
      <c r="GD2" s="79"/>
      <c r="GE2" s="79"/>
      <c r="GF2" s="79"/>
      <c r="GG2" s="79"/>
      <c r="GH2" s="79"/>
      <c r="GI2" s="79"/>
      <c r="GJ2" s="79"/>
      <c r="GK2" s="79"/>
      <c r="GL2" s="79"/>
      <c r="GM2" s="79"/>
      <c r="GN2" s="79"/>
      <c r="GO2" s="79"/>
      <c r="GP2" s="79"/>
      <c r="GQ2" s="79"/>
      <c r="GR2" s="79"/>
      <c r="GS2" s="79"/>
      <c r="GT2" s="79"/>
      <c r="GU2" s="79"/>
      <c r="GV2" s="79"/>
      <c r="GW2" s="79"/>
      <c r="GX2" s="79"/>
      <c r="GY2" s="79"/>
      <c r="GZ2" s="79"/>
      <c r="HA2" s="79"/>
      <c r="HB2" s="79"/>
      <c r="HC2" s="79"/>
      <c r="HD2" s="79"/>
      <c r="HE2" s="79"/>
      <c r="HF2" s="79"/>
      <c r="HG2" s="79"/>
      <c r="HH2" s="79"/>
      <c r="HI2" s="79"/>
      <c r="HJ2" s="79"/>
      <c r="HK2" s="79"/>
      <c r="HL2" s="79"/>
      <c r="HM2" s="79"/>
      <c r="HN2" s="79"/>
      <c r="HO2" s="79"/>
      <c r="HP2" s="79"/>
      <c r="HQ2" s="79"/>
      <c r="HR2" s="79"/>
      <c r="HS2" s="79"/>
      <c r="HT2" s="79"/>
      <c r="HU2" s="79"/>
      <c r="HV2" s="79"/>
      <c r="HW2" s="79"/>
      <c r="HX2" s="79"/>
      <c r="HY2" s="79"/>
      <c r="HZ2" s="79"/>
      <c r="IA2" s="79"/>
      <c r="IB2" s="79"/>
      <c r="IC2" s="79"/>
      <c r="ID2" s="79"/>
      <c r="IE2" s="79"/>
      <c r="IF2" s="79"/>
      <c r="IG2" s="79"/>
      <c r="IH2" s="79"/>
      <c r="II2" s="79"/>
      <c r="IJ2" s="79"/>
      <c r="IK2" s="79"/>
      <c r="IL2" s="79"/>
      <c r="IM2" s="79"/>
      <c r="IN2" s="79"/>
      <c r="IO2" s="79"/>
      <c r="IP2" s="79"/>
      <c r="IQ2" s="79"/>
      <c r="IR2" s="79"/>
      <c r="IS2" s="79"/>
      <c r="IT2" s="105" t="s">
        <v>8</v>
      </c>
      <c r="IU2" s="99"/>
      <c r="IV2" s="79"/>
      <c r="IW2" s="79"/>
      <c r="IX2" s="79"/>
      <c r="IY2" s="79"/>
      <c r="IZ2" s="79"/>
      <c r="JA2" s="79"/>
      <c r="JB2" s="79"/>
      <c r="JC2" s="79"/>
      <c r="JD2" s="79"/>
      <c r="JE2" s="79"/>
      <c r="JF2" s="79"/>
      <c r="JG2" s="79"/>
      <c r="JH2" s="79"/>
      <c r="JI2" s="79"/>
      <c r="JJ2" s="79"/>
      <c r="JK2" s="79"/>
      <c r="JL2" s="79"/>
      <c r="JM2" s="79"/>
      <c r="JN2" s="79"/>
      <c r="JO2" s="79"/>
      <c r="JP2" s="79"/>
      <c r="JQ2" s="79"/>
      <c r="JR2" s="79"/>
      <c r="JS2" s="79"/>
      <c r="JT2" s="79"/>
      <c r="JU2" s="79"/>
      <c r="JV2" s="79"/>
      <c r="JW2" s="79"/>
      <c r="JX2" s="79"/>
      <c r="JY2" s="79"/>
      <c r="JZ2" s="79"/>
      <c r="KA2" s="104" t="s">
        <v>9</v>
      </c>
      <c r="KB2" s="99"/>
      <c r="KC2" s="79"/>
      <c r="KD2" s="79"/>
      <c r="KE2" s="79"/>
      <c r="KF2" s="79"/>
      <c r="KG2" s="79"/>
      <c r="KH2" s="79"/>
      <c r="KI2" s="79"/>
      <c r="KJ2" s="79"/>
      <c r="KK2" s="79"/>
      <c r="KL2" s="79"/>
      <c r="KM2" s="79"/>
      <c r="KN2" s="79"/>
      <c r="KO2" s="79"/>
      <c r="KP2" s="79"/>
      <c r="KQ2" s="79"/>
      <c r="KR2" s="79"/>
      <c r="KS2" s="79"/>
      <c r="KT2" s="79"/>
      <c r="KU2" s="105" t="s">
        <v>10</v>
      </c>
      <c r="KV2" s="103"/>
      <c r="KW2" s="99"/>
      <c r="KX2" s="79"/>
      <c r="KY2" s="79"/>
      <c r="KZ2" s="79"/>
      <c r="LA2" s="79"/>
      <c r="LB2" s="79"/>
      <c r="LC2" s="79"/>
      <c r="LD2" s="79"/>
      <c r="LE2" s="79"/>
      <c r="LF2" s="79"/>
      <c r="LG2" s="79"/>
      <c r="LH2" s="79"/>
      <c r="LI2" s="79"/>
      <c r="LJ2" s="104" t="s">
        <v>11</v>
      </c>
      <c r="LK2" s="99"/>
      <c r="LL2" s="79"/>
      <c r="LM2" s="79"/>
      <c r="LN2" s="79"/>
      <c r="LO2" s="79"/>
      <c r="LP2" s="79"/>
      <c r="LQ2" s="79"/>
      <c r="LR2" s="79"/>
      <c r="LS2" s="79"/>
      <c r="LT2" s="106" t="s">
        <v>13</v>
      </c>
      <c r="LU2" s="103"/>
      <c r="LV2" s="99"/>
      <c r="LW2" s="79"/>
      <c r="LX2" s="79"/>
      <c r="LY2" s="79"/>
      <c r="LZ2" s="79"/>
      <c r="MA2" s="79"/>
      <c r="MB2" s="79"/>
      <c r="MC2" s="79"/>
      <c r="MD2" s="79"/>
      <c r="ME2" s="79"/>
      <c r="MF2" s="79"/>
      <c r="MG2" s="79"/>
      <c r="MH2" s="79"/>
      <c r="MI2" s="79"/>
      <c r="MJ2" s="79"/>
      <c r="MK2" s="106" t="s">
        <v>14</v>
      </c>
      <c r="ML2" s="103"/>
      <c r="MM2" s="99"/>
      <c r="MN2" s="79"/>
      <c r="MO2" s="79"/>
      <c r="MP2" s="79"/>
      <c r="MQ2" s="79"/>
      <c r="MR2" s="79"/>
      <c r="MS2" s="79"/>
      <c r="MT2" s="79"/>
      <c r="MU2" s="79"/>
      <c r="MV2" s="79"/>
      <c r="MW2" s="79"/>
      <c r="MX2" s="79"/>
      <c r="MY2" s="79"/>
      <c r="MZ2" s="79"/>
      <c r="NA2" s="79"/>
      <c r="NB2" s="79"/>
      <c r="NC2" s="79"/>
      <c r="ND2" s="79"/>
      <c r="NE2" s="79"/>
      <c r="NF2" s="79"/>
      <c r="NG2" s="79"/>
      <c r="NH2" s="79"/>
      <c r="NI2" s="79"/>
      <c r="NJ2" s="79"/>
      <c r="NK2" s="79"/>
      <c r="NL2" s="79"/>
      <c r="NM2" s="79"/>
      <c r="NN2" s="79"/>
      <c r="NO2" s="104" t="s">
        <v>15</v>
      </c>
      <c r="NP2" s="103"/>
      <c r="NQ2" s="99"/>
      <c r="NR2" s="79"/>
      <c r="NS2" s="79"/>
      <c r="NT2" s="79"/>
      <c r="NU2" s="79"/>
      <c r="NV2" s="79"/>
      <c r="NW2" s="79"/>
      <c r="NX2" s="79"/>
      <c r="NY2" s="79"/>
      <c r="NZ2" s="79"/>
      <c r="OA2" s="79"/>
      <c r="OB2" s="79"/>
      <c r="OC2" s="79"/>
      <c r="OD2" s="79"/>
      <c r="OE2" s="79"/>
      <c r="OF2" s="79"/>
      <c r="OG2" s="79"/>
      <c r="OH2" s="79"/>
      <c r="OI2" s="79"/>
      <c r="OJ2" s="79"/>
      <c r="OK2" s="79"/>
      <c r="OL2" s="79"/>
      <c r="OM2" s="79"/>
      <c r="ON2" s="79"/>
      <c r="OO2" s="79"/>
      <c r="OP2" s="79"/>
      <c r="OQ2" s="79"/>
      <c r="OR2" s="79"/>
      <c r="OS2" s="79"/>
      <c r="OT2" s="79"/>
      <c r="OU2" s="79"/>
      <c r="OV2" s="79"/>
      <c r="OW2" s="79"/>
      <c r="OX2" s="79"/>
      <c r="OY2" s="79"/>
      <c r="OZ2" s="79"/>
      <c r="PA2" s="79"/>
      <c r="PB2" s="79"/>
      <c r="PC2" s="79"/>
      <c r="PD2" s="79"/>
      <c r="PE2" s="79"/>
      <c r="PF2" s="79"/>
      <c r="PG2" s="79"/>
      <c r="PH2" s="79"/>
      <c r="PI2" s="79"/>
      <c r="PJ2" s="79"/>
      <c r="PK2" s="79"/>
      <c r="PL2" s="79"/>
      <c r="PM2" s="79"/>
      <c r="PN2" s="79"/>
      <c r="PO2" s="79"/>
      <c r="PP2" s="79"/>
      <c r="PQ2" s="79"/>
      <c r="PR2" s="79"/>
      <c r="PS2" s="79"/>
      <c r="PT2" s="79"/>
      <c r="PU2" s="79"/>
      <c r="PV2" s="79"/>
      <c r="PW2" s="79"/>
      <c r="PX2" s="79"/>
      <c r="PY2" s="79"/>
      <c r="PZ2" s="79"/>
      <c r="QA2" s="79"/>
      <c r="QB2" s="79"/>
      <c r="QC2" s="79"/>
      <c r="QD2" s="79"/>
      <c r="QE2" s="79"/>
      <c r="QF2" s="79"/>
      <c r="QG2" s="79"/>
      <c r="QH2" s="79"/>
      <c r="QI2" s="79"/>
      <c r="QJ2" s="79"/>
      <c r="QK2" s="79"/>
      <c r="QL2" s="79"/>
      <c r="QM2" s="79"/>
      <c r="QN2" s="79"/>
      <c r="QO2" s="79"/>
      <c r="QP2" s="79"/>
      <c r="QQ2" s="79"/>
      <c r="QR2" s="79"/>
      <c r="QS2" s="79"/>
      <c r="QT2" s="79"/>
      <c r="QU2" s="79"/>
      <c r="QV2" s="79"/>
      <c r="QW2" s="79"/>
      <c r="QX2" s="79"/>
      <c r="QY2" s="79"/>
      <c r="QZ2" s="79"/>
      <c r="RA2" s="79"/>
      <c r="RB2" s="79"/>
      <c r="RC2" s="79"/>
      <c r="RD2" s="79"/>
      <c r="RE2" s="79"/>
      <c r="RF2" s="79"/>
      <c r="RG2" s="79"/>
      <c r="RH2" s="79"/>
      <c r="RI2" s="79"/>
      <c r="RJ2" s="79"/>
      <c r="RK2" s="79"/>
      <c r="RL2" s="79"/>
      <c r="RM2" s="79"/>
      <c r="RN2" s="79"/>
      <c r="RO2" s="79"/>
      <c r="RP2" s="79"/>
      <c r="RQ2" s="79"/>
      <c r="RR2" s="79"/>
      <c r="RS2" s="79"/>
      <c r="RT2" s="79"/>
      <c r="RU2" s="79"/>
      <c r="RV2" s="79"/>
      <c r="RW2" s="79"/>
      <c r="RX2" s="79"/>
      <c r="RY2" s="79"/>
      <c r="RZ2" s="79"/>
      <c r="SA2" s="79"/>
      <c r="SB2" s="79"/>
      <c r="SC2" s="79"/>
      <c r="SD2" s="79"/>
      <c r="SE2" s="79"/>
      <c r="SF2" s="79"/>
      <c r="SG2" s="79"/>
      <c r="SH2" s="79"/>
      <c r="SI2" s="79"/>
      <c r="SJ2" s="79"/>
      <c r="SK2" s="79"/>
      <c r="SL2" s="79"/>
      <c r="SM2" s="79"/>
      <c r="SN2" s="79"/>
      <c r="SO2" s="79"/>
      <c r="SP2" s="79"/>
      <c r="SQ2" s="79"/>
      <c r="SR2" s="79"/>
      <c r="ZX2" s="105" t="s">
        <v>16</v>
      </c>
      <c r="ZY2" s="107"/>
      <c r="ZZ2" s="108"/>
      <c r="AAL2" s="106" t="s">
        <v>17</v>
      </c>
      <c r="AAM2" s="107"/>
      <c r="AAN2" s="108"/>
      <c r="AAO2" s="79"/>
      <c r="AAP2" s="79"/>
      <c r="AAQ2" s="104" t="s">
        <v>18</v>
      </c>
      <c r="AAR2" s="108"/>
      <c r="ACG2" s="105" t="s">
        <v>19</v>
      </c>
      <c r="ACH2" s="107"/>
      <c r="ACI2" s="108"/>
      <c r="AFT2" s="109" t="s">
        <v>20</v>
      </c>
      <c r="AFU2" s="103"/>
      <c r="AFV2" s="103"/>
      <c r="AFW2" s="99"/>
    </row>
    <row r="3" spans="1:975" ht="103.95" customHeight="1" thickTop="1" thickBot="1" x14ac:dyDescent="0.35">
      <c r="A3" s="100" t="s">
        <v>319</v>
      </c>
      <c r="B3" s="99"/>
      <c r="BX3" s="79"/>
      <c r="BY3" s="79"/>
      <c r="BZ3" s="79"/>
      <c r="CA3" s="79"/>
      <c r="CB3" s="79"/>
      <c r="CC3" s="79"/>
      <c r="CD3" s="79"/>
      <c r="CE3" s="79"/>
      <c r="CF3" s="79"/>
      <c r="CG3" s="79"/>
      <c r="CH3" s="79"/>
      <c r="CI3" s="79"/>
      <c r="CJ3" s="79"/>
      <c r="CK3" s="79"/>
      <c r="CL3" s="79"/>
      <c r="CM3" s="79"/>
      <c r="CN3" s="79"/>
      <c r="CO3" s="79"/>
      <c r="CP3" s="79"/>
      <c r="CQ3" s="79"/>
      <c r="CR3" s="79"/>
      <c r="CS3" s="79"/>
      <c r="CT3" s="79"/>
      <c r="CU3" s="79"/>
      <c r="CV3" s="79"/>
      <c r="CW3" s="79"/>
      <c r="CX3" s="79"/>
      <c r="CY3" s="79"/>
      <c r="CZ3" s="79"/>
      <c r="DA3" s="79"/>
      <c r="DB3" s="79"/>
      <c r="DC3" s="79"/>
      <c r="DD3" s="79"/>
      <c r="DE3" s="79"/>
      <c r="DF3" s="79"/>
      <c r="DG3" s="79"/>
      <c r="DH3" s="79"/>
      <c r="DI3" s="79"/>
      <c r="DJ3" s="79"/>
      <c r="DK3" s="79"/>
      <c r="DL3" s="79"/>
      <c r="DM3" s="79"/>
      <c r="DN3" s="79"/>
      <c r="DO3" s="79"/>
      <c r="DP3" s="79"/>
      <c r="DQ3" s="79"/>
      <c r="DR3" s="79"/>
      <c r="DS3" s="110" t="s">
        <v>23</v>
      </c>
      <c r="DT3" s="103"/>
      <c r="DU3" s="99"/>
      <c r="DV3" s="79"/>
      <c r="DW3" s="79"/>
      <c r="DX3" s="79"/>
      <c r="DY3" s="79"/>
      <c r="DZ3" s="79"/>
      <c r="EA3" s="79"/>
      <c r="EB3" s="79"/>
      <c r="EC3" s="79"/>
      <c r="ED3" s="79"/>
      <c r="EE3" s="79"/>
      <c r="EF3" s="79"/>
      <c r="EG3" s="79"/>
      <c r="EH3" s="79"/>
      <c r="EI3" s="79"/>
      <c r="EJ3" s="79"/>
      <c r="EK3" s="79"/>
      <c r="EL3" s="79"/>
      <c r="EM3" s="79"/>
      <c r="EN3" s="79"/>
      <c r="EO3" s="79"/>
      <c r="EP3" s="79"/>
      <c r="EQ3" s="79"/>
      <c r="ER3" s="79"/>
      <c r="ES3" s="79"/>
      <c r="ET3" s="79"/>
      <c r="EU3" s="79"/>
      <c r="EV3" s="79"/>
      <c r="EW3" s="79"/>
      <c r="EX3" s="79"/>
      <c r="EY3" s="79"/>
      <c r="EZ3" s="79"/>
      <c r="FA3" s="79"/>
      <c r="FB3" s="79"/>
      <c r="FC3" s="79"/>
      <c r="FD3" s="79"/>
      <c r="FE3" s="79"/>
      <c r="FF3" s="79"/>
      <c r="FG3" s="79"/>
      <c r="FH3" s="79"/>
      <c r="FI3" s="79"/>
      <c r="FJ3" s="79"/>
      <c r="FK3" s="79"/>
      <c r="FL3" s="79"/>
      <c r="FM3" s="79"/>
      <c r="FN3" s="79"/>
      <c r="FO3" s="79"/>
      <c r="FP3" s="79"/>
      <c r="FQ3" s="79"/>
      <c r="FR3" s="79"/>
      <c r="FS3" s="79"/>
      <c r="FT3" s="79"/>
      <c r="FU3" s="79"/>
      <c r="FV3" s="79"/>
      <c r="FW3" s="79"/>
      <c r="FX3" s="79"/>
      <c r="FY3" s="79"/>
      <c r="FZ3" s="79"/>
      <c r="GA3" s="79"/>
      <c r="GB3" s="79"/>
      <c r="GC3" s="79"/>
      <c r="GD3" s="79"/>
      <c r="GE3" s="79"/>
      <c r="GF3" s="79"/>
      <c r="GG3" s="79"/>
      <c r="GH3" s="79"/>
      <c r="GI3" s="79"/>
      <c r="GJ3" s="79"/>
      <c r="GK3" s="79"/>
      <c r="GL3" s="79"/>
      <c r="GM3" s="79"/>
      <c r="GN3" s="79"/>
      <c r="GO3" s="79"/>
      <c r="GP3" s="79"/>
      <c r="GQ3" s="79"/>
      <c r="GR3" s="79"/>
      <c r="GS3" s="79"/>
      <c r="GT3" s="79"/>
      <c r="GU3" s="79"/>
      <c r="GV3" s="79"/>
      <c r="GW3" s="79"/>
      <c r="GX3" s="79"/>
      <c r="GY3" s="79"/>
      <c r="GZ3" s="79"/>
      <c r="HA3" s="79"/>
      <c r="HB3" s="79"/>
      <c r="HC3" s="79"/>
      <c r="HD3" s="79"/>
      <c r="HE3" s="79"/>
      <c r="HF3" s="79"/>
      <c r="HG3" s="79"/>
      <c r="HH3" s="79"/>
      <c r="HI3" s="79"/>
      <c r="HJ3" s="79"/>
      <c r="HK3" s="79"/>
      <c r="HL3" s="79"/>
      <c r="HM3" s="79"/>
      <c r="HN3" s="79"/>
      <c r="HO3" s="79"/>
      <c r="HP3" s="79"/>
      <c r="HQ3" s="79"/>
      <c r="HR3" s="79"/>
      <c r="HS3" s="79"/>
      <c r="HT3" s="79"/>
      <c r="HU3" s="79"/>
      <c r="HV3" s="79"/>
      <c r="HW3" s="79"/>
      <c r="HX3" s="79"/>
      <c r="HY3" s="79"/>
      <c r="HZ3" s="79"/>
      <c r="IA3" s="79"/>
      <c r="IB3" s="79"/>
      <c r="IC3" s="79"/>
      <c r="ID3" s="79"/>
      <c r="IE3" s="79"/>
      <c r="IF3" s="79"/>
      <c r="IG3" s="79"/>
      <c r="IH3" s="79"/>
      <c r="II3" s="79"/>
      <c r="IJ3" s="79"/>
      <c r="IK3" s="79"/>
      <c r="IL3" s="79"/>
      <c r="IM3" s="79"/>
      <c r="IN3" s="79"/>
      <c r="IO3" s="79"/>
      <c r="IP3" s="79"/>
      <c r="IQ3" s="79"/>
      <c r="IR3" s="79"/>
      <c r="IS3" s="79"/>
      <c r="IT3" s="79"/>
      <c r="IU3" s="79"/>
      <c r="IV3" s="79"/>
      <c r="IW3" s="79"/>
      <c r="IX3" s="79"/>
      <c r="IY3" s="79"/>
      <c r="IZ3" s="79"/>
      <c r="JA3" s="79"/>
      <c r="JB3" s="79"/>
      <c r="JC3" s="79"/>
      <c r="JD3" s="79"/>
      <c r="JE3" s="79"/>
      <c r="JF3" s="79"/>
      <c r="JG3" s="79"/>
      <c r="JH3" s="79"/>
      <c r="JI3" s="79"/>
      <c r="JJ3" s="79"/>
      <c r="JK3" s="79"/>
      <c r="JL3" s="79"/>
      <c r="JM3" s="79"/>
      <c r="JN3" s="79"/>
      <c r="JO3" s="79"/>
      <c r="JP3" s="79"/>
      <c r="JQ3" s="79"/>
      <c r="JR3" s="79"/>
      <c r="JS3" s="79"/>
      <c r="JT3" s="79"/>
      <c r="JU3" s="79"/>
      <c r="JV3" s="79"/>
      <c r="JW3" s="79"/>
      <c r="JX3" s="79"/>
      <c r="JY3" s="79"/>
      <c r="JZ3" s="79"/>
      <c r="KA3" s="79"/>
      <c r="KB3" s="157" t="s">
        <v>24</v>
      </c>
      <c r="KC3" s="158"/>
      <c r="KD3" s="79"/>
      <c r="KE3" s="79"/>
      <c r="KF3" s="79"/>
      <c r="KG3" s="79"/>
      <c r="KH3" s="79"/>
      <c r="KI3" s="79"/>
      <c r="KJ3" s="79"/>
      <c r="KK3" s="79"/>
      <c r="KL3" s="79"/>
      <c r="KM3" s="79"/>
      <c r="KN3" s="79"/>
      <c r="KO3" s="79"/>
      <c r="KP3" s="79"/>
      <c r="KQ3" s="79"/>
      <c r="KR3" s="79"/>
      <c r="KS3" s="79"/>
      <c r="KT3" s="79"/>
      <c r="KU3" s="79"/>
      <c r="KV3" s="79"/>
      <c r="KW3" s="79"/>
      <c r="KX3" s="79"/>
      <c r="KY3" s="79"/>
      <c r="KZ3" s="79"/>
      <c r="LA3" s="79"/>
      <c r="LB3" s="79"/>
      <c r="LC3" s="79"/>
      <c r="LD3" s="79"/>
      <c r="LE3" s="79"/>
      <c r="LF3" s="79"/>
      <c r="LG3" s="79"/>
      <c r="LH3" s="79"/>
      <c r="LI3" s="79"/>
      <c r="LJ3" s="79"/>
      <c r="LK3" s="79"/>
      <c r="LL3" s="79"/>
      <c r="LM3" s="79"/>
      <c r="LN3" s="79"/>
      <c r="LO3" s="79"/>
      <c r="LP3" s="79"/>
      <c r="LQ3" s="79"/>
      <c r="LR3" s="79"/>
      <c r="LS3" s="79"/>
      <c r="LT3" s="79"/>
      <c r="LU3" s="79"/>
      <c r="LV3" s="79"/>
      <c r="LW3" s="79"/>
      <c r="LX3" s="79"/>
      <c r="LY3" s="79"/>
      <c r="LZ3" s="79"/>
      <c r="MA3" s="79"/>
      <c r="MB3" s="79"/>
      <c r="MC3" s="79"/>
      <c r="MD3" s="79"/>
      <c r="ME3" s="79"/>
      <c r="MF3" s="79"/>
      <c r="MG3" s="79"/>
      <c r="MH3" s="79"/>
      <c r="MI3" s="79"/>
      <c r="MJ3" s="79"/>
      <c r="MK3" s="79"/>
      <c r="ML3" s="79"/>
      <c r="MM3" s="79"/>
      <c r="MN3" s="79"/>
      <c r="MO3" s="79"/>
      <c r="MP3" s="79"/>
      <c r="MQ3" s="79"/>
      <c r="MR3" s="79"/>
      <c r="MS3" s="79"/>
      <c r="MT3" s="79"/>
      <c r="MU3" s="79"/>
      <c r="MV3" s="79"/>
      <c r="MW3" s="79"/>
      <c r="MX3" s="79"/>
      <c r="MY3" s="79"/>
      <c r="MZ3" s="79"/>
      <c r="NA3" s="79"/>
      <c r="NB3" s="79"/>
      <c r="NC3" s="157" t="s">
        <v>25</v>
      </c>
      <c r="ND3" s="158"/>
      <c r="NE3" s="79"/>
      <c r="NF3" s="79"/>
      <c r="NG3" s="79"/>
      <c r="NH3" s="79"/>
      <c r="NI3" s="79"/>
      <c r="NJ3" s="79"/>
      <c r="NK3" s="79"/>
      <c r="NL3" s="79"/>
      <c r="NM3" s="79"/>
      <c r="NN3" s="79"/>
      <c r="NO3" s="79"/>
      <c r="NP3" s="79"/>
      <c r="NQ3" s="79"/>
      <c r="NR3" s="79"/>
      <c r="NS3" s="79"/>
      <c r="NT3" s="79"/>
      <c r="NU3" s="79"/>
      <c r="NV3" s="79"/>
      <c r="NW3" s="79"/>
      <c r="NX3" s="79"/>
      <c r="NY3" s="79"/>
      <c r="NZ3" s="79"/>
      <c r="OA3" s="79"/>
      <c r="OB3" s="79"/>
      <c r="OC3" s="79"/>
      <c r="OD3" s="79"/>
      <c r="OE3" s="79"/>
      <c r="OF3" s="79"/>
      <c r="OG3" s="79"/>
      <c r="OH3" s="79"/>
      <c r="OI3" s="79"/>
      <c r="OJ3" s="79"/>
      <c r="OK3" s="79"/>
      <c r="OL3" s="79"/>
      <c r="OM3" s="79"/>
      <c r="ON3" s="79"/>
      <c r="OO3" s="79"/>
      <c r="OP3" s="79"/>
      <c r="OQ3" s="79"/>
      <c r="OR3" s="79"/>
      <c r="OS3" s="79"/>
      <c r="OT3" s="79"/>
      <c r="OU3" s="79"/>
      <c r="OV3" s="79"/>
      <c r="OW3" s="79"/>
      <c r="OX3" s="79"/>
      <c r="OY3" s="79"/>
      <c r="OZ3" s="79"/>
      <c r="PA3" s="79"/>
      <c r="PB3" s="79"/>
      <c r="PC3" s="79"/>
      <c r="PD3" s="79"/>
      <c r="PE3" s="79"/>
      <c r="PF3" s="79"/>
      <c r="PG3" s="79"/>
      <c r="PH3" s="79"/>
      <c r="PI3" s="79"/>
      <c r="PJ3" s="79"/>
      <c r="PK3" s="79"/>
      <c r="PL3" s="79"/>
      <c r="PM3" s="79"/>
      <c r="PN3" s="79"/>
      <c r="PO3" s="79"/>
      <c r="PP3" s="79"/>
      <c r="PQ3" s="79"/>
      <c r="PR3" s="79"/>
      <c r="PS3" s="79"/>
      <c r="PT3" s="79"/>
      <c r="PU3" s="79"/>
      <c r="PV3" s="79"/>
      <c r="PW3" s="79"/>
      <c r="PX3" s="79"/>
      <c r="PY3" s="79"/>
      <c r="PZ3" s="79"/>
      <c r="QA3" s="79"/>
      <c r="QB3" s="79"/>
      <c r="QC3" s="79"/>
      <c r="QD3" s="79"/>
      <c r="QE3" s="79"/>
      <c r="QF3" s="79"/>
      <c r="QG3" s="79"/>
      <c r="QH3" s="79"/>
      <c r="QI3" s="79"/>
      <c r="QJ3" s="79"/>
      <c r="QK3" s="79"/>
      <c r="QL3" s="79"/>
      <c r="QM3" s="79"/>
      <c r="QN3" s="79"/>
      <c r="QO3" s="79"/>
      <c r="QP3" s="79"/>
      <c r="QQ3" s="79"/>
      <c r="QR3" s="79"/>
      <c r="QS3" s="79"/>
      <c r="QT3" s="79"/>
      <c r="QU3" s="79"/>
      <c r="QV3" s="79"/>
      <c r="QW3" s="79"/>
      <c r="QX3" s="79"/>
      <c r="QY3" s="79"/>
      <c r="QZ3" s="79"/>
      <c r="RA3" s="79"/>
      <c r="RB3" s="79"/>
      <c r="RC3" s="79"/>
      <c r="RD3" s="79"/>
      <c r="RE3" s="79"/>
      <c r="RF3" s="79"/>
      <c r="RG3" s="79"/>
      <c r="RH3" s="79"/>
      <c r="RI3" s="79"/>
      <c r="RJ3" s="79"/>
      <c r="RK3" s="79"/>
      <c r="RL3" s="79"/>
      <c r="RM3" s="79"/>
      <c r="RN3" s="79"/>
      <c r="RO3" s="79"/>
      <c r="RP3" s="79"/>
      <c r="RQ3" s="79"/>
      <c r="RR3" s="79"/>
      <c r="RS3" s="79"/>
      <c r="RT3" s="79"/>
      <c r="RU3" s="79"/>
      <c r="RV3" s="79"/>
      <c r="RW3" s="79"/>
      <c r="RX3" s="79"/>
      <c r="RY3" s="79"/>
      <c r="RZ3" s="79"/>
      <c r="SA3" s="79"/>
      <c r="SB3" s="79"/>
      <c r="SC3" s="79"/>
      <c r="SD3" s="79"/>
      <c r="SE3" s="79"/>
      <c r="SF3" s="79"/>
      <c r="SG3" s="79"/>
      <c r="SH3" s="79"/>
      <c r="SI3" s="79"/>
      <c r="SJ3" s="79"/>
      <c r="SK3" s="79"/>
      <c r="SL3" s="79"/>
      <c r="SM3" s="79"/>
      <c r="SN3" s="79"/>
      <c r="SO3" s="79"/>
      <c r="SP3" s="79"/>
      <c r="SQ3" s="79"/>
      <c r="SR3" s="79"/>
    </row>
    <row r="4" spans="1:975" ht="103.95" customHeight="1" thickTop="1" thickBot="1" x14ac:dyDescent="0.35">
      <c r="A4" s="100" t="s">
        <v>320</v>
      </c>
      <c r="B4" s="99"/>
      <c r="BX4" s="79"/>
      <c r="BY4" s="79"/>
      <c r="BZ4" s="79"/>
      <c r="CA4" s="79"/>
      <c r="CB4" s="111" t="s">
        <v>28</v>
      </c>
      <c r="CC4" s="9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79"/>
      <c r="DB4" s="79"/>
      <c r="DC4" s="79"/>
      <c r="DD4" s="79"/>
      <c r="DE4" s="79"/>
      <c r="DF4" s="79"/>
      <c r="DG4" s="79"/>
      <c r="DH4" s="79"/>
      <c r="DI4" s="79"/>
      <c r="DJ4" s="79"/>
      <c r="DK4" s="79"/>
      <c r="DL4" s="79"/>
      <c r="DM4" s="79"/>
      <c r="DN4" s="79"/>
      <c r="DO4" s="79"/>
      <c r="DP4" s="79"/>
      <c r="DQ4" s="79"/>
      <c r="DR4" s="79"/>
      <c r="DS4" s="79"/>
      <c r="DT4" s="79"/>
      <c r="DU4" s="79"/>
      <c r="DV4" s="79"/>
      <c r="DW4" s="79"/>
      <c r="DX4" s="79"/>
      <c r="DY4" s="79"/>
      <c r="DZ4" s="79"/>
      <c r="EA4" s="79"/>
      <c r="EB4" s="79"/>
      <c r="EC4" s="79"/>
      <c r="ED4" s="79"/>
      <c r="EE4" s="79"/>
      <c r="EF4" s="111" t="s">
        <v>29</v>
      </c>
      <c r="EG4" s="99"/>
      <c r="EH4" s="79"/>
      <c r="EI4" s="79"/>
      <c r="EJ4" s="79"/>
      <c r="EK4" s="79"/>
      <c r="EL4" s="79"/>
      <c r="EM4" s="79"/>
      <c r="EN4" s="79"/>
      <c r="EO4" s="79"/>
      <c r="EP4" s="79"/>
      <c r="EQ4" s="79"/>
      <c r="ER4" s="79"/>
      <c r="ES4" s="79"/>
      <c r="ET4" s="79"/>
      <c r="EU4" s="79"/>
      <c r="EV4" s="79"/>
      <c r="EW4" s="79"/>
      <c r="EX4" s="79"/>
      <c r="EY4" s="79"/>
      <c r="EZ4" s="79"/>
      <c r="FA4" s="79"/>
      <c r="FB4" s="79"/>
      <c r="FC4" s="79"/>
      <c r="FD4" s="79"/>
      <c r="FE4" s="79"/>
      <c r="FF4" s="79"/>
      <c r="FG4" s="79"/>
      <c r="FH4" s="79"/>
      <c r="FI4" s="79"/>
      <c r="FJ4" s="79"/>
      <c r="FK4" s="79"/>
      <c r="FL4" s="79"/>
      <c r="FM4" s="79"/>
      <c r="FN4" s="79"/>
      <c r="FO4" s="79"/>
      <c r="FP4" s="79"/>
      <c r="FQ4" s="79"/>
      <c r="FR4" s="79"/>
      <c r="FS4" s="79"/>
      <c r="FT4" s="79"/>
      <c r="FU4" s="79"/>
      <c r="FV4" s="79"/>
      <c r="FW4" s="79"/>
      <c r="FX4" s="79"/>
      <c r="FY4" s="79"/>
      <c r="FZ4" s="79"/>
      <c r="GA4" s="79"/>
      <c r="GB4" s="79"/>
      <c r="GC4" s="79"/>
      <c r="GD4" s="79"/>
      <c r="GE4" s="79"/>
      <c r="GF4" s="79"/>
      <c r="GG4" s="79"/>
      <c r="GH4" s="79"/>
      <c r="GI4" s="79"/>
      <c r="GJ4" s="79"/>
      <c r="GK4" s="79"/>
      <c r="GL4" s="79"/>
      <c r="GM4" s="79"/>
      <c r="GN4" s="79"/>
      <c r="GO4" s="79"/>
      <c r="GP4" s="79"/>
      <c r="GQ4" s="79"/>
      <c r="GR4" s="79"/>
      <c r="GS4" s="79"/>
      <c r="GT4" s="79"/>
      <c r="GU4" s="79"/>
      <c r="GV4" s="79"/>
      <c r="GW4" s="79"/>
      <c r="GX4" s="79"/>
      <c r="GY4" s="79"/>
      <c r="GZ4" s="79"/>
      <c r="HA4" s="79"/>
      <c r="HB4" s="79"/>
      <c r="HC4" s="79"/>
      <c r="HD4" s="79"/>
      <c r="HE4" s="79"/>
      <c r="HF4" s="79"/>
      <c r="HG4" s="79"/>
      <c r="HH4" s="79"/>
      <c r="HI4" s="79"/>
      <c r="HJ4" s="79"/>
      <c r="HK4" s="79"/>
      <c r="HL4" s="79"/>
      <c r="HM4" s="79"/>
      <c r="HN4" s="79"/>
      <c r="HO4" s="79"/>
      <c r="HP4" s="79"/>
      <c r="HQ4" s="79"/>
      <c r="HR4" s="79"/>
      <c r="HS4" s="79"/>
      <c r="HT4" s="79"/>
      <c r="HU4" s="79"/>
      <c r="HV4" s="79"/>
      <c r="HW4" s="79"/>
      <c r="HX4" s="79"/>
      <c r="HY4" s="79"/>
      <c r="HZ4" s="79"/>
      <c r="IA4" s="111" t="s">
        <v>30</v>
      </c>
      <c r="IB4" s="99"/>
      <c r="IC4" s="79"/>
      <c r="ID4" s="79"/>
      <c r="IE4" s="79"/>
      <c r="IF4" s="79"/>
      <c r="IG4" s="79"/>
      <c r="IH4" s="79"/>
      <c r="II4" s="79"/>
      <c r="IJ4" s="79"/>
      <c r="IK4" s="79"/>
      <c r="IL4" s="79"/>
      <c r="IM4" s="79"/>
      <c r="IN4" s="79"/>
      <c r="IO4" s="79"/>
      <c r="IP4" s="79"/>
      <c r="IQ4" s="79"/>
      <c r="IR4" s="79"/>
      <c r="IS4" s="79"/>
      <c r="IT4" s="79"/>
      <c r="IU4" s="79"/>
      <c r="IV4" s="79"/>
      <c r="IW4" s="79"/>
      <c r="IX4" s="79"/>
      <c r="IY4" s="79"/>
      <c r="IZ4" s="79"/>
      <c r="JA4" s="79"/>
      <c r="JB4" s="79"/>
      <c r="JC4" s="79"/>
      <c r="JD4" s="79"/>
      <c r="JE4" s="79"/>
      <c r="JF4" s="79"/>
      <c r="JG4" s="79"/>
      <c r="JH4" s="79"/>
      <c r="JI4" s="79"/>
      <c r="JJ4" s="79"/>
      <c r="JK4" s="79"/>
      <c r="JL4" s="79"/>
      <c r="JM4" s="79"/>
      <c r="JN4" s="79"/>
      <c r="JO4" s="79"/>
      <c r="JP4" s="79"/>
      <c r="JQ4" s="79"/>
      <c r="JR4" s="79"/>
      <c r="JS4" s="79"/>
      <c r="JT4" s="79"/>
      <c r="JU4" s="79"/>
      <c r="JV4" s="79"/>
      <c r="JW4" s="111" t="s">
        <v>31</v>
      </c>
      <c r="JX4" s="99"/>
      <c r="JY4" s="79"/>
      <c r="JZ4" s="79"/>
      <c r="KA4" s="79"/>
      <c r="KB4" s="79"/>
      <c r="KC4" s="79"/>
      <c r="KD4" s="79"/>
      <c r="KE4" s="79"/>
      <c r="KF4" s="79"/>
      <c r="KG4" s="79"/>
      <c r="KH4" s="79"/>
      <c r="KI4" s="79"/>
      <c r="KJ4" s="79"/>
      <c r="KK4" s="79"/>
      <c r="KL4" s="79"/>
      <c r="KM4" s="79"/>
      <c r="KN4" s="79"/>
      <c r="KO4" s="79"/>
      <c r="KP4" s="79"/>
      <c r="KQ4" s="79"/>
      <c r="KR4" s="79"/>
      <c r="KS4" s="79"/>
      <c r="KT4" s="79"/>
      <c r="KU4" s="79"/>
      <c r="KV4" s="79"/>
      <c r="KW4" s="79"/>
      <c r="KX4" s="79"/>
      <c r="KY4" s="79"/>
      <c r="KZ4" s="79"/>
      <c r="LA4" s="79"/>
      <c r="LB4" s="79"/>
      <c r="LC4" s="79"/>
      <c r="LD4" s="79"/>
      <c r="LE4" s="79"/>
      <c r="LF4" s="79"/>
      <c r="LG4" s="79"/>
      <c r="LH4" s="79"/>
      <c r="LI4" s="79"/>
      <c r="LJ4" s="79"/>
      <c r="LK4" s="79"/>
      <c r="LL4" s="79"/>
      <c r="LM4" s="79"/>
      <c r="LN4" s="79"/>
      <c r="LO4" s="111" t="s">
        <v>32</v>
      </c>
      <c r="LP4" s="99"/>
      <c r="LQ4" s="79"/>
      <c r="LR4" s="79"/>
      <c r="LS4" s="79"/>
      <c r="LT4" s="79"/>
      <c r="LU4" s="79"/>
      <c r="LV4" s="79"/>
      <c r="LW4" s="79"/>
      <c r="LX4" s="79"/>
      <c r="LY4" s="79"/>
      <c r="LZ4" s="79"/>
      <c r="MA4" s="79"/>
      <c r="MB4" s="79"/>
      <c r="MC4" s="79"/>
      <c r="MD4" s="79"/>
      <c r="ME4" s="79"/>
      <c r="MF4" s="79"/>
      <c r="MG4" s="79"/>
      <c r="MH4" s="79"/>
      <c r="MI4" s="79"/>
      <c r="MJ4" s="79"/>
      <c r="MK4" s="79"/>
      <c r="ML4" s="79"/>
      <c r="MM4" s="79"/>
      <c r="MN4" s="79"/>
      <c r="MO4" s="79"/>
      <c r="MP4" s="79"/>
      <c r="MQ4" s="79"/>
      <c r="MR4" s="79"/>
      <c r="MS4" s="79"/>
      <c r="MT4" s="79"/>
      <c r="MU4" s="79"/>
      <c r="MV4" s="79"/>
      <c r="MW4" s="79"/>
      <c r="MX4" s="79"/>
      <c r="MY4" s="79"/>
      <c r="MZ4" s="79"/>
      <c r="NA4" s="79"/>
      <c r="NB4" s="79"/>
      <c r="NC4" s="79"/>
      <c r="ND4" s="79"/>
      <c r="NE4" s="79"/>
      <c r="NF4" s="79"/>
      <c r="NG4" s="79"/>
      <c r="NH4" s="79"/>
      <c r="NI4" s="79"/>
      <c r="NJ4" s="79"/>
      <c r="NK4" s="79"/>
      <c r="NL4" s="111" t="s">
        <v>33</v>
      </c>
      <c r="NM4" s="99"/>
      <c r="NN4" s="79"/>
      <c r="NO4" s="79"/>
      <c r="NP4" s="79"/>
      <c r="NQ4" s="79"/>
      <c r="NR4" s="79"/>
      <c r="NS4" s="79"/>
      <c r="NT4" s="79"/>
      <c r="NU4" s="79"/>
      <c r="NV4" s="79"/>
      <c r="NW4" s="79"/>
      <c r="NX4" s="79"/>
      <c r="NY4" s="79"/>
      <c r="NZ4" s="79"/>
      <c r="OA4" s="79"/>
      <c r="OB4" s="79"/>
      <c r="OC4" s="79"/>
      <c r="OD4" s="79"/>
      <c r="OE4" s="79"/>
      <c r="OF4" s="79"/>
      <c r="OG4" s="79"/>
      <c r="OH4" s="79"/>
      <c r="OI4" s="79"/>
      <c r="OJ4" s="79"/>
      <c r="OK4" s="79"/>
      <c r="OL4" s="79"/>
      <c r="OM4" s="79"/>
      <c r="ON4" s="79"/>
      <c r="OO4" s="79"/>
      <c r="OP4" s="79"/>
      <c r="OQ4" s="79"/>
      <c r="OR4" s="79"/>
      <c r="OS4" s="79"/>
      <c r="OT4" s="111" t="s">
        <v>34</v>
      </c>
      <c r="OU4" s="99"/>
      <c r="OV4" s="79"/>
      <c r="OW4" s="79"/>
      <c r="OX4" s="79"/>
      <c r="OY4" s="79"/>
      <c r="OZ4" s="79"/>
      <c r="PA4" s="79"/>
      <c r="PB4" s="79"/>
      <c r="PC4" s="79"/>
      <c r="PD4" s="79"/>
      <c r="PE4" s="79"/>
      <c r="PF4" s="79"/>
      <c r="PG4" s="79"/>
      <c r="PH4" s="79"/>
      <c r="PI4" s="79"/>
      <c r="PJ4" s="79"/>
      <c r="PK4" s="79"/>
      <c r="PL4" s="79"/>
      <c r="PM4" s="79"/>
      <c r="PN4" s="79"/>
      <c r="PO4" s="79"/>
      <c r="PP4" s="79"/>
      <c r="PQ4" s="79"/>
      <c r="PR4" s="79"/>
      <c r="PS4" s="79"/>
      <c r="PT4" s="79"/>
      <c r="PU4" s="79"/>
      <c r="PV4" s="79"/>
      <c r="PW4" s="79"/>
      <c r="PX4" s="79"/>
      <c r="PY4" s="79"/>
      <c r="PZ4" s="79"/>
      <c r="QA4" s="79"/>
      <c r="QB4" s="79"/>
      <c r="QC4" s="79"/>
      <c r="QD4" s="79"/>
      <c r="QE4" s="79"/>
      <c r="QF4" s="79"/>
      <c r="QG4" s="79"/>
      <c r="QH4" s="79"/>
      <c r="QI4" s="79"/>
      <c r="QJ4" s="111" t="s">
        <v>35</v>
      </c>
      <c r="QK4" s="99"/>
      <c r="QL4" s="79"/>
      <c r="QM4" s="79"/>
      <c r="QN4" s="79"/>
      <c r="QO4" s="79"/>
      <c r="QP4" s="79"/>
      <c r="QQ4" s="79"/>
      <c r="QR4" s="79"/>
      <c r="QS4" s="79"/>
      <c r="QT4" s="79"/>
      <c r="QU4" s="79"/>
      <c r="QV4" s="79"/>
      <c r="QW4" s="79"/>
      <c r="QX4" s="79"/>
      <c r="QY4" s="79"/>
      <c r="QZ4" s="79"/>
      <c r="RA4" s="79"/>
      <c r="RB4" s="79"/>
      <c r="RC4" s="79"/>
      <c r="RD4" s="79"/>
      <c r="RE4" s="79"/>
      <c r="RF4" s="79"/>
      <c r="RG4" s="79"/>
      <c r="RH4" s="79"/>
      <c r="RI4" s="79"/>
      <c r="RJ4" s="79"/>
      <c r="RK4" s="79"/>
      <c r="RL4" s="79"/>
      <c r="RM4" s="79"/>
      <c r="RN4" s="79"/>
      <c r="RO4" s="79"/>
      <c r="RP4" s="79"/>
      <c r="RQ4" s="79"/>
      <c r="RR4" s="79"/>
      <c r="RS4" s="79"/>
      <c r="RT4" s="79"/>
      <c r="RU4" s="79"/>
      <c r="RV4" s="79"/>
      <c r="RW4" s="79"/>
      <c r="RX4" s="79"/>
      <c r="RY4" s="79"/>
      <c r="RZ4" s="79"/>
      <c r="SA4" s="79"/>
      <c r="SB4" s="79"/>
      <c r="SC4" s="79"/>
      <c r="SD4" s="79"/>
      <c r="SE4" s="79"/>
      <c r="SF4" s="79"/>
      <c r="SG4" s="79"/>
      <c r="SH4" s="79"/>
      <c r="SI4" s="79"/>
      <c r="SJ4" s="79"/>
      <c r="SK4" s="79"/>
      <c r="SL4" s="79"/>
      <c r="SM4" s="79"/>
      <c r="SN4" s="79"/>
      <c r="SO4" s="79"/>
      <c r="SP4" s="79"/>
      <c r="SQ4" s="79"/>
      <c r="SR4" s="79"/>
    </row>
    <row r="5" spans="1:975" ht="103.95" customHeight="1" thickTop="1" thickBot="1" x14ac:dyDescent="0.35">
      <c r="A5" s="100" t="s">
        <v>321</v>
      </c>
      <c r="B5" s="99"/>
      <c r="BX5" s="79"/>
      <c r="BY5" s="79"/>
      <c r="BZ5" s="79"/>
      <c r="CA5" s="79"/>
      <c r="CB5" s="79"/>
      <c r="CC5" s="79"/>
      <c r="CD5" s="79"/>
      <c r="CE5" s="79"/>
      <c r="CF5" s="79"/>
      <c r="CG5" s="79"/>
      <c r="CH5" s="79"/>
      <c r="CI5" s="79"/>
      <c r="CJ5" s="79"/>
      <c r="CK5" s="79"/>
      <c r="CL5" s="79"/>
      <c r="CM5" s="79"/>
      <c r="CN5" s="79"/>
      <c r="CO5" s="79"/>
      <c r="CP5" s="79"/>
      <c r="CQ5" s="79"/>
      <c r="CR5" s="79"/>
      <c r="CS5" s="79"/>
      <c r="CT5" s="79"/>
      <c r="CU5" s="79"/>
      <c r="CV5" s="79"/>
      <c r="CW5" s="79"/>
      <c r="CX5" s="79"/>
      <c r="CY5" s="79"/>
      <c r="CZ5" s="79"/>
      <c r="DA5" s="79"/>
      <c r="DB5" s="79"/>
      <c r="DC5" s="79"/>
      <c r="DD5" s="79"/>
      <c r="DE5" s="79"/>
      <c r="DF5" s="79"/>
      <c r="DG5" s="79"/>
      <c r="DH5" s="79"/>
      <c r="DI5" s="79"/>
      <c r="DJ5" s="79"/>
      <c r="DK5" s="79"/>
      <c r="DL5" s="79"/>
      <c r="DM5" s="79"/>
      <c r="DN5" s="79"/>
      <c r="DO5" s="79"/>
      <c r="DP5" s="79"/>
      <c r="DQ5" s="79"/>
      <c r="DR5" s="79"/>
      <c r="DS5" s="79"/>
      <c r="DT5" s="79"/>
      <c r="DU5" s="79"/>
      <c r="DV5" s="79"/>
      <c r="DW5" s="79"/>
      <c r="DX5" s="79"/>
      <c r="DY5" s="79"/>
      <c r="DZ5" s="79"/>
      <c r="EA5" s="79"/>
      <c r="EB5" s="79"/>
      <c r="EC5" s="79"/>
      <c r="ED5" s="79"/>
      <c r="EE5" s="79"/>
      <c r="EF5" s="79"/>
      <c r="EG5" s="79"/>
      <c r="EH5" s="79"/>
      <c r="EI5" s="79"/>
      <c r="EJ5" s="79"/>
      <c r="EK5" s="79"/>
      <c r="EL5" s="79"/>
      <c r="EM5" s="79"/>
      <c r="EN5" s="79"/>
      <c r="EO5" s="79"/>
      <c r="EP5" s="79"/>
      <c r="EQ5" s="79"/>
      <c r="ER5" s="79"/>
      <c r="ES5" s="79"/>
      <c r="ET5" s="117" t="s">
        <v>38</v>
      </c>
      <c r="EU5" s="99"/>
      <c r="EV5" s="79"/>
      <c r="EW5" s="79"/>
      <c r="EX5" s="79"/>
      <c r="EY5" s="79"/>
      <c r="EZ5" s="79"/>
      <c r="FA5" s="79"/>
      <c r="FB5" s="79"/>
      <c r="FC5" s="79"/>
      <c r="FD5" s="79"/>
      <c r="FE5" s="79"/>
      <c r="FF5" s="79"/>
      <c r="FG5" s="79"/>
      <c r="FH5" s="79"/>
      <c r="FI5" s="79"/>
      <c r="FJ5" s="79"/>
      <c r="FK5" s="79"/>
      <c r="FL5" s="79"/>
      <c r="FM5" s="79"/>
      <c r="FN5" s="79"/>
      <c r="FO5" s="79"/>
      <c r="FP5" s="79"/>
      <c r="FQ5" s="79"/>
      <c r="FR5" s="79"/>
      <c r="FS5" s="79"/>
      <c r="FT5" s="79"/>
      <c r="FU5" s="79"/>
      <c r="FV5" s="79"/>
      <c r="FW5" s="79"/>
      <c r="FX5" s="79"/>
      <c r="FY5" s="79"/>
      <c r="FZ5" s="79"/>
      <c r="GA5" s="79"/>
      <c r="GB5" s="79"/>
      <c r="GC5" s="79"/>
      <c r="GD5" s="79"/>
      <c r="GE5" s="79"/>
      <c r="GF5" s="79"/>
      <c r="GG5" s="79"/>
      <c r="GH5" s="79"/>
      <c r="GI5" s="79"/>
      <c r="GJ5" s="79"/>
      <c r="GK5" s="79"/>
      <c r="GL5" s="79"/>
      <c r="GM5" s="79"/>
      <c r="GN5" s="79"/>
      <c r="GO5" s="79"/>
      <c r="GP5" s="79"/>
      <c r="GQ5" s="79"/>
      <c r="GR5" s="79"/>
      <c r="GS5" s="79"/>
      <c r="GT5" s="79"/>
      <c r="GU5" s="79"/>
      <c r="GV5" s="79"/>
      <c r="GW5" s="79"/>
      <c r="GX5" s="79"/>
      <c r="GY5" s="79"/>
      <c r="GZ5" s="79"/>
      <c r="HA5" s="79"/>
      <c r="HB5" s="79"/>
      <c r="HC5" s="79"/>
      <c r="HD5" s="79"/>
      <c r="HE5" s="79"/>
      <c r="HF5" s="79"/>
      <c r="HG5" s="79"/>
      <c r="HH5" s="79"/>
      <c r="HI5" s="79"/>
      <c r="HJ5" s="79"/>
      <c r="HK5" s="79"/>
      <c r="HL5" s="79"/>
      <c r="HM5" s="79"/>
      <c r="HN5" s="79"/>
      <c r="HO5" s="79"/>
      <c r="HP5" s="79"/>
      <c r="HQ5" s="79"/>
      <c r="HR5" s="79"/>
      <c r="HS5" s="79"/>
      <c r="HT5" s="79"/>
      <c r="HU5" s="79"/>
      <c r="HV5" s="79"/>
      <c r="HW5" s="79"/>
      <c r="HX5" s="79"/>
      <c r="HY5" s="79"/>
      <c r="HZ5" s="79"/>
      <c r="IA5" s="79"/>
      <c r="IB5" s="79"/>
      <c r="IC5" s="79"/>
      <c r="ID5" s="79"/>
      <c r="IE5" s="79"/>
      <c r="IF5" s="79"/>
      <c r="IG5" s="79"/>
      <c r="IH5" s="79"/>
      <c r="II5" s="79"/>
      <c r="IJ5" s="79"/>
      <c r="IK5" s="117" t="s">
        <v>39</v>
      </c>
      <c r="IL5" s="99"/>
      <c r="IM5" s="79"/>
      <c r="IN5" s="79"/>
      <c r="IO5" s="79"/>
      <c r="IP5" s="79"/>
      <c r="IQ5" s="79"/>
      <c r="IR5" s="79"/>
      <c r="IS5" s="79"/>
      <c r="IT5" s="79"/>
      <c r="IU5" s="79"/>
      <c r="IV5" s="79"/>
      <c r="IW5" s="79"/>
      <c r="IX5" s="79"/>
      <c r="IY5" s="79"/>
      <c r="IZ5" s="79"/>
      <c r="JA5" s="79"/>
      <c r="JB5" s="79"/>
      <c r="JC5" s="79"/>
      <c r="JD5" s="79"/>
      <c r="JE5" s="79"/>
      <c r="JF5" s="79"/>
      <c r="JG5" s="79"/>
      <c r="JH5" s="79"/>
      <c r="JI5" s="79"/>
      <c r="JJ5" s="79"/>
      <c r="JK5" s="79"/>
      <c r="JL5" s="79"/>
      <c r="JM5" s="79"/>
      <c r="JN5" s="79"/>
      <c r="JO5" s="79"/>
      <c r="JP5" s="79"/>
      <c r="JQ5" s="79"/>
      <c r="JR5" s="79"/>
      <c r="JS5" s="79"/>
      <c r="JT5" s="79"/>
      <c r="JU5" s="79"/>
      <c r="JV5" s="79"/>
      <c r="JW5" s="79"/>
      <c r="JX5" s="79"/>
      <c r="JY5" s="79"/>
      <c r="JZ5" s="117" t="s">
        <v>40</v>
      </c>
      <c r="KA5" s="99"/>
      <c r="KB5" s="79"/>
      <c r="KC5" s="117" t="s">
        <v>41</v>
      </c>
      <c r="KD5" s="99"/>
      <c r="KE5" s="79"/>
      <c r="KF5" s="79"/>
      <c r="KG5" s="79"/>
      <c r="KH5" s="79"/>
      <c r="KI5" s="79"/>
      <c r="KJ5" s="79"/>
      <c r="KK5" s="117" t="s">
        <v>42</v>
      </c>
      <c r="KL5" s="99"/>
      <c r="KM5" s="79"/>
      <c r="KN5" s="79"/>
      <c r="KO5" s="79"/>
      <c r="KP5" s="79"/>
      <c r="KQ5" s="79"/>
      <c r="KR5" s="79"/>
      <c r="KS5" s="79"/>
      <c r="KT5" s="79"/>
      <c r="KU5" s="79"/>
      <c r="KV5" s="79"/>
      <c r="KW5" s="79"/>
      <c r="KX5" s="79"/>
      <c r="KY5" s="79"/>
      <c r="KZ5" s="79"/>
      <c r="LA5" s="79"/>
      <c r="LB5" s="79"/>
      <c r="LC5" s="79"/>
      <c r="LD5" s="79"/>
      <c r="LE5" s="79"/>
      <c r="LF5" s="79"/>
      <c r="LG5" s="79"/>
      <c r="LH5" s="79"/>
      <c r="LI5" s="79"/>
      <c r="LJ5" s="79"/>
      <c r="LK5" s="79"/>
      <c r="LL5" s="79"/>
      <c r="LM5" s="79"/>
      <c r="LN5" s="79"/>
      <c r="LO5" s="79"/>
      <c r="LP5" s="79"/>
      <c r="LQ5" s="79"/>
      <c r="LR5" s="79"/>
      <c r="LS5" s="79"/>
      <c r="LT5" s="79"/>
      <c r="LU5" s="79"/>
      <c r="LV5" s="79"/>
      <c r="LW5" s="79"/>
      <c r="LX5" s="79"/>
      <c r="LY5" s="79"/>
      <c r="LZ5" s="79"/>
      <c r="MA5" s="79"/>
      <c r="MB5" s="79"/>
      <c r="MC5" s="79"/>
      <c r="MD5" s="79"/>
      <c r="ME5" s="79"/>
      <c r="MF5" s="79"/>
      <c r="MG5" s="79"/>
      <c r="MH5" s="79"/>
      <c r="MI5" s="79"/>
      <c r="MJ5" s="79"/>
      <c r="MK5" s="79"/>
      <c r="ML5" s="79"/>
      <c r="MM5" s="79"/>
      <c r="MN5" s="79"/>
      <c r="MO5" s="79"/>
      <c r="MP5" s="79"/>
      <c r="MQ5" s="79"/>
      <c r="MR5" s="79"/>
      <c r="MS5" s="79"/>
      <c r="MT5" s="79"/>
      <c r="MU5" s="79"/>
      <c r="MV5" s="79"/>
      <c r="MW5" s="79"/>
      <c r="MX5" s="79"/>
      <c r="MY5" s="79"/>
      <c r="MZ5" s="79"/>
      <c r="NA5" s="79"/>
      <c r="NB5" s="79"/>
      <c r="NC5" s="79"/>
      <c r="ND5" s="79"/>
      <c r="NE5" s="79"/>
      <c r="NF5" s="79"/>
      <c r="NG5" s="79"/>
      <c r="NH5" s="79"/>
      <c r="NI5" s="79"/>
      <c r="NJ5" s="79"/>
      <c r="NK5" s="79"/>
      <c r="NL5" s="79"/>
      <c r="NM5" s="79"/>
      <c r="NN5" s="79"/>
      <c r="NO5" s="79"/>
      <c r="NP5" s="79"/>
      <c r="NQ5" s="79"/>
      <c r="NR5" s="79"/>
      <c r="NS5" s="79"/>
      <c r="NT5" s="79"/>
      <c r="NU5" s="79"/>
      <c r="NV5" s="79"/>
      <c r="NW5" s="79"/>
      <c r="NX5" s="79"/>
      <c r="NY5" s="79"/>
      <c r="NZ5" s="79"/>
      <c r="OA5" s="79"/>
      <c r="OB5" s="79"/>
      <c r="OC5" s="79"/>
      <c r="OD5" s="79"/>
      <c r="OE5" s="79"/>
      <c r="OF5" s="79"/>
      <c r="OG5" s="79"/>
      <c r="OH5" s="79"/>
      <c r="OI5" s="79"/>
      <c r="OJ5" s="79"/>
      <c r="OK5" s="79"/>
      <c r="OL5" s="79"/>
      <c r="OM5" s="79"/>
      <c r="ON5" s="79"/>
      <c r="OO5" s="79"/>
      <c r="OP5" s="79"/>
      <c r="OQ5" s="79"/>
      <c r="OR5" s="79"/>
      <c r="OS5" s="79"/>
      <c r="OT5" s="79"/>
      <c r="OU5" s="79"/>
      <c r="OV5" s="79"/>
      <c r="OW5" s="79"/>
      <c r="OX5" s="79"/>
      <c r="OY5" s="79"/>
      <c r="OZ5" s="79"/>
      <c r="PA5" s="79"/>
      <c r="PB5" s="79"/>
      <c r="PC5" s="79"/>
      <c r="PD5" s="79"/>
      <c r="PE5" s="79"/>
      <c r="PF5" s="79"/>
      <c r="PG5" s="79"/>
      <c r="PH5" s="79"/>
      <c r="PI5" s="79"/>
      <c r="PJ5" s="79"/>
      <c r="PK5" s="79"/>
      <c r="PL5" s="79"/>
      <c r="PM5" s="79"/>
      <c r="PN5" s="79"/>
      <c r="PO5" s="79"/>
      <c r="PP5" s="79"/>
      <c r="PQ5" s="79"/>
      <c r="PR5" s="79"/>
      <c r="PS5" s="79"/>
      <c r="PT5" s="79"/>
      <c r="PU5" s="79"/>
      <c r="PV5" s="79"/>
      <c r="PW5" s="79"/>
      <c r="PX5" s="79"/>
      <c r="PY5" s="79"/>
      <c r="PZ5" s="79"/>
      <c r="QA5" s="79"/>
      <c r="QB5" s="79"/>
      <c r="QC5" s="79"/>
      <c r="QD5" s="79"/>
      <c r="QE5" s="79"/>
      <c r="QF5" s="79"/>
      <c r="QG5" s="79"/>
      <c r="QH5" s="79"/>
      <c r="QI5" s="79"/>
      <c r="QJ5" s="79"/>
      <c r="QK5" s="79"/>
      <c r="QL5" s="79"/>
      <c r="QM5" s="79"/>
      <c r="QN5" s="79"/>
      <c r="QO5" s="79"/>
      <c r="QP5" s="79"/>
      <c r="QQ5" s="79"/>
      <c r="QR5" s="79"/>
      <c r="QS5" s="79"/>
      <c r="QT5" s="79"/>
      <c r="QU5" s="79"/>
      <c r="QV5" s="79"/>
      <c r="QW5" s="79"/>
      <c r="QX5" s="79"/>
      <c r="QY5" s="79"/>
      <c r="QZ5" s="79"/>
      <c r="RA5" s="79"/>
      <c r="RB5" s="79"/>
      <c r="RC5" s="79"/>
      <c r="RD5" s="79"/>
      <c r="RE5" s="79"/>
      <c r="RF5" s="79"/>
      <c r="RG5" s="79"/>
      <c r="RH5" s="79"/>
      <c r="RI5" s="79"/>
      <c r="RJ5" s="79"/>
      <c r="RK5" s="79"/>
      <c r="RL5" s="79"/>
      <c r="RM5" s="79"/>
      <c r="RN5" s="79"/>
      <c r="RO5" s="79"/>
      <c r="RP5" s="79"/>
      <c r="RQ5" s="79"/>
      <c r="RR5" s="79"/>
      <c r="RS5" s="79"/>
      <c r="RT5" s="79"/>
      <c r="RU5" s="79"/>
      <c r="RV5" s="79"/>
      <c r="RW5" s="79"/>
      <c r="RX5" s="79"/>
      <c r="RY5" s="79"/>
      <c r="RZ5" s="79"/>
      <c r="SA5" s="79"/>
      <c r="SB5" s="79"/>
      <c r="SC5" s="79"/>
      <c r="SD5" s="79"/>
      <c r="SE5" s="79"/>
      <c r="SF5" s="79"/>
      <c r="SG5" s="79"/>
      <c r="SH5" s="79"/>
      <c r="SI5" s="79"/>
      <c r="SJ5" s="79"/>
      <c r="SK5" s="79"/>
      <c r="SL5" s="79"/>
      <c r="SM5" s="79"/>
      <c r="SN5" s="79"/>
      <c r="SO5" s="79"/>
      <c r="SP5" s="79"/>
      <c r="SQ5" s="79"/>
      <c r="SR5" s="79"/>
      <c r="TU5" s="118" t="s">
        <v>44</v>
      </c>
      <c r="TV5" s="103"/>
      <c r="TW5" s="99"/>
      <c r="UP5" s="112" t="s">
        <v>45</v>
      </c>
      <c r="UQ5" s="108"/>
      <c r="UY5" s="112" t="s">
        <v>46</v>
      </c>
      <c r="UZ5" s="108"/>
      <c r="YJ5" s="112" t="s">
        <v>47</v>
      </c>
      <c r="YK5" s="108"/>
      <c r="AAA5" s="112" t="s">
        <v>48</v>
      </c>
      <c r="AAB5" s="108"/>
    </row>
    <row r="6" spans="1:975" ht="103.95" customHeight="1" thickTop="1" thickBot="1" x14ac:dyDescent="0.45">
      <c r="A6" s="98" t="s">
        <v>322</v>
      </c>
      <c r="B6" s="99"/>
      <c r="S6" s="113" t="s">
        <v>51</v>
      </c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5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113" t="s">
        <v>52</v>
      </c>
      <c r="BO6" s="114"/>
      <c r="BP6" s="114"/>
      <c r="BQ6" s="114"/>
      <c r="BR6" s="114"/>
      <c r="BS6" s="114"/>
      <c r="BT6" s="114"/>
      <c r="BU6" s="114"/>
      <c r="BV6" s="114"/>
      <c r="BW6" s="114"/>
      <c r="BX6" s="114"/>
      <c r="BY6" s="114"/>
      <c r="BZ6" s="114"/>
      <c r="CA6" s="114"/>
      <c r="CB6" s="114"/>
      <c r="CC6" s="114"/>
      <c r="CD6" s="114"/>
      <c r="CE6" s="114"/>
      <c r="CF6" s="114"/>
      <c r="CG6" s="114"/>
      <c r="CH6" s="114"/>
      <c r="CI6" s="114"/>
      <c r="CJ6" s="114"/>
      <c r="CK6" s="114"/>
      <c r="CL6" s="114"/>
      <c r="CM6" s="114"/>
      <c r="CN6" s="114"/>
      <c r="CO6" s="114"/>
      <c r="CP6" s="114"/>
      <c r="CQ6" s="114"/>
      <c r="CR6" s="114"/>
      <c r="CS6" s="114"/>
      <c r="CT6" s="114"/>
      <c r="CU6" s="114"/>
      <c r="CV6" s="114"/>
      <c r="CW6" s="114"/>
      <c r="CX6" s="114"/>
      <c r="CY6" s="114"/>
      <c r="CZ6" s="114"/>
      <c r="DA6" s="114"/>
      <c r="DB6" s="114"/>
      <c r="DC6" s="114"/>
      <c r="DD6" s="114"/>
      <c r="DE6" s="114"/>
      <c r="DF6" s="114"/>
      <c r="DG6" s="114"/>
      <c r="DH6" s="114"/>
      <c r="DI6" s="114"/>
      <c r="DJ6" s="114"/>
      <c r="DK6" s="114"/>
      <c r="DL6" s="114"/>
      <c r="DM6" s="114"/>
      <c r="DN6" s="114"/>
      <c r="DO6" s="115"/>
      <c r="JW6" s="116" t="s">
        <v>53</v>
      </c>
      <c r="JX6" s="103"/>
      <c r="JY6" s="103"/>
      <c r="JZ6" s="103"/>
      <c r="KA6" s="103"/>
      <c r="KB6" s="103"/>
      <c r="KC6" s="103"/>
      <c r="KD6" s="103"/>
      <c r="KE6" s="103"/>
      <c r="KF6" s="103"/>
      <c r="KG6" s="103"/>
      <c r="KH6" s="103"/>
      <c r="KI6" s="103"/>
      <c r="KJ6" s="103"/>
      <c r="KK6" s="103"/>
      <c r="KL6" s="103"/>
      <c r="KM6" s="103"/>
      <c r="KN6" s="103"/>
      <c r="KO6" s="103"/>
      <c r="KP6" s="103"/>
      <c r="KQ6" s="103"/>
      <c r="KR6" s="103"/>
      <c r="KS6" s="103"/>
      <c r="KT6" s="103"/>
      <c r="KU6" s="103"/>
      <c r="KV6" s="99"/>
      <c r="KW6" s="116" t="s">
        <v>54</v>
      </c>
      <c r="KX6" s="103"/>
      <c r="KY6" s="103"/>
      <c r="KZ6" s="99"/>
      <c r="LL6" s="116" t="s">
        <v>55</v>
      </c>
      <c r="LM6" s="99"/>
      <c r="LP6" s="116" t="s">
        <v>56</v>
      </c>
      <c r="LQ6" s="103"/>
      <c r="LR6" s="103"/>
      <c r="LS6" s="103"/>
      <c r="LT6" s="103"/>
      <c r="LU6" s="103"/>
      <c r="LV6" s="103"/>
      <c r="LW6" s="103"/>
      <c r="LX6" s="103"/>
      <c r="LY6" s="103"/>
      <c r="LZ6" s="103"/>
      <c r="MA6" s="103"/>
      <c r="MB6" s="103"/>
      <c r="MC6" s="103"/>
      <c r="MD6" s="103"/>
      <c r="ME6" s="103"/>
      <c r="MF6" s="103"/>
      <c r="MG6" s="103"/>
      <c r="MH6" s="103"/>
      <c r="MI6" s="103"/>
      <c r="MJ6" s="103"/>
      <c r="MK6" s="103"/>
      <c r="ML6" s="103"/>
      <c r="MM6" s="103"/>
      <c r="MN6" s="99"/>
      <c r="MO6" s="116" t="s">
        <v>57</v>
      </c>
      <c r="MP6" s="103"/>
      <c r="MQ6" s="103"/>
      <c r="MR6" s="103"/>
      <c r="MS6" s="103"/>
      <c r="MT6" s="103"/>
      <c r="MU6" s="103"/>
      <c r="MV6" s="103"/>
      <c r="MW6" s="103"/>
      <c r="MX6" s="103"/>
      <c r="MY6" s="103"/>
      <c r="MZ6" s="103"/>
      <c r="NA6" s="103"/>
      <c r="NB6" s="103"/>
      <c r="NC6" s="103"/>
      <c r="ND6" s="103"/>
      <c r="NE6" s="103"/>
      <c r="NF6" s="103"/>
      <c r="NG6" s="103"/>
      <c r="NH6" s="103"/>
      <c r="NI6" s="103"/>
      <c r="NJ6" s="103"/>
      <c r="NK6" s="103"/>
      <c r="NL6" s="103"/>
      <c r="NM6" s="103"/>
      <c r="NN6" s="103"/>
      <c r="NO6" s="103"/>
      <c r="NP6" s="103"/>
      <c r="NQ6" s="103"/>
      <c r="NR6" s="103"/>
      <c r="NS6" s="103"/>
      <c r="NT6" s="103"/>
      <c r="NU6" s="103"/>
      <c r="NV6" s="103"/>
      <c r="NW6" s="99"/>
      <c r="NX6" s="116" t="s">
        <v>58</v>
      </c>
      <c r="NY6" s="103"/>
      <c r="NZ6" s="103"/>
      <c r="OA6" s="103"/>
      <c r="OB6" s="103"/>
      <c r="OC6" s="103"/>
      <c r="OD6" s="103"/>
      <c r="OE6" s="103"/>
      <c r="OF6" s="103"/>
      <c r="OG6" s="103"/>
      <c r="OH6" s="103"/>
      <c r="OI6" s="103"/>
      <c r="OJ6" s="103"/>
      <c r="OK6" s="103"/>
      <c r="OL6" s="103"/>
      <c r="OM6" s="103"/>
      <c r="ON6" s="103"/>
      <c r="OO6" s="103"/>
      <c r="OP6" s="103"/>
      <c r="OQ6" s="103"/>
      <c r="OR6" s="99"/>
    </row>
    <row r="7" spans="1:975" ht="103.95" customHeight="1" thickTop="1" thickBot="1" x14ac:dyDescent="0.35">
      <c r="A7" s="101" t="s">
        <v>323</v>
      </c>
      <c r="B7" s="99"/>
      <c r="GN7" s="119" t="s">
        <v>61</v>
      </c>
      <c r="GO7" s="103"/>
      <c r="GP7" s="103"/>
      <c r="GQ7" s="103"/>
      <c r="GR7" s="103"/>
      <c r="GS7" s="103"/>
      <c r="GT7" s="103"/>
      <c r="GU7" s="103"/>
      <c r="GV7" s="103"/>
      <c r="GW7" s="103"/>
      <c r="GX7" s="103"/>
      <c r="GY7" s="103"/>
      <c r="GZ7" s="103"/>
      <c r="HA7" s="103"/>
      <c r="HB7" s="103"/>
      <c r="HC7" s="103"/>
      <c r="HD7" s="103"/>
      <c r="HE7" s="103"/>
      <c r="HF7" s="103"/>
      <c r="HG7" s="103"/>
      <c r="HH7" s="103"/>
      <c r="HI7" s="103"/>
      <c r="HJ7" s="103"/>
      <c r="HK7" s="103"/>
      <c r="HL7" s="103"/>
      <c r="HM7" s="103"/>
      <c r="HN7" s="103"/>
      <c r="HO7" s="103"/>
      <c r="HP7" s="103"/>
      <c r="HQ7" s="103"/>
      <c r="HR7" s="103"/>
      <c r="HS7" s="103"/>
      <c r="HT7" s="103"/>
      <c r="HU7" s="103"/>
      <c r="HV7" s="103"/>
      <c r="HW7" s="103"/>
      <c r="HX7" s="103"/>
      <c r="HY7" s="103"/>
      <c r="HZ7" s="103"/>
      <c r="IA7" s="103"/>
      <c r="IB7" s="103"/>
      <c r="IC7" s="103"/>
      <c r="ID7" s="103"/>
      <c r="IE7" s="103"/>
      <c r="IF7" s="103"/>
      <c r="IG7" s="103"/>
      <c r="IH7" s="103"/>
      <c r="II7" s="103"/>
      <c r="IJ7" s="103"/>
      <c r="IK7" s="103"/>
      <c r="IL7" s="103"/>
      <c r="IM7" s="103"/>
      <c r="IN7" s="103"/>
      <c r="IO7" s="103"/>
      <c r="IP7" s="103"/>
      <c r="IQ7" s="103"/>
      <c r="IR7" s="103"/>
      <c r="IS7" s="103"/>
      <c r="IT7" s="103"/>
      <c r="IU7" s="103"/>
      <c r="IV7" s="103"/>
      <c r="IW7" s="103"/>
      <c r="IX7" s="103"/>
      <c r="IY7" s="103"/>
      <c r="IZ7" s="103"/>
      <c r="JA7" s="103"/>
      <c r="JB7" s="103"/>
      <c r="JC7" s="103"/>
      <c r="JD7" s="103"/>
      <c r="JE7" s="103"/>
      <c r="JF7" s="103"/>
      <c r="JG7" s="103"/>
      <c r="JH7" s="103"/>
      <c r="JI7" s="103"/>
      <c r="JJ7" s="103"/>
      <c r="JK7" s="103"/>
      <c r="JL7" s="99"/>
      <c r="JZ7" s="119" t="s">
        <v>62</v>
      </c>
      <c r="KA7" s="103"/>
      <c r="KB7" s="103"/>
      <c r="KC7" s="103"/>
      <c r="KD7" s="103"/>
      <c r="KE7" s="103"/>
      <c r="KF7" s="103"/>
      <c r="KG7" s="103"/>
      <c r="KH7" s="103"/>
      <c r="KI7" s="103"/>
      <c r="KJ7" s="103"/>
      <c r="KK7" s="103"/>
      <c r="KL7" s="103"/>
      <c r="KM7" s="103"/>
      <c r="KN7" s="103"/>
      <c r="KO7" s="103"/>
      <c r="KP7" s="103"/>
      <c r="KQ7" s="103"/>
      <c r="KR7" s="103"/>
      <c r="KS7" s="103"/>
      <c r="KT7" s="103"/>
      <c r="KU7" s="103"/>
      <c r="KV7" s="103"/>
      <c r="KW7" s="103"/>
      <c r="KX7" s="103"/>
      <c r="KY7" s="103"/>
      <c r="KZ7" s="103"/>
      <c r="LA7" s="103"/>
      <c r="LB7" s="103"/>
      <c r="LC7" s="103"/>
      <c r="LD7" s="103"/>
      <c r="LE7" s="103"/>
      <c r="LF7" s="103"/>
      <c r="LG7" s="103"/>
      <c r="LH7" s="103"/>
      <c r="LI7" s="103"/>
      <c r="LJ7" s="103"/>
      <c r="LK7" s="103"/>
      <c r="LL7" s="103"/>
      <c r="LM7" s="103"/>
      <c r="LN7" s="103"/>
      <c r="LO7" s="103"/>
      <c r="LP7" s="103"/>
      <c r="LQ7" s="103"/>
      <c r="LR7" s="103"/>
      <c r="LS7" s="103"/>
      <c r="LT7" s="103"/>
      <c r="LU7" s="103"/>
      <c r="LV7" s="103"/>
      <c r="LW7" s="103"/>
      <c r="LX7" s="103"/>
      <c r="LY7" s="103"/>
      <c r="LZ7" s="103"/>
      <c r="MA7" s="103"/>
      <c r="MB7" s="103"/>
      <c r="MC7" s="103"/>
      <c r="MD7" s="103"/>
      <c r="ME7" s="103"/>
      <c r="MF7" s="103"/>
      <c r="MG7" s="103"/>
      <c r="MH7" s="103"/>
      <c r="MI7" s="103"/>
      <c r="MJ7" s="103"/>
      <c r="MK7" s="103"/>
      <c r="ML7" s="103"/>
      <c r="MM7" s="103"/>
      <c r="MN7" s="103"/>
      <c r="MO7" s="103"/>
      <c r="MP7" s="103"/>
      <c r="MQ7" s="103"/>
      <c r="MR7" s="103"/>
      <c r="MS7" s="103"/>
      <c r="MT7" s="103"/>
      <c r="MU7" s="103"/>
      <c r="MV7" s="103"/>
      <c r="MW7" s="103"/>
      <c r="MX7" s="103"/>
      <c r="MY7" s="99"/>
      <c r="NC7" s="119" t="s">
        <v>63</v>
      </c>
      <c r="ND7" s="103"/>
      <c r="NE7" s="103"/>
      <c r="NF7" s="103"/>
      <c r="NG7" s="103"/>
      <c r="NH7" s="103"/>
      <c r="NI7" s="103"/>
      <c r="NJ7" s="103"/>
      <c r="NK7" s="103"/>
      <c r="NL7" s="103"/>
      <c r="NM7" s="103"/>
      <c r="NN7" s="103"/>
      <c r="NO7" s="103"/>
      <c r="NP7" s="103"/>
      <c r="NQ7" s="103"/>
      <c r="NR7" s="103"/>
      <c r="NS7" s="103"/>
      <c r="NT7" s="103"/>
      <c r="NU7" s="103"/>
      <c r="NV7" s="103"/>
      <c r="NW7" s="103"/>
      <c r="NX7" s="103"/>
      <c r="NY7" s="103"/>
      <c r="NZ7" s="103"/>
      <c r="OA7" s="103"/>
      <c r="OB7" s="103"/>
      <c r="OC7" s="103"/>
      <c r="OD7" s="103"/>
      <c r="OE7" s="103"/>
      <c r="OF7" s="103"/>
      <c r="OG7" s="103"/>
      <c r="OH7" s="103"/>
      <c r="OI7" s="103"/>
      <c r="OJ7" s="103"/>
      <c r="OK7" s="103"/>
      <c r="OL7" s="103"/>
      <c r="OM7" s="103"/>
      <c r="ON7" s="103"/>
      <c r="OO7" s="103"/>
      <c r="OP7" s="103"/>
      <c r="OQ7" s="103"/>
      <c r="OR7" s="103"/>
      <c r="OS7" s="103"/>
      <c r="OT7" s="103"/>
      <c r="OU7" s="103"/>
      <c r="OV7" s="103"/>
      <c r="OW7" s="103"/>
      <c r="OX7" s="103"/>
      <c r="OY7" s="103"/>
      <c r="OZ7" s="103"/>
      <c r="PA7" s="103"/>
      <c r="PB7" s="103"/>
      <c r="PC7" s="103"/>
      <c r="PD7" s="103"/>
      <c r="PE7" s="103"/>
      <c r="PF7" s="103"/>
      <c r="PG7" s="103"/>
      <c r="PH7" s="103"/>
      <c r="PI7" s="103"/>
      <c r="PJ7" s="103"/>
      <c r="PK7" s="103"/>
      <c r="PL7" s="103"/>
      <c r="PM7" s="103"/>
      <c r="PN7" s="103"/>
      <c r="PO7" s="103"/>
      <c r="PP7" s="103"/>
      <c r="PQ7" s="103"/>
      <c r="PR7" s="103"/>
      <c r="PS7" s="103"/>
      <c r="PT7" s="103"/>
      <c r="PU7" s="103"/>
      <c r="PV7" s="103"/>
      <c r="PW7" s="103"/>
      <c r="PX7" s="99"/>
      <c r="PY7" s="119" t="s">
        <v>64</v>
      </c>
      <c r="PZ7" s="103"/>
      <c r="QA7" s="103"/>
      <c r="QB7" s="103"/>
      <c r="QC7" s="103"/>
      <c r="QD7" s="103"/>
      <c r="QE7" s="103"/>
      <c r="QF7" s="103"/>
      <c r="QG7" s="103"/>
      <c r="QH7" s="103"/>
      <c r="QI7" s="103"/>
      <c r="QJ7" s="103"/>
      <c r="QK7" s="103"/>
      <c r="QL7" s="103"/>
      <c r="QM7" s="103"/>
      <c r="QN7" s="103"/>
      <c r="QO7" s="103"/>
      <c r="QP7" s="103"/>
      <c r="QQ7" s="103"/>
      <c r="QR7" s="103"/>
      <c r="QS7" s="103"/>
      <c r="QT7" s="103"/>
      <c r="QU7" s="103"/>
      <c r="QV7" s="103"/>
      <c r="QW7" s="103"/>
      <c r="QX7" s="103"/>
      <c r="QY7" s="103"/>
      <c r="QZ7" s="103"/>
      <c r="RA7" s="103"/>
      <c r="RB7" s="103"/>
      <c r="RC7" s="103"/>
      <c r="RD7" s="103"/>
      <c r="RE7" s="103"/>
      <c r="RF7" s="103"/>
      <c r="RG7" s="103"/>
      <c r="RH7" s="103"/>
      <c r="RI7" s="103"/>
      <c r="RJ7" s="103"/>
      <c r="RK7" s="103"/>
      <c r="RL7" s="103"/>
      <c r="RM7" s="103"/>
      <c r="RN7" s="103"/>
      <c r="RO7" s="103"/>
      <c r="RP7" s="103"/>
      <c r="RQ7" s="103"/>
      <c r="RR7" s="99"/>
    </row>
    <row r="8" spans="1:975" ht="103.95" customHeight="1" thickTop="1" thickBot="1" x14ac:dyDescent="0.45">
      <c r="A8" s="80" t="s">
        <v>324</v>
      </c>
      <c r="B8" s="80" t="s">
        <v>325</v>
      </c>
      <c r="GJ8" s="120" t="s">
        <v>67</v>
      </c>
      <c r="GK8" s="103"/>
      <c r="GL8" s="103"/>
      <c r="GM8" s="103"/>
      <c r="GN8" s="103"/>
      <c r="GO8" s="103"/>
      <c r="GP8" s="103"/>
      <c r="GQ8" s="103"/>
      <c r="GR8" s="103"/>
      <c r="GS8" s="103"/>
      <c r="GT8" s="103"/>
      <c r="GU8" s="103"/>
      <c r="GV8" s="103"/>
      <c r="GW8" s="103"/>
      <c r="GX8" s="103"/>
      <c r="GY8" s="103"/>
      <c r="GZ8" s="103"/>
      <c r="HA8" s="103"/>
      <c r="HB8" s="103"/>
      <c r="HC8" s="103"/>
      <c r="HD8" s="103"/>
      <c r="HE8" s="103"/>
      <c r="HF8" s="103"/>
      <c r="HG8" s="103"/>
      <c r="HH8" s="103"/>
      <c r="HI8" s="103"/>
      <c r="HJ8" s="103"/>
      <c r="HK8" s="103"/>
      <c r="HL8" s="103"/>
      <c r="HM8" s="103"/>
      <c r="HN8" s="103"/>
      <c r="HO8" s="103"/>
      <c r="HP8" s="103"/>
      <c r="HQ8" s="103"/>
      <c r="HR8" s="103"/>
      <c r="HS8" s="103"/>
      <c r="HT8" s="103"/>
      <c r="HU8" s="103"/>
      <c r="HV8" s="103"/>
      <c r="HW8" s="103"/>
      <c r="HX8" s="103"/>
      <c r="HY8" s="103"/>
      <c r="HZ8" s="103"/>
      <c r="IA8" s="103"/>
      <c r="IB8" s="103"/>
      <c r="IC8" s="103"/>
      <c r="ID8" s="103"/>
      <c r="IE8" s="103"/>
      <c r="IF8" s="103"/>
      <c r="IG8" s="103"/>
      <c r="IH8" s="103"/>
      <c r="II8" s="103"/>
      <c r="IJ8" s="103"/>
      <c r="IK8" s="103"/>
      <c r="IL8" s="103"/>
      <c r="IM8" s="103"/>
      <c r="IN8" s="103"/>
      <c r="IO8" s="103"/>
      <c r="IP8" s="103"/>
      <c r="IQ8" s="103"/>
      <c r="IR8" s="103"/>
      <c r="IS8" s="103"/>
      <c r="IT8" s="103"/>
      <c r="IU8" s="103"/>
      <c r="IV8" s="103"/>
      <c r="IW8" s="103"/>
      <c r="IX8" s="103"/>
      <c r="IY8" s="103"/>
      <c r="IZ8" s="103"/>
      <c r="JA8" s="103"/>
      <c r="JB8" s="103"/>
      <c r="JC8" s="103"/>
      <c r="JD8" s="103"/>
      <c r="JE8" s="103"/>
      <c r="JF8" s="103"/>
      <c r="JG8" s="103"/>
      <c r="JH8" s="103"/>
      <c r="JI8" s="103"/>
      <c r="JJ8" s="103"/>
      <c r="JK8" s="103"/>
      <c r="JL8" s="103"/>
      <c r="JM8" s="103"/>
      <c r="JN8" s="103"/>
      <c r="JO8" s="103"/>
      <c r="JP8" s="103"/>
      <c r="JQ8" s="103"/>
      <c r="JR8" s="103"/>
      <c r="JS8" s="103"/>
      <c r="JT8" s="103"/>
      <c r="JU8" s="103"/>
      <c r="JV8" s="103"/>
      <c r="JW8" s="103"/>
      <c r="JX8" s="103"/>
      <c r="JY8" s="103"/>
      <c r="JZ8" s="103"/>
      <c r="KA8" s="103"/>
      <c r="KB8" s="103"/>
      <c r="KC8" s="103"/>
      <c r="KD8" s="103"/>
      <c r="KE8" s="103"/>
      <c r="KF8" s="103"/>
      <c r="KG8" s="103"/>
      <c r="KH8" s="103"/>
      <c r="KI8" s="103"/>
      <c r="KJ8" s="103"/>
      <c r="KK8" s="103"/>
      <c r="KL8" s="103"/>
      <c r="KM8" s="103"/>
      <c r="KN8" s="103"/>
      <c r="KO8" s="103"/>
      <c r="KP8" s="103"/>
      <c r="KQ8" s="103"/>
      <c r="KR8" s="103"/>
      <c r="KS8" s="103"/>
      <c r="KT8" s="103"/>
      <c r="KU8" s="103"/>
      <c r="KV8" s="103"/>
      <c r="KW8" s="103"/>
      <c r="KX8" s="103"/>
      <c r="KY8" s="103"/>
      <c r="KZ8" s="99"/>
      <c r="ML8" s="121" t="s">
        <v>68</v>
      </c>
      <c r="MM8" s="103"/>
      <c r="MN8" s="103"/>
      <c r="MO8" s="103"/>
      <c r="MP8" s="103"/>
      <c r="MQ8" s="99"/>
      <c r="MR8" s="122" t="s">
        <v>70</v>
      </c>
      <c r="MS8" s="103"/>
      <c r="MT8" s="103"/>
      <c r="MU8" s="103"/>
      <c r="MV8" s="103"/>
      <c r="MW8" s="103"/>
      <c r="MX8" s="103"/>
      <c r="MY8" s="103"/>
      <c r="MZ8" s="103"/>
      <c r="NA8" s="103"/>
      <c r="NB8" s="103"/>
      <c r="NC8" s="103"/>
      <c r="ND8" s="103"/>
      <c r="NE8" s="103"/>
      <c r="NF8" s="103"/>
      <c r="NG8" s="103"/>
      <c r="NH8" s="103"/>
      <c r="NI8" s="103"/>
      <c r="NJ8" s="103"/>
      <c r="NK8" s="103"/>
      <c r="NL8" s="103"/>
      <c r="NM8" s="103"/>
      <c r="NN8" s="103"/>
      <c r="NO8" s="103"/>
      <c r="NP8" s="103"/>
      <c r="NQ8" s="103"/>
      <c r="NR8" s="103"/>
      <c r="NS8" s="103"/>
      <c r="NT8" s="103"/>
      <c r="NU8" s="103"/>
      <c r="NV8" s="103"/>
      <c r="NW8" s="103"/>
      <c r="NX8" s="99"/>
      <c r="NY8" s="123" t="s">
        <v>72</v>
      </c>
      <c r="NZ8" s="114"/>
      <c r="OA8" s="114"/>
      <c r="OB8" s="114"/>
      <c r="OC8" s="114"/>
      <c r="OD8" s="114"/>
      <c r="OE8" s="114"/>
      <c r="OF8" s="124" t="s">
        <v>73</v>
      </c>
      <c r="OG8" s="114"/>
      <c r="OH8" s="114"/>
      <c r="OI8" s="114"/>
      <c r="OJ8" s="114"/>
      <c r="OK8" s="114"/>
      <c r="OL8" s="114"/>
      <c r="OM8" s="114"/>
      <c r="ON8" s="114"/>
      <c r="OO8" s="114"/>
      <c r="OP8" s="114"/>
      <c r="OQ8" s="114"/>
      <c r="OR8" s="115"/>
      <c r="OS8" s="125" t="s">
        <v>75</v>
      </c>
      <c r="OT8" s="114"/>
      <c r="OU8" s="114"/>
      <c r="OV8" s="114"/>
      <c r="OW8" s="114"/>
      <c r="OX8" s="114"/>
      <c r="OY8" s="114"/>
      <c r="OZ8" s="114"/>
      <c r="PA8" s="115"/>
      <c r="RI8" s="126" t="s">
        <v>77</v>
      </c>
      <c r="RJ8" s="114"/>
      <c r="RK8" s="114"/>
      <c r="RL8" s="114"/>
      <c r="RM8" s="114"/>
      <c r="RN8" s="114"/>
      <c r="RO8" s="114"/>
      <c r="RP8" s="114"/>
      <c r="RQ8" s="114"/>
      <c r="RR8" s="114"/>
      <c r="RS8" s="114"/>
      <c r="RT8" s="114"/>
      <c r="RU8" s="115"/>
      <c r="RV8" s="88"/>
      <c r="RW8" s="88"/>
      <c r="RX8" s="127" t="s">
        <v>79</v>
      </c>
      <c r="RY8" s="114"/>
      <c r="RZ8" s="114"/>
      <c r="SA8" s="114"/>
      <c r="SB8" s="115"/>
      <c r="SC8" s="128" t="s">
        <v>80</v>
      </c>
      <c r="SD8" s="114"/>
      <c r="SE8" s="114"/>
      <c r="SF8" s="114"/>
      <c r="SG8" s="114"/>
      <c r="SH8" s="114"/>
      <c r="SI8" s="114"/>
      <c r="SJ8" s="114"/>
      <c r="SK8" s="114"/>
      <c r="SL8" s="114"/>
      <c r="SM8" s="114"/>
      <c r="SN8" s="114"/>
      <c r="SO8" s="114"/>
      <c r="SP8" s="114"/>
      <c r="SQ8" s="115"/>
      <c r="SR8" s="129" t="s">
        <v>81</v>
      </c>
      <c r="SS8" s="103"/>
      <c r="ST8" s="103"/>
      <c r="SU8" s="103"/>
      <c r="SV8" s="103"/>
      <c r="SW8" s="103"/>
      <c r="SX8" s="103"/>
      <c r="SY8" s="103"/>
      <c r="SZ8" s="103"/>
      <c r="TA8" s="103"/>
      <c r="TB8" s="103"/>
      <c r="TC8" s="103"/>
      <c r="TD8" s="103"/>
      <c r="TE8" s="103"/>
      <c r="TF8" s="99"/>
      <c r="TG8" s="129" t="s">
        <v>82</v>
      </c>
      <c r="TH8" s="103"/>
      <c r="TI8" s="103"/>
      <c r="TJ8" s="103"/>
      <c r="TK8" s="103"/>
      <c r="TL8" s="103"/>
      <c r="TM8" s="103"/>
      <c r="TN8" s="103"/>
      <c r="TO8" s="103"/>
      <c r="TP8" s="103"/>
      <c r="TQ8" s="103"/>
      <c r="TR8" s="103"/>
      <c r="TS8" s="103"/>
      <c r="TT8" s="103"/>
      <c r="TU8" s="99"/>
      <c r="TV8" s="129" t="s">
        <v>83</v>
      </c>
      <c r="TW8" s="103"/>
      <c r="TX8" s="103"/>
      <c r="TY8" s="103"/>
      <c r="TZ8" s="103"/>
      <c r="UA8" s="103"/>
      <c r="UB8" s="103"/>
      <c r="UC8" s="103"/>
      <c r="UD8" s="103"/>
      <c r="UE8" s="103"/>
      <c r="UF8" s="103"/>
      <c r="UG8" s="103"/>
      <c r="UH8" s="103"/>
      <c r="UI8" s="103"/>
      <c r="UJ8" s="99"/>
      <c r="UK8" s="129" t="s">
        <v>84</v>
      </c>
      <c r="UL8" s="103"/>
      <c r="UM8" s="103"/>
      <c r="UN8" s="103"/>
      <c r="UO8" s="103"/>
      <c r="UP8" s="103"/>
      <c r="UQ8" s="103"/>
      <c r="UR8" s="103"/>
      <c r="US8" s="103"/>
      <c r="UT8" s="103"/>
      <c r="UU8" s="103"/>
      <c r="UV8" s="103"/>
      <c r="UW8" s="103"/>
      <c r="UX8" s="103"/>
      <c r="UY8" s="99"/>
      <c r="UZ8" s="129" t="s">
        <v>85</v>
      </c>
      <c r="VA8" s="103"/>
      <c r="VB8" s="103"/>
      <c r="VC8" s="103"/>
      <c r="VD8" s="103"/>
      <c r="VE8" s="103"/>
      <c r="VF8" s="103"/>
      <c r="VG8" s="103"/>
      <c r="VH8" s="103"/>
      <c r="VI8" s="103"/>
      <c r="VJ8" s="103"/>
      <c r="VK8" s="103"/>
      <c r="VL8" s="103"/>
      <c r="VM8" s="103"/>
      <c r="VN8" s="99"/>
      <c r="VO8" s="129" t="s">
        <v>86</v>
      </c>
      <c r="VP8" s="103"/>
      <c r="VQ8" s="103"/>
      <c r="VR8" s="103"/>
      <c r="VS8" s="103"/>
      <c r="VT8" s="103"/>
      <c r="VU8" s="103"/>
      <c r="VV8" s="103"/>
      <c r="VW8" s="103"/>
      <c r="VX8" s="103"/>
      <c r="VY8" s="103"/>
      <c r="VZ8" s="103"/>
      <c r="WA8" s="103"/>
      <c r="WB8" s="103"/>
      <c r="WC8" s="99"/>
      <c r="WD8" s="129" t="s">
        <v>87</v>
      </c>
      <c r="WE8" s="103"/>
      <c r="WF8" s="103"/>
      <c r="WG8" s="103"/>
      <c r="WH8" s="103"/>
      <c r="WI8" s="103"/>
      <c r="WJ8" s="103"/>
      <c r="WK8" s="103"/>
      <c r="WL8" s="103"/>
      <c r="WM8" s="103"/>
      <c r="WN8" s="103"/>
      <c r="WO8" s="103"/>
      <c r="WP8" s="103"/>
      <c r="WQ8" s="103"/>
      <c r="WR8" s="99"/>
      <c r="WS8" s="130" t="s">
        <v>89</v>
      </c>
      <c r="WT8" s="103"/>
      <c r="WU8" s="103"/>
      <c r="WV8" s="103"/>
      <c r="WW8" s="103"/>
      <c r="WX8" s="103"/>
      <c r="WY8" s="103"/>
      <c r="WZ8" s="103"/>
      <c r="XA8" s="103"/>
      <c r="XB8" s="103"/>
      <c r="XC8" s="103"/>
      <c r="XD8" s="103"/>
      <c r="XE8" s="103"/>
      <c r="XF8" s="103"/>
      <c r="XG8" s="99"/>
    </row>
    <row r="9" spans="1:975" ht="103.95" customHeight="1" thickTop="1" thickBot="1" x14ac:dyDescent="0.5">
      <c r="A9" s="80" t="s">
        <v>326</v>
      </c>
      <c r="B9" s="80" t="s">
        <v>327</v>
      </c>
      <c r="CR9" s="131" t="s">
        <v>92</v>
      </c>
      <c r="CS9" s="103"/>
      <c r="CT9" s="103"/>
      <c r="CU9" s="103"/>
      <c r="CV9" s="103"/>
      <c r="CW9" s="103"/>
      <c r="CX9" s="103"/>
      <c r="CY9" s="99"/>
      <c r="FR9" s="132" t="s">
        <v>94</v>
      </c>
      <c r="FS9" s="133"/>
      <c r="FT9" s="133"/>
      <c r="FU9" s="133"/>
      <c r="FV9" s="133"/>
      <c r="FW9" s="133"/>
      <c r="FX9" s="133"/>
      <c r="FY9" s="133"/>
      <c r="FZ9" s="133"/>
      <c r="GA9" s="133"/>
      <c r="GB9" s="133"/>
      <c r="GC9" s="133"/>
      <c r="GD9" s="133"/>
      <c r="GE9" s="133"/>
      <c r="GF9" s="133"/>
      <c r="GG9" s="133"/>
      <c r="GH9" s="133"/>
      <c r="GI9" s="133"/>
      <c r="GJ9" s="133"/>
      <c r="GK9" s="133"/>
      <c r="GL9" s="133"/>
      <c r="GM9" s="133"/>
      <c r="GN9" s="133"/>
      <c r="GO9" s="133"/>
      <c r="GP9" s="133"/>
      <c r="GQ9" s="133"/>
      <c r="GR9" s="133"/>
      <c r="GS9" s="133"/>
      <c r="GT9" s="133"/>
      <c r="GU9" s="133"/>
      <c r="GV9" s="133"/>
      <c r="GW9" s="133"/>
      <c r="GX9" s="133"/>
      <c r="GY9" s="133"/>
      <c r="GZ9" s="133"/>
      <c r="HA9" s="133"/>
      <c r="HB9" s="133"/>
      <c r="HC9" s="133"/>
      <c r="HD9" s="133"/>
      <c r="HE9" s="133"/>
      <c r="HF9" s="134"/>
      <c r="HO9" s="92" t="s">
        <v>95</v>
      </c>
      <c r="HP9" s="93"/>
      <c r="HQ9" s="93"/>
      <c r="HR9" s="93"/>
      <c r="HS9" s="93"/>
      <c r="HT9" s="93"/>
      <c r="HU9" s="93"/>
      <c r="HV9" s="93"/>
      <c r="HW9" s="93"/>
      <c r="HX9" s="93"/>
      <c r="HY9" s="93"/>
      <c r="HZ9" s="93"/>
      <c r="IA9" s="93"/>
      <c r="IB9" s="93"/>
      <c r="IC9" s="93"/>
      <c r="ID9" s="93"/>
      <c r="IE9" s="93"/>
      <c r="IF9" s="93"/>
      <c r="IG9" s="93"/>
      <c r="IH9" s="93"/>
      <c r="II9" s="93"/>
      <c r="IJ9" s="93"/>
      <c r="IK9" s="94"/>
      <c r="IM9" s="95" t="s">
        <v>97</v>
      </c>
      <c r="IN9" s="96"/>
      <c r="IO9" s="96"/>
      <c r="IP9" s="96"/>
      <c r="IQ9" s="96"/>
      <c r="IR9" s="96"/>
      <c r="IS9" s="97"/>
    </row>
    <row r="10" spans="1:975" ht="103.95" customHeight="1" thickTop="1" thickBot="1" x14ac:dyDescent="0.45">
      <c r="A10" s="81" t="s">
        <v>328</v>
      </c>
      <c r="B10" s="81" t="s">
        <v>329</v>
      </c>
      <c r="BN10" s="135" t="s">
        <v>99</v>
      </c>
      <c r="BO10" s="114"/>
      <c r="BP10" s="115"/>
      <c r="BQ10" s="88"/>
      <c r="BR10" s="88"/>
      <c r="BS10" s="88"/>
      <c r="BT10" s="88"/>
      <c r="BU10" s="126" t="s">
        <v>100</v>
      </c>
      <c r="BV10" s="114"/>
      <c r="BW10" s="114"/>
      <c r="BX10" s="114"/>
      <c r="BY10" s="114"/>
      <c r="BZ10" s="114"/>
      <c r="CA10" s="114"/>
      <c r="CB10" s="114"/>
      <c r="CC10" s="114"/>
      <c r="CD10" s="114"/>
      <c r="CE10" s="114"/>
      <c r="CF10" s="114"/>
      <c r="CG10" s="114"/>
      <c r="CH10" s="114"/>
      <c r="CI10" s="114"/>
      <c r="CJ10" s="114"/>
      <c r="CK10" s="114"/>
      <c r="CL10" s="114"/>
      <c r="CM10" s="114"/>
      <c r="CN10" s="114"/>
      <c r="CO10" s="114"/>
      <c r="CP10" s="114"/>
      <c r="CQ10" s="114"/>
      <c r="CR10" s="114"/>
      <c r="CS10" s="114"/>
      <c r="CT10" s="114"/>
      <c r="CU10" s="114"/>
      <c r="CV10" s="114"/>
      <c r="CW10" s="114"/>
      <c r="CX10" s="114"/>
      <c r="CY10" s="114"/>
      <c r="CZ10" s="114"/>
      <c r="DA10" s="114"/>
      <c r="DB10" s="114"/>
      <c r="DC10" s="114"/>
      <c r="DD10" s="114"/>
      <c r="DE10" s="114"/>
      <c r="DF10" s="114"/>
      <c r="DG10" s="114"/>
      <c r="DH10" s="114"/>
      <c r="DI10" s="114"/>
      <c r="DJ10" s="114"/>
      <c r="DK10" s="114"/>
      <c r="DL10" s="114"/>
      <c r="DM10" s="114"/>
      <c r="DN10" s="114"/>
      <c r="DO10" s="114"/>
      <c r="DP10" s="114"/>
      <c r="DQ10" s="114"/>
      <c r="DR10" s="115"/>
      <c r="DS10" s="136" t="s">
        <v>102</v>
      </c>
      <c r="DT10" s="114"/>
      <c r="DU10" s="114"/>
      <c r="DV10" s="114"/>
      <c r="DW10" s="114"/>
      <c r="DX10" s="114"/>
      <c r="DY10" s="114"/>
      <c r="DZ10" s="115"/>
      <c r="EA10" s="88"/>
      <c r="EB10" s="137" t="s">
        <v>104</v>
      </c>
      <c r="EC10" s="114"/>
      <c r="ED10" s="114"/>
      <c r="EE10" s="114"/>
      <c r="EF10" s="115"/>
      <c r="EG10" s="88"/>
      <c r="EH10" s="88"/>
      <c r="EI10" s="88"/>
      <c r="EJ10" s="88"/>
      <c r="EK10" s="88"/>
      <c r="EL10" s="88"/>
      <c r="EM10" s="127" t="s">
        <v>105</v>
      </c>
      <c r="EN10" s="114"/>
      <c r="EO10" s="114"/>
      <c r="EP10" s="114"/>
      <c r="EQ10" s="115"/>
      <c r="ER10" s="88"/>
      <c r="ES10" s="88"/>
      <c r="ET10" s="88"/>
      <c r="EU10" s="88"/>
      <c r="EV10" s="88"/>
      <c r="EW10" s="88"/>
      <c r="EX10" s="88"/>
      <c r="EY10" s="88"/>
      <c r="EZ10" s="88"/>
      <c r="FA10" s="88"/>
      <c r="FB10" s="88"/>
      <c r="FC10" s="88"/>
      <c r="FD10" s="88"/>
      <c r="FE10" s="88"/>
      <c r="FF10" s="88"/>
      <c r="FG10" s="88"/>
      <c r="FH10" s="88"/>
      <c r="FI10" s="88"/>
      <c r="FJ10" s="88"/>
      <c r="FK10" s="88"/>
      <c r="FL10" s="88"/>
      <c r="FM10" s="88"/>
      <c r="FN10" s="88"/>
      <c r="FO10" s="88"/>
      <c r="FP10" s="88"/>
      <c r="FQ10" s="88"/>
      <c r="FR10" s="88"/>
      <c r="FS10" s="88"/>
      <c r="FT10" s="88"/>
      <c r="FU10" s="88"/>
      <c r="FV10" s="138" t="s">
        <v>106</v>
      </c>
      <c r="FW10" s="114"/>
      <c r="FX10" s="114"/>
      <c r="FY10" s="114"/>
      <c r="FZ10" s="114"/>
      <c r="GA10" s="114"/>
      <c r="GB10" s="114"/>
      <c r="GC10" s="114"/>
      <c r="GD10" s="114"/>
      <c r="GE10" s="114"/>
      <c r="GF10" s="114"/>
      <c r="GG10" s="114"/>
      <c r="GH10" s="114"/>
      <c r="GI10" s="114"/>
      <c r="GJ10" s="114"/>
      <c r="GK10" s="114"/>
      <c r="GL10" s="115"/>
      <c r="GM10" s="139" t="s">
        <v>108</v>
      </c>
      <c r="GN10" s="114"/>
      <c r="GO10" s="114"/>
      <c r="GP10" s="114"/>
      <c r="GQ10" s="114"/>
      <c r="GR10" s="114"/>
      <c r="GS10" s="114"/>
      <c r="GT10" s="114"/>
      <c r="GU10" s="114"/>
      <c r="GV10" s="114"/>
      <c r="GW10" s="114"/>
      <c r="GX10" s="115"/>
      <c r="GY10" s="140" t="s">
        <v>110</v>
      </c>
      <c r="GZ10" s="114"/>
      <c r="HA10" s="114"/>
      <c r="HB10" s="114"/>
      <c r="HC10" s="114"/>
      <c r="HD10" s="114"/>
      <c r="HE10" s="114"/>
      <c r="HF10" s="115"/>
      <c r="HG10" s="88"/>
      <c r="HH10" s="141" t="s">
        <v>112</v>
      </c>
      <c r="HI10" s="142"/>
      <c r="HJ10" s="88"/>
      <c r="HK10" s="88"/>
      <c r="HL10" s="143" t="s">
        <v>114</v>
      </c>
      <c r="HM10" s="114"/>
      <c r="HN10" s="114"/>
      <c r="HO10" s="114"/>
      <c r="HP10" s="115"/>
      <c r="HQ10" s="88"/>
      <c r="HR10" s="88"/>
      <c r="HS10" s="139" t="s">
        <v>115</v>
      </c>
      <c r="HT10" s="144"/>
      <c r="HU10" s="144"/>
      <c r="HV10" s="142"/>
      <c r="HW10" s="145" t="s">
        <v>116</v>
      </c>
      <c r="HX10" s="114"/>
      <c r="HY10" s="114"/>
      <c r="HZ10" s="114"/>
      <c r="IA10" s="114"/>
      <c r="IB10" s="114"/>
      <c r="IC10" s="114"/>
      <c r="ID10" s="114"/>
      <c r="IE10" s="114"/>
      <c r="IF10" s="114"/>
      <c r="IG10" s="114"/>
      <c r="IH10" s="114"/>
      <c r="II10" s="114"/>
      <c r="IJ10" s="114"/>
      <c r="IK10" s="114"/>
      <c r="IL10" s="114"/>
      <c r="IM10" s="114"/>
      <c r="IN10" s="114"/>
      <c r="IO10" s="114"/>
      <c r="IP10" s="115"/>
      <c r="IQ10" s="88"/>
      <c r="IR10" s="136" t="s">
        <v>117</v>
      </c>
      <c r="IS10" s="114"/>
      <c r="IT10" s="114"/>
      <c r="IU10" s="114"/>
      <c r="IV10" s="114"/>
      <c r="IW10" s="114"/>
      <c r="IX10" s="114"/>
      <c r="IY10" s="114"/>
      <c r="IZ10" s="114"/>
      <c r="JA10" s="114"/>
      <c r="JB10" s="115"/>
      <c r="JC10" s="146" t="s">
        <v>119</v>
      </c>
      <c r="JD10" s="114"/>
      <c r="JE10" s="115"/>
      <c r="JF10" s="147" t="s">
        <v>121</v>
      </c>
      <c r="JG10" s="114"/>
      <c r="JH10" s="114"/>
      <c r="JI10" s="114"/>
      <c r="JJ10" s="114"/>
      <c r="JK10" s="114"/>
      <c r="JL10" s="114"/>
      <c r="JM10" s="114"/>
      <c r="JN10" s="114"/>
      <c r="JO10" s="114"/>
      <c r="JP10" s="114"/>
      <c r="JQ10" s="115"/>
      <c r="JR10" s="147" t="s">
        <v>122</v>
      </c>
      <c r="JS10" s="114"/>
      <c r="JT10" s="114"/>
      <c r="JU10" s="114"/>
      <c r="JV10" s="114"/>
      <c r="JW10" s="114"/>
      <c r="JX10" s="114"/>
      <c r="JY10" s="114"/>
      <c r="JZ10" s="114"/>
      <c r="KA10" s="114"/>
      <c r="KB10" s="114"/>
      <c r="KC10" s="114"/>
      <c r="KD10" s="114"/>
      <c r="KE10" s="114"/>
      <c r="KF10" s="114"/>
      <c r="KG10" s="114"/>
      <c r="KH10" s="114"/>
      <c r="KI10" s="114"/>
      <c r="KJ10" s="114"/>
      <c r="KK10" s="114"/>
      <c r="KL10" s="114"/>
      <c r="KM10" s="114"/>
      <c r="KN10" s="114"/>
      <c r="KO10" s="114"/>
      <c r="KP10" s="114"/>
      <c r="KQ10" s="114"/>
      <c r="KR10" s="114"/>
      <c r="KS10" s="114"/>
      <c r="KT10" s="114"/>
      <c r="KU10" s="114"/>
      <c r="KV10" s="114"/>
      <c r="KW10" s="114"/>
      <c r="KX10" s="114"/>
      <c r="KY10" s="114"/>
      <c r="KZ10" s="114"/>
      <c r="LA10" s="114"/>
      <c r="LB10" s="114"/>
      <c r="LC10" s="114"/>
      <c r="LD10" s="114"/>
      <c r="LE10" s="114"/>
      <c r="LF10" s="114"/>
      <c r="LG10" s="114"/>
      <c r="LH10" s="114"/>
      <c r="LI10" s="114"/>
      <c r="LJ10" s="114"/>
      <c r="LK10" s="114"/>
      <c r="LL10" s="114"/>
      <c r="LM10" s="114"/>
      <c r="LN10" s="114"/>
      <c r="LO10" s="114"/>
      <c r="LP10" s="114"/>
      <c r="LQ10" s="114"/>
      <c r="LR10" s="114"/>
      <c r="LS10" s="114"/>
      <c r="LT10" s="114"/>
      <c r="LU10" s="115"/>
      <c r="LV10" s="148" t="s">
        <v>123</v>
      </c>
      <c r="LW10" s="115"/>
      <c r="LX10" s="135" t="s">
        <v>68</v>
      </c>
      <c r="LY10" s="114"/>
      <c r="LZ10" s="114"/>
      <c r="MA10" s="114"/>
      <c r="MB10" s="114"/>
      <c r="MC10" s="115"/>
      <c r="MD10" s="149" t="s">
        <v>124</v>
      </c>
      <c r="ME10" s="114"/>
      <c r="MF10" s="114"/>
      <c r="MG10" s="114"/>
      <c r="MH10" s="114"/>
      <c r="MI10" s="114"/>
      <c r="MJ10" s="114"/>
      <c r="MK10" s="114"/>
      <c r="ML10" s="114"/>
      <c r="MM10" s="114"/>
      <c r="MN10" s="114"/>
      <c r="MO10" s="114"/>
      <c r="MP10" s="114"/>
      <c r="MQ10" s="114"/>
      <c r="MR10" s="114"/>
      <c r="MS10" s="114"/>
      <c r="MT10" s="114"/>
      <c r="MU10" s="114"/>
      <c r="MV10" s="114"/>
      <c r="MW10" s="114"/>
      <c r="MX10" s="114"/>
      <c r="MY10" s="114"/>
      <c r="MZ10" s="114"/>
      <c r="NA10" s="114"/>
      <c r="NB10" s="114"/>
      <c r="NC10" s="114"/>
      <c r="ND10" s="114"/>
      <c r="NE10" s="114"/>
      <c r="NF10" s="114"/>
      <c r="NG10" s="114"/>
      <c r="NH10" s="114"/>
      <c r="NI10" s="114"/>
      <c r="NJ10" s="114"/>
      <c r="NK10" s="114"/>
      <c r="NL10" s="114"/>
      <c r="NM10" s="114"/>
      <c r="NN10" s="114"/>
      <c r="NO10" s="114"/>
      <c r="NP10" s="114"/>
      <c r="NQ10" s="114"/>
      <c r="NR10" s="114"/>
      <c r="NS10" s="114"/>
      <c r="NT10" s="114"/>
      <c r="NU10" s="114"/>
      <c r="NV10" s="114"/>
      <c r="NW10" s="114"/>
      <c r="NX10" s="115"/>
      <c r="NY10" s="123" t="s">
        <v>72</v>
      </c>
      <c r="NZ10" s="114"/>
      <c r="OA10" s="114"/>
      <c r="OB10" s="114"/>
      <c r="OC10" s="114"/>
      <c r="OD10" s="114"/>
      <c r="OE10" s="114"/>
      <c r="OF10" s="150" t="s">
        <v>125</v>
      </c>
      <c r="OG10" s="114"/>
      <c r="OH10" s="114"/>
      <c r="OI10" s="114"/>
      <c r="OJ10" s="114"/>
      <c r="OK10" s="114"/>
      <c r="OL10" s="115"/>
      <c r="OM10" s="88"/>
      <c r="ON10" s="88"/>
      <c r="OO10" s="88"/>
      <c r="OP10" s="88"/>
      <c r="OQ10" s="88"/>
      <c r="OR10" s="88"/>
      <c r="OS10" s="88"/>
      <c r="OT10" s="148" t="s">
        <v>126</v>
      </c>
      <c r="OU10" s="115"/>
      <c r="OV10" s="141" t="s">
        <v>127</v>
      </c>
      <c r="OW10" s="115"/>
      <c r="OX10" s="88"/>
      <c r="OY10" s="88"/>
      <c r="OZ10" s="141" t="s">
        <v>128</v>
      </c>
      <c r="PA10" s="115"/>
      <c r="PB10" s="123" t="s">
        <v>129</v>
      </c>
      <c r="PC10" s="114"/>
      <c r="PD10" s="114"/>
      <c r="PE10" s="114"/>
      <c r="PF10" s="114"/>
      <c r="PG10" s="114"/>
      <c r="PH10" s="114"/>
      <c r="PI10" s="114"/>
      <c r="PJ10" s="114"/>
      <c r="PK10" s="114"/>
      <c r="PL10" s="114"/>
      <c r="PM10" s="114"/>
      <c r="PN10" s="115"/>
      <c r="PO10" s="141" t="s">
        <v>130</v>
      </c>
      <c r="PP10" s="115"/>
      <c r="PQ10" s="147" t="s">
        <v>131</v>
      </c>
      <c r="PR10" s="114"/>
      <c r="PS10" s="114"/>
      <c r="PT10" s="114"/>
      <c r="PU10" s="114"/>
      <c r="PV10" s="114"/>
      <c r="PW10" s="114"/>
      <c r="PX10" s="114"/>
      <c r="PY10" s="114"/>
      <c r="PZ10" s="114"/>
      <c r="QA10" s="114"/>
      <c r="QB10" s="114"/>
      <c r="QC10" s="114"/>
      <c r="QD10" s="114"/>
      <c r="QE10" s="115"/>
      <c r="QF10" s="136" t="s">
        <v>132</v>
      </c>
      <c r="QG10" s="114"/>
      <c r="QH10" s="114"/>
      <c r="QI10" s="114"/>
      <c r="QJ10" s="114"/>
      <c r="QK10" s="114"/>
      <c r="QL10" s="114"/>
      <c r="QM10" s="115"/>
      <c r="QN10" s="88"/>
      <c r="QO10" s="88"/>
      <c r="QP10" s="139" t="s">
        <v>133</v>
      </c>
      <c r="QQ10" s="114"/>
      <c r="QR10" s="114"/>
      <c r="QS10" s="114"/>
      <c r="QT10" s="114"/>
      <c r="QU10" s="114"/>
      <c r="QV10" s="114"/>
      <c r="QW10" s="115"/>
      <c r="QX10" s="148" t="s">
        <v>134</v>
      </c>
      <c r="QY10" s="144"/>
      <c r="QZ10" s="144"/>
      <c r="RA10" s="144"/>
      <c r="RB10" s="144"/>
      <c r="RC10" s="144"/>
      <c r="RD10" s="144"/>
      <c r="RE10" s="144"/>
      <c r="RF10" s="144"/>
      <c r="RG10" s="144"/>
      <c r="RH10" s="144"/>
      <c r="RI10" s="144"/>
      <c r="RJ10" s="144"/>
      <c r="RK10" s="144"/>
      <c r="RL10" s="144"/>
      <c r="RM10" s="144"/>
      <c r="RN10" s="142"/>
      <c r="RO10" s="88"/>
      <c r="RP10" s="88"/>
      <c r="RQ10" s="88"/>
      <c r="RR10" s="88"/>
      <c r="RS10" s="141" t="s">
        <v>135</v>
      </c>
      <c r="RT10" s="114"/>
      <c r="RU10" s="114"/>
      <c r="RV10" s="115"/>
      <c r="RW10" s="88"/>
      <c r="RX10" s="88"/>
      <c r="RY10" s="88"/>
      <c r="RZ10" s="88"/>
      <c r="SA10" s="88"/>
      <c r="SB10" s="124" t="s">
        <v>136</v>
      </c>
      <c r="SC10" s="114"/>
      <c r="SD10" s="114"/>
      <c r="SE10" s="114"/>
      <c r="SF10" s="114"/>
      <c r="SG10" s="114"/>
      <c r="SH10" s="114"/>
      <c r="SI10" s="114"/>
      <c r="SJ10" s="114"/>
      <c r="SK10" s="114"/>
      <c r="SL10" s="114"/>
      <c r="SM10" s="114"/>
      <c r="SN10" s="114"/>
      <c r="SO10" s="114"/>
      <c r="SP10" s="114"/>
      <c r="SQ10" s="114"/>
      <c r="SR10" s="114"/>
      <c r="SS10" s="114"/>
      <c r="ST10" s="114"/>
      <c r="SU10" s="114"/>
      <c r="SV10" s="114"/>
      <c r="SW10" s="114"/>
      <c r="SX10" s="114"/>
      <c r="SY10" s="114"/>
      <c r="SZ10" s="114"/>
      <c r="TA10" s="114"/>
      <c r="TB10" s="114"/>
      <c r="TC10" s="114"/>
      <c r="TD10" s="114"/>
      <c r="TE10" s="114"/>
      <c r="TF10" s="114"/>
      <c r="TG10" s="114"/>
      <c r="TH10" s="114"/>
      <c r="TI10" s="114"/>
      <c r="TJ10" s="114"/>
      <c r="TK10" s="114"/>
      <c r="TL10" s="114"/>
      <c r="TM10" s="114"/>
      <c r="TN10" s="114"/>
      <c r="TO10" s="114"/>
      <c r="TP10" s="114"/>
      <c r="TQ10" s="114"/>
      <c r="TR10" s="114"/>
      <c r="TS10" s="114"/>
      <c r="TT10" s="114"/>
      <c r="TU10" s="114"/>
      <c r="TV10" s="114"/>
      <c r="TW10" s="114"/>
      <c r="TX10" s="114"/>
      <c r="TY10" s="115"/>
      <c r="TZ10" s="88"/>
      <c r="UA10" s="88"/>
      <c r="UB10" s="88"/>
      <c r="UC10" s="88"/>
      <c r="UD10" s="88"/>
      <c r="UE10" s="88"/>
      <c r="UF10" s="136" t="s">
        <v>137</v>
      </c>
      <c r="UG10" s="114"/>
      <c r="UH10" s="114"/>
      <c r="UI10" s="114"/>
      <c r="UJ10" s="114"/>
      <c r="UK10" s="114"/>
      <c r="UL10" s="114"/>
      <c r="UM10" s="114"/>
      <c r="UN10" s="114"/>
      <c r="UO10" s="114"/>
      <c r="UP10" s="114"/>
      <c r="UQ10" s="114"/>
      <c r="UR10" s="114"/>
      <c r="US10" s="114"/>
      <c r="UT10" s="114"/>
      <c r="UU10" s="114"/>
      <c r="UV10" s="114"/>
      <c r="UW10" s="114"/>
      <c r="UX10" s="114"/>
      <c r="UY10" s="115"/>
      <c r="UZ10" s="88"/>
      <c r="VA10" s="88"/>
      <c r="VB10" s="88"/>
      <c r="VC10" s="88"/>
      <c r="VD10" s="88"/>
      <c r="VE10" s="88"/>
      <c r="VF10" s="88"/>
      <c r="VG10" s="88"/>
      <c r="VH10" s="88"/>
      <c r="VI10" s="88"/>
      <c r="VJ10" s="88"/>
      <c r="VK10" s="88"/>
      <c r="VL10" s="88"/>
      <c r="VM10" s="88"/>
      <c r="VN10" s="88"/>
      <c r="VO10" s="88"/>
      <c r="VP10" s="88"/>
      <c r="VQ10" s="88"/>
      <c r="VR10" s="88"/>
      <c r="VS10" s="88"/>
      <c r="VT10" s="88"/>
      <c r="VU10" s="88"/>
      <c r="VV10" s="88"/>
      <c r="VW10" s="88"/>
      <c r="VX10" s="88"/>
      <c r="VY10" s="88"/>
      <c r="VZ10" s="88"/>
      <c r="WA10" s="88"/>
      <c r="WB10" s="88"/>
      <c r="WC10" s="88"/>
      <c r="WD10" s="88"/>
      <c r="WE10" s="88"/>
      <c r="WF10" s="88"/>
      <c r="WG10" s="88"/>
      <c r="WH10" s="88"/>
      <c r="WI10" s="88"/>
      <c r="WJ10" s="88"/>
      <c r="WK10" s="88"/>
      <c r="WL10" s="88"/>
      <c r="WM10" s="88"/>
      <c r="WN10" s="88"/>
      <c r="WO10" s="88"/>
      <c r="WP10" s="88"/>
      <c r="WQ10" s="88"/>
      <c r="WR10" s="88"/>
      <c r="WS10" s="88"/>
      <c r="WT10" s="88"/>
      <c r="WU10" s="88"/>
      <c r="WV10" s="88"/>
      <c r="WW10" s="88"/>
      <c r="WX10" s="88"/>
      <c r="WY10" s="88"/>
      <c r="WZ10" s="88"/>
      <c r="XA10" s="88"/>
      <c r="XB10" s="88"/>
      <c r="XC10" s="88"/>
    </row>
    <row r="11" spans="1:975" ht="103.95" customHeight="1" thickTop="1" thickBot="1" x14ac:dyDescent="0.45">
      <c r="A11" s="81" t="s">
        <v>330</v>
      </c>
      <c r="B11" s="81" t="s">
        <v>331</v>
      </c>
      <c r="AD11" s="126" t="s">
        <v>139</v>
      </c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5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151" t="s">
        <v>140</v>
      </c>
      <c r="CG11" s="114"/>
      <c r="CH11" s="114"/>
      <c r="CI11" s="114"/>
      <c r="CJ11" s="114"/>
      <c r="CK11" s="114"/>
      <c r="CL11" s="114"/>
      <c r="CM11" s="115"/>
      <c r="CN11" s="88"/>
      <c r="CO11" s="88"/>
      <c r="CP11" s="88"/>
      <c r="CQ11" s="88"/>
      <c r="CR11" s="88"/>
      <c r="CS11" s="88"/>
      <c r="CT11" s="88"/>
      <c r="CU11" s="88"/>
      <c r="CV11" s="88"/>
      <c r="CW11" s="88"/>
      <c r="CX11" s="88"/>
      <c r="CY11" s="145" t="s">
        <v>141</v>
      </c>
      <c r="CZ11" s="114"/>
      <c r="DA11" s="114"/>
      <c r="DB11" s="114"/>
      <c r="DC11" s="114"/>
      <c r="DD11" s="114"/>
      <c r="DE11" s="114"/>
      <c r="DF11" s="114"/>
      <c r="DG11" s="114"/>
      <c r="DH11" s="114"/>
      <c r="DI11" s="114"/>
      <c r="DJ11" s="114"/>
      <c r="DK11" s="114"/>
      <c r="DL11" s="115"/>
      <c r="DM11" s="152" t="s">
        <v>105</v>
      </c>
      <c r="DN11" s="114"/>
      <c r="DO11" s="114"/>
      <c r="DP11" s="114"/>
      <c r="DQ11" s="114"/>
      <c r="DR11" s="114"/>
      <c r="DS11" s="114"/>
      <c r="DT11" s="114"/>
      <c r="DU11" s="114"/>
      <c r="DV11" s="114"/>
      <c r="DW11" s="114"/>
      <c r="DX11" s="114"/>
      <c r="DY11" s="114"/>
      <c r="DZ11" s="115"/>
      <c r="EA11" s="140" t="s">
        <v>142</v>
      </c>
      <c r="EB11" s="115"/>
      <c r="EC11" s="88"/>
      <c r="ED11" s="88"/>
      <c r="EE11" s="88"/>
      <c r="EF11" s="88"/>
      <c r="EG11" s="88"/>
      <c r="EH11" s="88"/>
      <c r="EI11" s="143" t="s">
        <v>143</v>
      </c>
      <c r="EJ11" s="114"/>
      <c r="EK11" s="114"/>
      <c r="EL11" s="114"/>
      <c r="EM11" s="114"/>
      <c r="EN11" s="114"/>
      <c r="EO11" s="114"/>
      <c r="EP11" s="114"/>
      <c r="EQ11" s="114"/>
      <c r="ER11" s="114"/>
      <c r="ES11" s="114"/>
      <c r="ET11" s="114"/>
      <c r="EU11" s="114"/>
      <c r="EV11" s="115"/>
      <c r="EW11" s="140" t="s">
        <v>144</v>
      </c>
      <c r="EX11" s="144"/>
      <c r="EY11" s="144"/>
      <c r="EZ11" s="144"/>
      <c r="FA11" s="144"/>
      <c r="FB11" s="144"/>
      <c r="FC11" s="144"/>
      <c r="FD11" s="144"/>
      <c r="FE11" s="144"/>
      <c r="FF11" s="144"/>
      <c r="FG11" s="144"/>
      <c r="FH11" s="144"/>
      <c r="FI11" s="144"/>
      <c r="FJ11" s="142"/>
      <c r="FK11" s="148" t="s">
        <v>145</v>
      </c>
      <c r="FL11" s="114"/>
      <c r="FM11" s="114"/>
      <c r="FN11" s="114"/>
      <c r="FO11" s="114"/>
      <c r="FP11" s="115"/>
      <c r="FQ11" s="136" t="s">
        <v>117</v>
      </c>
      <c r="FR11" s="114"/>
      <c r="FS11" s="114"/>
      <c r="FT11" s="114"/>
      <c r="FU11" s="114"/>
      <c r="FV11" s="114"/>
      <c r="FW11" s="114"/>
      <c r="FX11" s="115"/>
      <c r="FY11" s="147" t="s">
        <v>146</v>
      </c>
      <c r="FZ11" s="114"/>
      <c r="GA11" s="114"/>
      <c r="GB11" s="114"/>
      <c r="GC11" s="114"/>
      <c r="GD11" s="114"/>
      <c r="GE11" s="114"/>
      <c r="GF11" s="114"/>
      <c r="GG11" s="114"/>
      <c r="GH11" s="114"/>
      <c r="GI11" s="114"/>
      <c r="GJ11" s="114"/>
      <c r="GK11" s="114"/>
      <c r="GL11" s="115"/>
      <c r="GM11" s="89" t="s">
        <v>148</v>
      </c>
      <c r="GN11" s="153" t="s">
        <v>150</v>
      </c>
      <c r="GO11" s="114"/>
      <c r="GP11" s="114"/>
      <c r="GQ11" s="114"/>
      <c r="GR11" s="114"/>
      <c r="GS11" s="114"/>
      <c r="GT11" s="114"/>
      <c r="GU11" s="114"/>
      <c r="GV11" s="114"/>
      <c r="GW11" s="114"/>
      <c r="GX11" s="114"/>
      <c r="GY11" s="114"/>
      <c r="GZ11" s="114"/>
      <c r="HA11" s="114"/>
      <c r="HB11" s="114"/>
      <c r="HC11" s="114"/>
      <c r="HD11" s="114"/>
      <c r="HE11" s="114"/>
      <c r="HF11" s="114"/>
      <c r="HG11" s="114"/>
      <c r="HH11" s="114"/>
      <c r="HI11" s="115"/>
      <c r="HJ11" s="88"/>
      <c r="HK11" s="88"/>
      <c r="HL11" s="153" t="s">
        <v>151</v>
      </c>
      <c r="HM11" s="114"/>
      <c r="HN11" s="114"/>
      <c r="HO11" s="114"/>
      <c r="HP11" s="114"/>
      <c r="HQ11" s="114"/>
      <c r="HR11" s="114"/>
      <c r="HS11" s="114"/>
      <c r="HT11" s="114"/>
      <c r="HU11" s="114"/>
      <c r="HV11" s="114"/>
      <c r="HW11" s="114"/>
      <c r="HX11" s="114"/>
      <c r="HY11" s="114"/>
      <c r="HZ11" s="114"/>
      <c r="IA11" s="114"/>
      <c r="IB11" s="114"/>
      <c r="IC11" s="114"/>
      <c r="ID11" s="114"/>
      <c r="IE11" s="114"/>
      <c r="IF11" s="114"/>
      <c r="IG11" s="115"/>
      <c r="IH11" s="153" t="s">
        <v>152</v>
      </c>
      <c r="II11" s="114"/>
      <c r="IJ11" s="114"/>
      <c r="IK11" s="114"/>
      <c r="IL11" s="114"/>
      <c r="IM11" s="114"/>
      <c r="IN11" s="114"/>
      <c r="IO11" s="114"/>
      <c r="IP11" s="114"/>
      <c r="IQ11" s="114"/>
      <c r="IR11" s="114"/>
      <c r="IS11" s="114"/>
      <c r="IT11" s="114"/>
      <c r="IU11" s="114"/>
      <c r="IV11" s="114"/>
      <c r="IW11" s="114"/>
      <c r="IX11" s="114"/>
      <c r="IY11" s="114"/>
      <c r="IZ11" s="114"/>
      <c r="JA11" s="114"/>
      <c r="JB11" s="114"/>
      <c r="JC11" s="115"/>
      <c r="JD11" s="88"/>
      <c r="JE11" s="88"/>
      <c r="JF11" s="88"/>
      <c r="JG11" s="88"/>
      <c r="JH11" s="88"/>
      <c r="JI11" s="88"/>
      <c r="JJ11" s="88"/>
      <c r="JK11" s="88"/>
      <c r="JL11" s="88"/>
      <c r="JM11" s="88"/>
      <c r="JN11" s="88"/>
      <c r="JO11" s="88"/>
      <c r="JP11" s="88"/>
      <c r="JQ11" s="88"/>
      <c r="JR11" s="88"/>
      <c r="JS11" s="88"/>
      <c r="JT11" s="88"/>
      <c r="JU11" s="88"/>
      <c r="JV11" s="88"/>
      <c r="JW11" s="88"/>
      <c r="JX11" s="88"/>
      <c r="JY11" s="88"/>
      <c r="JZ11" s="88"/>
      <c r="KA11" s="88"/>
      <c r="KB11" s="88"/>
      <c r="KC11" s="88"/>
      <c r="KD11" s="88"/>
      <c r="KE11" s="88"/>
      <c r="KF11" s="88"/>
      <c r="KG11" s="88"/>
      <c r="KH11" s="88"/>
      <c r="KI11" s="88"/>
      <c r="KJ11" s="88"/>
      <c r="KK11" s="88"/>
      <c r="KL11" s="88"/>
      <c r="KM11" s="88"/>
      <c r="KN11" s="88"/>
      <c r="KO11" s="88"/>
      <c r="KP11" s="88"/>
      <c r="KQ11" s="88"/>
      <c r="KR11" s="88"/>
      <c r="KS11" s="88"/>
      <c r="KT11" s="88"/>
      <c r="KU11" s="88"/>
      <c r="KV11" s="88"/>
      <c r="KW11" s="88"/>
      <c r="KX11" s="88"/>
      <c r="KY11" s="88"/>
      <c r="KZ11" s="88"/>
      <c r="LA11" s="88"/>
      <c r="LB11" s="88"/>
      <c r="LC11" s="88"/>
      <c r="LD11" s="88"/>
      <c r="LE11" s="88"/>
      <c r="LF11" s="88"/>
      <c r="LG11" s="88"/>
      <c r="LH11" s="88"/>
      <c r="LI11" s="88"/>
      <c r="LJ11" s="88"/>
      <c r="LK11" s="88"/>
      <c r="LL11" s="88"/>
      <c r="LM11" s="88"/>
      <c r="LN11" s="88"/>
      <c r="LO11" s="88"/>
      <c r="LP11" s="88"/>
      <c r="LQ11" s="88"/>
      <c r="LR11" s="88"/>
      <c r="LS11" s="88"/>
      <c r="LT11" s="88"/>
      <c r="LU11" s="88"/>
      <c r="LV11" s="90"/>
      <c r="LW11" s="90"/>
      <c r="LX11" s="148" t="s">
        <v>153</v>
      </c>
      <c r="LY11" s="114"/>
      <c r="LZ11" s="114"/>
      <c r="MA11" s="115"/>
      <c r="MB11" s="90"/>
      <c r="MC11" s="90"/>
      <c r="MD11" s="88"/>
      <c r="ME11" s="88"/>
      <c r="MF11" s="88"/>
      <c r="MG11" s="88"/>
      <c r="MH11" s="88"/>
      <c r="MI11" s="88"/>
      <c r="MJ11" s="88"/>
      <c r="MK11" s="88"/>
      <c r="ML11" s="88"/>
      <c r="MM11" s="88"/>
      <c r="MN11" s="88"/>
      <c r="MO11" s="88"/>
      <c r="MP11" s="88"/>
      <c r="MQ11" s="88"/>
      <c r="MR11" s="88"/>
      <c r="MS11" s="88"/>
      <c r="MT11" s="88"/>
      <c r="MU11" s="88"/>
      <c r="MV11" s="88"/>
      <c r="MW11" s="88"/>
      <c r="MX11" s="88"/>
      <c r="MY11" s="88"/>
      <c r="MZ11" s="88"/>
      <c r="NA11" s="88"/>
      <c r="NB11" s="88"/>
      <c r="NC11" s="88"/>
      <c r="ND11" s="88"/>
      <c r="NE11" s="88"/>
      <c r="NF11" s="88"/>
      <c r="NG11" s="88"/>
      <c r="NH11" s="88"/>
      <c r="NI11" s="88"/>
      <c r="NJ11" s="88"/>
      <c r="NK11" s="88"/>
      <c r="NL11" s="88"/>
      <c r="NM11" s="88"/>
      <c r="NN11" s="88"/>
      <c r="NO11" s="88"/>
      <c r="NP11" s="88"/>
      <c r="NQ11" s="88"/>
      <c r="NR11" s="88"/>
      <c r="NS11" s="88"/>
      <c r="NT11" s="88"/>
      <c r="NU11" s="88"/>
      <c r="NV11" s="88"/>
      <c r="NW11" s="88"/>
      <c r="NX11" s="88"/>
      <c r="NY11" s="88"/>
      <c r="NZ11" s="88"/>
      <c r="OA11" s="88"/>
      <c r="OB11" s="88"/>
      <c r="OC11" s="88"/>
      <c r="OD11" s="88"/>
      <c r="OE11" s="88"/>
      <c r="OF11" s="88"/>
      <c r="OG11" s="88"/>
      <c r="OH11" s="88"/>
      <c r="OI11" s="88"/>
      <c r="OJ11" s="88"/>
      <c r="OK11" s="88"/>
      <c r="OL11" s="88"/>
      <c r="OM11" s="88"/>
      <c r="ON11" s="88"/>
      <c r="OO11" s="88"/>
      <c r="OP11" s="88"/>
      <c r="OQ11" s="88"/>
      <c r="OR11" s="88"/>
      <c r="OS11" s="88"/>
      <c r="OT11" s="88"/>
      <c r="OU11" s="88"/>
      <c r="OV11" s="88"/>
      <c r="OW11" s="88"/>
      <c r="OX11" s="88"/>
      <c r="OY11" s="88"/>
      <c r="OZ11" s="88"/>
      <c r="PA11" s="88"/>
      <c r="PB11" s="88"/>
      <c r="PC11" s="88"/>
      <c r="PD11" s="88"/>
      <c r="PE11" s="88"/>
      <c r="PF11" s="88"/>
      <c r="PG11" s="88"/>
      <c r="PH11" s="88"/>
      <c r="PI11" s="88"/>
      <c r="PJ11" s="88"/>
      <c r="PK11" s="148" t="s">
        <v>154</v>
      </c>
      <c r="PL11" s="114"/>
      <c r="PM11" s="114"/>
      <c r="PN11" s="115"/>
      <c r="PO11" s="88"/>
      <c r="PP11" s="88"/>
      <c r="PQ11" s="88"/>
      <c r="PR11" s="88"/>
      <c r="PS11" s="88"/>
      <c r="PT11" s="88"/>
      <c r="PU11" s="135" t="s">
        <v>155</v>
      </c>
      <c r="PV11" s="114"/>
      <c r="PW11" s="114"/>
      <c r="PX11" s="114"/>
      <c r="PY11" s="114"/>
      <c r="PZ11" s="114"/>
      <c r="QA11" s="114"/>
      <c r="QB11" s="114"/>
      <c r="QC11" s="114"/>
      <c r="QD11" s="115"/>
      <c r="QE11" s="152" t="s">
        <v>156</v>
      </c>
      <c r="QF11" s="114"/>
      <c r="QG11" s="114"/>
      <c r="QH11" s="114"/>
      <c r="QI11" s="114"/>
      <c r="QJ11" s="115"/>
      <c r="QK11" s="154" t="s">
        <v>157</v>
      </c>
      <c r="QL11" s="114"/>
      <c r="QM11" s="114"/>
      <c r="QN11" s="114"/>
      <c r="QO11" s="114"/>
      <c r="QP11" s="114"/>
      <c r="QQ11" s="114"/>
      <c r="QR11" s="114"/>
      <c r="QS11" s="114"/>
      <c r="QT11" s="114"/>
      <c r="QU11" s="114"/>
      <c r="QV11" s="114"/>
      <c r="QW11" s="114"/>
      <c r="QX11" s="114"/>
      <c r="QY11" s="114"/>
      <c r="QZ11" s="114"/>
      <c r="RA11" s="114"/>
      <c r="RB11" s="114"/>
      <c r="RC11" s="114"/>
      <c r="RD11" s="114"/>
      <c r="RE11" s="114"/>
      <c r="RF11" s="114"/>
      <c r="RG11" s="114"/>
      <c r="RH11" s="114"/>
      <c r="RI11" s="114"/>
      <c r="RJ11" s="114"/>
      <c r="RK11" s="114"/>
      <c r="RL11" s="114"/>
      <c r="RM11" s="114"/>
      <c r="RN11" s="114"/>
      <c r="RO11" s="114"/>
      <c r="RP11" s="114"/>
      <c r="RQ11" s="114"/>
      <c r="RR11" s="115"/>
      <c r="RS11" s="155" t="s">
        <v>158</v>
      </c>
      <c r="RT11" s="114"/>
      <c r="RU11" s="114"/>
      <c r="RV11" s="115"/>
      <c r="RW11" s="88"/>
      <c r="RX11" s="88"/>
      <c r="RY11" s="154" t="s">
        <v>159</v>
      </c>
      <c r="RZ11" s="114"/>
      <c r="SA11" s="114"/>
      <c r="SB11" s="114"/>
      <c r="SC11" s="114"/>
      <c r="SD11" s="114"/>
      <c r="SE11" s="114"/>
      <c r="SF11" s="114"/>
      <c r="SG11" s="114"/>
      <c r="SH11" s="114"/>
      <c r="SI11" s="114"/>
      <c r="SJ11" s="114"/>
      <c r="SK11" s="114"/>
      <c r="SL11" s="114"/>
      <c r="SM11" s="114"/>
      <c r="SN11" s="114"/>
      <c r="SO11" s="114"/>
      <c r="SP11" s="114"/>
      <c r="SQ11" s="114"/>
      <c r="SR11" s="114"/>
      <c r="SS11" s="114"/>
      <c r="ST11" s="114"/>
      <c r="SU11" s="114"/>
      <c r="SV11" s="114"/>
      <c r="SW11" s="114"/>
      <c r="SX11" s="114"/>
      <c r="SY11" s="114"/>
      <c r="SZ11" s="114"/>
      <c r="TA11" s="114"/>
      <c r="TB11" s="114"/>
      <c r="TC11" s="114"/>
      <c r="TD11" s="115"/>
      <c r="TE11" s="155" t="s">
        <v>158</v>
      </c>
      <c r="TF11" s="114"/>
      <c r="TG11" s="114"/>
      <c r="TH11" s="114"/>
      <c r="TI11" s="114"/>
      <c r="TJ11" s="115"/>
      <c r="TK11" s="154" t="s">
        <v>160</v>
      </c>
      <c r="TL11" s="114"/>
      <c r="TM11" s="114"/>
      <c r="TN11" s="114"/>
      <c r="TO11" s="114"/>
      <c r="TP11" s="114"/>
      <c r="TQ11" s="114"/>
      <c r="TR11" s="114"/>
      <c r="TS11" s="114"/>
      <c r="TT11" s="114"/>
      <c r="TU11" s="114"/>
      <c r="TV11" s="114"/>
      <c r="TW11" s="114"/>
      <c r="TX11" s="114"/>
      <c r="TY11" s="114"/>
      <c r="TZ11" s="114"/>
      <c r="UA11" s="114"/>
      <c r="UB11" s="114"/>
      <c r="UC11" s="114"/>
      <c r="UD11" s="114"/>
      <c r="UE11" s="114"/>
      <c r="UF11" s="114"/>
      <c r="UG11" s="114"/>
      <c r="UH11" s="114"/>
      <c r="UI11" s="114"/>
      <c r="UJ11" s="114"/>
      <c r="UK11" s="114"/>
      <c r="UL11" s="114"/>
      <c r="UM11" s="114"/>
      <c r="UN11" s="114"/>
      <c r="UO11" s="114"/>
      <c r="UP11" s="114"/>
      <c r="UQ11" s="114"/>
      <c r="UR11" s="115"/>
      <c r="US11" s="155" t="s">
        <v>158</v>
      </c>
      <c r="UT11" s="114"/>
      <c r="UU11" s="114"/>
      <c r="UV11" s="114"/>
      <c r="UW11" s="114"/>
      <c r="UX11" s="115"/>
      <c r="UY11" s="154" t="s">
        <v>161</v>
      </c>
      <c r="UZ11" s="114"/>
      <c r="VA11" s="114"/>
      <c r="VB11" s="114"/>
      <c r="VC11" s="114"/>
      <c r="VD11" s="114"/>
      <c r="VE11" s="114"/>
      <c r="VF11" s="114"/>
      <c r="VG11" s="114"/>
      <c r="VH11" s="114"/>
      <c r="VI11" s="114"/>
      <c r="VJ11" s="114"/>
      <c r="VK11" s="114"/>
      <c r="VL11" s="114"/>
      <c r="VM11" s="114"/>
      <c r="VN11" s="114"/>
      <c r="VO11" s="114"/>
      <c r="VP11" s="114"/>
      <c r="VQ11" s="114"/>
      <c r="VR11" s="114"/>
      <c r="VS11" s="114"/>
      <c r="VT11" s="114"/>
      <c r="VU11" s="114"/>
      <c r="VV11" s="114"/>
      <c r="VW11" s="114"/>
      <c r="VX11" s="114"/>
      <c r="VY11" s="114"/>
      <c r="VZ11" s="114"/>
      <c r="WA11" s="114"/>
      <c r="WB11" s="114"/>
      <c r="WC11" s="114"/>
      <c r="WD11" s="115"/>
      <c r="WE11" s="88"/>
      <c r="WF11" s="88"/>
      <c r="WG11" s="155" t="s">
        <v>158</v>
      </c>
      <c r="WH11" s="114"/>
      <c r="WI11" s="114"/>
      <c r="WJ11" s="115"/>
      <c r="WK11" s="88"/>
      <c r="WL11" s="88"/>
      <c r="WM11" s="88"/>
      <c r="WN11" s="88"/>
      <c r="WO11" s="88"/>
      <c r="WP11" s="88"/>
      <c r="WQ11" s="88"/>
      <c r="WR11" s="88"/>
      <c r="WS11" s="88"/>
      <c r="WT11" s="88"/>
      <c r="WU11" s="88"/>
      <c r="WV11" s="88"/>
      <c r="WW11" s="88"/>
      <c r="WX11" s="88"/>
      <c r="WY11" s="88"/>
      <c r="WZ11" s="88"/>
      <c r="XA11" s="88"/>
      <c r="XB11" s="88"/>
      <c r="XC11" s="88"/>
    </row>
    <row r="12" spans="1:975" ht="103.95" customHeight="1" thickTop="1" thickBot="1" x14ac:dyDescent="0.45">
      <c r="A12" s="82" t="s">
        <v>332</v>
      </c>
      <c r="B12" s="82" t="s">
        <v>333</v>
      </c>
      <c r="GM12" s="88"/>
      <c r="GN12" s="88"/>
      <c r="GO12" s="88"/>
      <c r="GP12" s="88"/>
      <c r="GQ12" s="88"/>
      <c r="GR12" s="88"/>
      <c r="GS12" s="88"/>
      <c r="GT12" s="88"/>
      <c r="GU12" s="88"/>
      <c r="GV12" s="88"/>
      <c r="GW12" s="88"/>
      <c r="GX12" s="88"/>
      <c r="GY12" s="88"/>
      <c r="GZ12" s="88"/>
      <c r="HA12" s="88"/>
      <c r="HB12" s="88"/>
      <c r="HC12" s="88"/>
      <c r="HD12" s="88"/>
      <c r="HE12" s="88"/>
      <c r="HF12" s="88"/>
      <c r="HG12" s="88"/>
      <c r="HH12" s="88"/>
      <c r="HI12" s="88"/>
      <c r="HJ12" s="88"/>
      <c r="HK12" s="88"/>
      <c r="HL12" s="88"/>
      <c r="HM12" s="88"/>
      <c r="HN12" s="88"/>
      <c r="HO12" s="88"/>
      <c r="HP12" s="88"/>
      <c r="HQ12" s="88"/>
      <c r="HR12" s="88"/>
      <c r="HS12" s="88"/>
      <c r="HT12" s="88"/>
      <c r="HU12" s="88"/>
      <c r="HV12" s="88"/>
      <c r="HW12" s="88"/>
      <c r="HX12" s="88"/>
      <c r="HY12" s="88"/>
      <c r="HZ12" s="88"/>
      <c r="IA12" s="88"/>
      <c r="IB12" s="88"/>
      <c r="IC12" s="88"/>
      <c r="ID12" s="88"/>
      <c r="IE12" s="88"/>
      <c r="IF12" s="88"/>
      <c r="IG12" s="88"/>
      <c r="IH12" s="88"/>
      <c r="II12" s="88"/>
      <c r="IJ12" s="88"/>
      <c r="IK12" s="88"/>
      <c r="IL12" s="88"/>
      <c r="IM12" s="88"/>
      <c r="IN12" s="88"/>
      <c r="IO12" s="88"/>
      <c r="IP12" s="88"/>
      <c r="IQ12" s="88"/>
      <c r="IR12" s="88"/>
      <c r="IS12" s="88"/>
      <c r="IT12" s="88"/>
      <c r="IU12" s="88"/>
      <c r="IV12" s="88"/>
      <c r="IW12" s="88"/>
      <c r="IX12" s="88"/>
      <c r="IY12" s="88"/>
      <c r="IZ12" s="88"/>
      <c r="JA12" s="88"/>
      <c r="JB12" s="88"/>
      <c r="JC12" s="88"/>
      <c r="JD12" s="88"/>
      <c r="JE12" s="88"/>
      <c r="JF12" s="88"/>
      <c r="JG12" s="88"/>
      <c r="JH12" s="88"/>
      <c r="JI12" s="88"/>
      <c r="JJ12" s="88"/>
      <c r="JK12" s="88"/>
      <c r="JL12" s="88"/>
      <c r="JM12" s="88"/>
      <c r="JN12" s="88"/>
      <c r="JO12" s="88"/>
      <c r="JP12" s="88"/>
      <c r="JQ12" s="88"/>
      <c r="JR12" s="88"/>
      <c r="JS12" s="88"/>
      <c r="JT12" s="88"/>
      <c r="JU12" s="88"/>
      <c r="JV12" s="88"/>
      <c r="JW12" s="88"/>
      <c r="JX12" s="88"/>
      <c r="JY12" s="88"/>
      <c r="JZ12" s="88"/>
      <c r="KA12" s="88"/>
      <c r="KB12" s="88"/>
      <c r="KC12" s="88"/>
      <c r="KD12" s="88"/>
      <c r="KE12" s="88"/>
      <c r="KF12" s="88"/>
      <c r="KG12" s="88"/>
      <c r="KH12" s="88"/>
      <c r="KI12" s="88"/>
      <c r="KJ12" s="88"/>
      <c r="KK12" s="88"/>
      <c r="KL12" s="88"/>
      <c r="KM12" s="88"/>
      <c r="KN12" s="88"/>
      <c r="KO12" s="88"/>
      <c r="KP12" s="88"/>
      <c r="KQ12" s="88"/>
      <c r="KR12" s="88"/>
      <c r="KS12" s="88"/>
      <c r="KT12" s="88"/>
      <c r="KU12" s="88"/>
      <c r="KV12" s="88"/>
      <c r="KW12" s="88"/>
      <c r="KX12" s="88"/>
      <c r="KY12" s="88"/>
      <c r="KZ12" s="88"/>
      <c r="LA12" s="88"/>
      <c r="LB12" s="88"/>
      <c r="LC12" s="88"/>
      <c r="LD12" s="88"/>
      <c r="LE12" s="88"/>
      <c r="LF12" s="88"/>
      <c r="LG12" s="88"/>
      <c r="LH12" s="88"/>
      <c r="LI12" s="88"/>
      <c r="LJ12" s="88"/>
      <c r="LK12" s="88"/>
      <c r="LL12" s="88"/>
      <c r="LM12" s="88"/>
      <c r="LN12" s="88"/>
      <c r="LO12" s="88"/>
      <c r="LP12" s="88"/>
      <c r="LQ12" s="88"/>
      <c r="LR12" s="88"/>
      <c r="LS12" s="88"/>
      <c r="LT12" s="88"/>
      <c r="LU12" s="88"/>
      <c r="LV12" s="88"/>
      <c r="LW12" s="88"/>
      <c r="LX12" s="88"/>
      <c r="LY12" s="88"/>
      <c r="LZ12" s="88"/>
      <c r="MA12" s="88"/>
      <c r="MB12" s="88"/>
      <c r="MC12" s="88"/>
      <c r="MD12" s="88"/>
      <c r="ME12" s="88"/>
      <c r="MF12" s="88"/>
      <c r="MG12" s="88"/>
      <c r="MH12" s="88"/>
      <c r="MI12" s="88"/>
      <c r="MJ12" s="88"/>
      <c r="MK12" s="88"/>
      <c r="ML12" s="88"/>
      <c r="MM12" s="88"/>
      <c r="MN12" s="88"/>
      <c r="MO12" s="88"/>
      <c r="MP12" s="88"/>
      <c r="MQ12" s="88"/>
      <c r="MR12" s="88"/>
      <c r="MS12" s="88"/>
      <c r="MT12" s="88"/>
      <c r="MU12" s="88"/>
      <c r="MV12" s="88"/>
      <c r="MW12" s="88"/>
      <c r="MX12" s="88"/>
      <c r="MY12" s="88"/>
      <c r="MZ12" s="88"/>
      <c r="NA12" s="88"/>
      <c r="NB12" s="88"/>
      <c r="NC12" s="88"/>
      <c r="ND12" s="88"/>
      <c r="NE12" s="88"/>
      <c r="NF12" s="88"/>
      <c r="NG12" s="88"/>
      <c r="NH12" s="88"/>
      <c r="NI12" s="88"/>
      <c r="NJ12" s="88"/>
      <c r="NK12" s="88"/>
      <c r="NL12" s="88"/>
      <c r="NM12" s="88"/>
      <c r="NN12" s="88"/>
      <c r="NO12" s="88"/>
      <c r="NP12" s="88"/>
      <c r="NQ12" s="88"/>
      <c r="NR12" s="88"/>
      <c r="NS12" s="88"/>
      <c r="NT12" s="88"/>
      <c r="NU12" s="88"/>
      <c r="NV12" s="88"/>
      <c r="NW12" s="88"/>
      <c r="NX12" s="88"/>
      <c r="NY12" s="88"/>
      <c r="NZ12" s="88"/>
      <c r="OA12" s="88"/>
      <c r="OB12" s="88"/>
      <c r="OC12" s="88"/>
      <c r="OD12" s="88"/>
      <c r="OE12" s="88"/>
      <c r="OF12" s="88"/>
      <c r="OG12" s="88"/>
      <c r="OH12" s="88"/>
      <c r="OI12" s="88"/>
      <c r="OJ12" s="88"/>
      <c r="OK12" s="88"/>
      <c r="OL12" s="88"/>
      <c r="OM12" s="88"/>
      <c r="ON12" s="88"/>
      <c r="OO12" s="88"/>
      <c r="OP12" s="88"/>
      <c r="OQ12" s="88"/>
      <c r="OR12" s="88"/>
      <c r="OS12" s="88"/>
      <c r="OT12" s="88"/>
      <c r="OU12" s="88"/>
      <c r="OV12" s="88"/>
      <c r="OW12" s="88"/>
      <c r="OX12" s="88"/>
      <c r="OY12" s="88"/>
      <c r="OZ12" s="88"/>
      <c r="PA12" s="88"/>
      <c r="PB12" s="88"/>
      <c r="PC12" s="88"/>
      <c r="PD12" s="88"/>
      <c r="PE12" s="88"/>
      <c r="PF12" s="88"/>
      <c r="PG12" s="88"/>
      <c r="PH12" s="88"/>
      <c r="PI12" s="88"/>
      <c r="PJ12" s="88"/>
      <c r="PK12" s="88"/>
      <c r="PL12" s="88"/>
      <c r="PM12" s="88"/>
      <c r="PN12" s="88"/>
      <c r="PO12" s="88"/>
      <c r="PP12" s="88"/>
      <c r="PQ12" s="88"/>
      <c r="PR12" s="88"/>
      <c r="PS12" s="88"/>
      <c r="PT12" s="88"/>
      <c r="PU12" s="88"/>
      <c r="PV12" s="88"/>
      <c r="PW12" s="88"/>
      <c r="PX12" s="88"/>
      <c r="PY12" s="88"/>
      <c r="PZ12" s="88"/>
      <c r="QA12" s="88"/>
      <c r="QB12" s="88"/>
      <c r="QC12" s="88"/>
      <c r="QD12" s="88"/>
      <c r="QE12" s="88"/>
      <c r="QF12" s="88"/>
      <c r="QG12" s="88"/>
      <c r="QH12" s="88"/>
      <c r="QI12" s="88"/>
      <c r="QJ12" s="88"/>
      <c r="QK12" s="88"/>
      <c r="QL12" s="88"/>
      <c r="QM12" s="88"/>
      <c r="QN12" s="88"/>
      <c r="QO12" s="88"/>
      <c r="QP12" s="126" t="s">
        <v>76</v>
      </c>
      <c r="QQ12" s="114"/>
      <c r="QR12" s="114"/>
      <c r="QS12" s="114"/>
      <c r="QT12" s="114"/>
      <c r="QU12" s="114"/>
      <c r="QV12" s="114"/>
      <c r="QW12" s="114"/>
      <c r="QX12" s="114"/>
      <c r="QY12" s="115"/>
      <c r="QZ12" s="151" t="s">
        <v>140</v>
      </c>
      <c r="RA12" s="114"/>
      <c r="RB12" s="114"/>
      <c r="RC12" s="114"/>
      <c r="RD12" s="114"/>
      <c r="RE12" s="114"/>
      <c r="RF12" s="114"/>
      <c r="RG12" s="115"/>
      <c r="RH12" s="126" t="s">
        <v>76</v>
      </c>
      <c r="RI12" s="114"/>
      <c r="RJ12" s="114"/>
      <c r="RK12" s="114"/>
      <c r="RL12" s="114"/>
      <c r="RM12" s="114"/>
      <c r="RN12" s="114"/>
      <c r="RO12" s="114"/>
      <c r="RP12" s="114"/>
      <c r="RQ12" s="114"/>
      <c r="RR12" s="114"/>
      <c r="RS12" s="114"/>
      <c r="RT12" s="114"/>
      <c r="RU12" s="114"/>
      <c r="RV12" s="115"/>
      <c r="RW12" s="88"/>
      <c r="RX12" s="88"/>
      <c r="RY12" s="88"/>
      <c r="RZ12" s="88"/>
      <c r="SA12" s="126" t="s">
        <v>103</v>
      </c>
      <c r="SB12" s="114"/>
      <c r="SC12" s="114"/>
      <c r="SD12" s="114"/>
      <c r="SE12" s="114"/>
      <c r="SF12" s="114"/>
      <c r="SG12" s="114"/>
      <c r="SH12" s="114"/>
      <c r="SI12" s="114"/>
      <c r="SJ12" s="114"/>
      <c r="SK12" s="114"/>
      <c r="SL12" s="114"/>
      <c r="SM12" s="114"/>
      <c r="SN12" s="114"/>
      <c r="SO12" s="114"/>
      <c r="SP12" s="114"/>
      <c r="SQ12" s="114"/>
      <c r="SR12" s="114"/>
      <c r="SS12" s="114"/>
      <c r="ST12" s="114"/>
      <c r="SU12" s="114"/>
      <c r="SV12" s="114"/>
      <c r="SW12" s="114"/>
      <c r="SX12" s="114"/>
      <c r="SY12" s="114"/>
      <c r="SZ12" s="114"/>
      <c r="TA12" s="114"/>
      <c r="TB12" s="114"/>
      <c r="TC12" s="114"/>
      <c r="TD12" s="114"/>
      <c r="TE12" s="114"/>
      <c r="TF12" s="114"/>
      <c r="TG12" s="114"/>
      <c r="TH12" s="114"/>
      <c r="TI12" s="114"/>
      <c r="TJ12" s="114"/>
      <c r="TK12" s="114"/>
      <c r="TL12" s="114"/>
      <c r="TM12" s="114"/>
      <c r="TN12" s="114"/>
      <c r="TO12" s="114"/>
      <c r="TP12" s="114"/>
      <c r="TQ12" s="114"/>
      <c r="TR12" s="114"/>
      <c r="TS12" s="114"/>
      <c r="TT12" s="114"/>
      <c r="TU12" s="114"/>
      <c r="TV12" s="114"/>
      <c r="TW12" s="114"/>
      <c r="TX12" s="114"/>
      <c r="TY12" s="115"/>
      <c r="TZ12" s="88"/>
      <c r="UA12" s="88"/>
      <c r="UB12" s="88"/>
      <c r="UC12" s="88"/>
      <c r="UD12" s="88"/>
      <c r="UE12" s="88"/>
      <c r="UF12" s="88"/>
      <c r="UG12" s="88"/>
      <c r="UH12" s="88"/>
      <c r="UI12" s="88"/>
      <c r="UJ12" s="88"/>
      <c r="UK12" s="88"/>
      <c r="UL12" s="88"/>
      <c r="UM12" s="88"/>
      <c r="UN12" s="88"/>
      <c r="UO12" s="88"/>
      <c r="UP12" s="88"/>
      <c r="UQ12" s="88"/>
      <c r="UR12" s="88"/>
      <c r="US12" s="88"/>
      <c r="UT12" s="88"/>
      <c r="UU12" s="88"/>
      <c r="UV12" s="88"/>
      <c r="UW12" s="88"/>
      <c r="UX12" s="88"/>
      <c r="UY12" s="127" t="s">
        <v>105</v>
      </c>
      <c r="UZ12" s="114"/>
      <c r="VA12" s="114"/>
      <c r="VB12" s="114"/>
      <c r="VC12" s="114"/>
      <c r="VD12" s="114"/>
      <c r="VE12" s="115"/>
      <c r="VF12" s="148" t="s">
        <v>163</v>
      </c>
      <c r="VG12" s="115"/>
      <c r="VH12" s="141" t="s">
        <v>112</v>
      </c>
      <c r="VI12" s="115"/>
      <c r="VJ12" s="90"/>
      <c r="VK12" s="90"/>
      <c r="VL12" s="139" t="s">
        <v>164</v>
      </c>
      <c r="VM12" s="114"/>
      <c r="VN12" s="114"/>
      <c r="VO12" s="115"/>
      <c r="VP12" s="125" t="s">
        <v>165</v>
      </c>
      <c r="VQ12" s="114"/>
      <c r="VR12" s="114"/>
      <c r="VS12" s="114"/>
      <c r="VT12" s="114"/>
      <c r="VU12" s="114"/>
      <c r="VV12" s="115"/>
      <c r="VW12" s="140" t="s">
        <v>166</v>
      </c>
      <c r="VX12" s="114"/>
      <c r="VY12" s="114"/>
      <c r="VZ12" s="115"/>
      <c r="WA12" s="88"/>
      <c r="WB12" s="88"/>
      <c r="WC12" s="88"/>
      <c r="WD12" s="88"/>
      <c r="WE12" s="88"/>
      <c r="WF12" s="88"/>
      <c r="WG12" s="88"/>
      <c r="WH12" s="88"/>
      <c r="WI12" s="88"/>
      <c r="WJ12" s="88"/>
      <c r="WK12" s="88"/>
      <c r="WL12" s="88"/>
      <c r="WM12" s="88"/>
      <c r="WN12" s="88"/>
      <c r="WO12" s="88"/>
      <c r="WP12" s="88"/>
      <c r="WQ12" s="88"/>
      <c r="WR12" s="88"/>
      <c r="WS12" s="88"/>
      <c r="WT12" s="88"/>
      <c r="WU12" s="88"/>
      <c r="WV12" s="88"/>
      <c r="WW12" s="88"/>
      <c r="WX12" s="88"/>
      <c r="WY12" s="88"/>
      <c r="WZ12" s="88"/>
      <c r="XA12" s="88"/>
      <c r="XB12" s="88"/>
      <c r="XC12" s="88"/>
      <c r="XT12" s="154" t="s">
        <v>80</v>
      </c>
      <c r="XU12" s="103"/>
      <c r="XV12" s="103"/>
      <c r="XW12" s="103"/>
      <c r="XX12" s="103"/>
      <c r="XY12" s="103"/>
      <c r="XZ12" s="103"/>
      <c r="YA12" s="103"/>
      <c r="YB12" s="103"/>
      <c r="YC12" s="103"/>
      <c r="YD12" s="103"/>
      <c r="YE12" s="103"/>
      <c r="YF12" s="103"/>
      <c r="YG12" s="103"/>
      <c r="YH12" s="99"/>
      <c r="YI12" s="154" t="s">
        <v>81</v>
      </c>
      <c r="YJ12" s="103"/>
      <c r="YK12" s="103"/>
      <c r="YL12" s="103"/>
      <c r="YM12" s="103"/>
      <c r="YN12" s="103"/>
      <c r="YO12" s="103"/>
      <c r="YP12" s="103"/>
      <c r="YQ12" s="103"/>
      <c r="YR12" s="103"/>
      <c r="YS12" s="103"/>
      <c r="YT12" s="103"/>
      <c r="YU12" s="103"/>
      <c r="YV12" s="103"/>
      <c r="YW12" s="99"/>
      <c r="YX12" s="154" t="s">
        <v>82</v>
      </c>
      <c r="YY12" s="103"/>
      <c r="YZ12" s="103"/>
      <c r="ZA12" s="103"/>
      <c r="ZB12" s="103"/>
      <c r="ZC12" s="103"/>
      <c r="ZD12" s="103"/>
      <c r="ZE12" s="103"/>
      <c r="ZF12" s="103"/>
      <c r="ZG12" s="103"/>
      <c r="ZH12" s="103"/>
      <c r="ZI12" s="103"/>
      <c r="ZJ12" s="103"/>
      <c r="ZK12" s="103"/>
      <c r="ZL12" s="99"/>
      <c r="ZM12" s="154" t="s">
        <v>83</v>
      </c>
      <c r="ZN12" s="103"/>
      <c r="ZO12" s="103"/>
      <c r="ZP12" s="103"/>
      <c r="ZQ12" s="103"/>
      <c r="ZR12" s="103"/>
      <c r="ZS12" s="103"/>
      <c r="ZT12" s="103"/>
      <c r="ZU12" s="103"/>
      <c r="ZV12" s="103"/>
      <c r="ZW12" s="103"/>
      <c r="ZX12" s="103"/>
      <c r="ZY12" s="103"/>
      <c r="ZZ12" s="103"/>
      <c r="AAA12" s="99"/>
      <c r="AAB12" s="154" t="s">
        <v>84</v>
      </c>
      <c r="AAC12" s="103"/>
      <c r="AAD12" s="103"/>
      <c r="AAE12" s="103"/>
      <c r="AAF12" s="103"/>
      <c r="AAG12" s="103"/>
      <c r="AAH12" s="103"/>
      <c r="AAI12" s="103"/>
      <c r="AAJ12" s="103"/>
      <c r="AAK12" s="103"/>
      <c r="AAL12" s="103"/>
      <c r="AAM12" s="103"/>
      <c r="AAN12" s="103"/>
      <c r="AAO12" s="103"/>
      <c r="AAP12" s="99"/>
      <c r="AAQ12" s="154" t="s">
        <v>85</v>
      </c>
      <c r="AAR12" s="103"/>
      <c r="AAS12" s="103"/>
      <c r="AAT12" s="103"/>
      <c r="AAU12" s="103"/>
      <c r="AAV12" s="103"/>
      <c r="AAW12" s="103"/>
      <c r="AAX12" s="103"/>
      <c r="AAY12" s="103"/>
      <c r="AAZ12" s="103"/>
      <c r="ABA12" s="103"/>
      <c r="ABB12" s="103"/>
      <c r="ABC12" s="103"/>
      <c r="ABD12" s="103"/>
      <c r="ABE12" s="99"/>
      <c r="ABF12" s="154" t="s">
        <v>86</v>
      </c>
      <c r="ABG12" s="103"/>
      <c r="ABH12" s="103"/>
      <c r="ABI12" s="103"/>
      <c r="ABJ12" s="103"/>
      <c r="ABK12" s="103"/>
      <c r="ABL12" s="103"/>
      <c r="ABM12" s="103"/>
      <c r="ABN12" s="103"/>
      <c r="ABO12" s="103"/>
      <c r="ABP12" s="103"/>
      <c r="ABQ12" s="103"/>
      <c r="ABR12" s="103"/>
      <c r="ABS12" s="103"/>
      <c r="ABT12" s="99"/>
      <c r="ABU12" s="154" t="s">
        <v>87</v>
      </c>
      <c r="ABV12" s="103"/>
      <c r="ABW12" s="103"/>
      <c r="ABX12" s="103"/>
      <c r="ABY12" s="103"/>
      <c r="ABZ12" s="103"/>
      <c r="ACA12" s="103"/>
      <c r="ACB12" s="103"/>
      <c r="ACC12" s="103"/>
      <c r="ACD12" s="103"/>
      <c r="ACE12" s="103"/>
      <c r="ACF12" s="103"/>
      <c r="ACG12" s="103"/>
      <c r="ACH12" s="103"/>
      <c r="ACI12" s="99"/>
      <c r="ACJ12" s="130" t="s">
        <v>89</v>
      </c>
      <c r="ACK12" s="103"/>
      <c r="ACL12" s="103"/>
      <c r="ACM12" s="103"/>
      <c r="ACN12" s="103"/>
      <c r="ACO12" s="103"/>
      <c r="ACP12" s="103"/>
      <c r="ACQ12" s="103"/>
      <c r="ACR12" s="103"/>
      <c r="ACS12" s="103"/>
      <c r="ACT12" s="103"/>
      <c r="ACU12" s="103"/>
      <c r="ACV12" s="103"/>
      <c r="ACW12" s="103"/>
      <c r="ACX12" s="103"/>
      <c r="ACY12" s="99"/>
      <c r="AHC12" s="159" t="s">
        <v>167</v>
      </c>
      <c r="AHD12" s="103"/>
      <c r="AHE12" s="103"/>
      <c r="AHF12" s="103"/>
      <c r="AHG12" s="103"/>
      <c r="AHH12" s="103"/>
      <c r="AHI12" s="103"/>
      <c r="AHJ12" s="103"/>
      <c r="AHK12" s="103"/>
      <c r="AHL12" s="103"/>
      <c r="AHM12" s="103"/>
      <c r="AHN12" s="103"/>
      <c r="AHO12" s="103"/>
      <c r="AHP12" s="103"/>
      <c r="AHQ12" s="99"/>
    </row>
    <row r="13" spans="1:975" ht="103.95" customHeight="1" thickTop="1" thickBot="1" x14ac:dyDescent="0.45">
      <c r="A13" s="82" t="s">
        <v>332</v>
      </c>
      <c r="B13" s="82" t="s">
        <v>334</v>
      </c>
      <c r="GM13" s="88"/>
      <c r="GN13" s="88"/>
      <c r="GO13" s="88"/>
      <c r="GP13" s="88"/>
      <c r="GQ13" s="88"/>
      <c r="GR13" s="88"/>
      <c r="GS13" s="88"/>
      <c r="GT13" s="88"/>
      <c r="GU13" s="88"/>
      <c r="GV13" s="88"/>
      <c r="GW13" s="88"/>
      <c r="GX13" s="88"/>
      <c r="GY13" s="88"/>
      <c r="GZ13" s="88"/>
      <c r="HA13" s="88"/>
      <c r="HB13" s="88"/>
      <c r="HC13" s="88"/>
      <c r="HD13" s="88"/>
      <c r="HE13" s="88"/>
      <c r="HF13" s="88"/>
      <c r="HG13" s="88"/>
      <c r="HH13" s="88"/>
      <c r="HI13" s="88"/>
      <c r="HJ13" s="88"/>
      <c r="HK13" s="88"/>
      <c r="HL13" s="88"/>
      <c r="HM13" s="88"/>
      <c r="HN13" s="88"/>
      <c r="HO13" s="88"/>
      <c r="HP13" s="88"/>
      <c r="HQ13" s="88"/>
      <c r="HR13" s="88"/>
      <c r="HS13" s="88"/>
      <c r="HT13" s="88"/>
      <c r="HU13" s="88"/>
      <c r="HV13" s="88"/>
      <c r="HW13" s="88"/>
      <c r="HX13" s="88"/>
      <c r="HY13" s="88"/>
      <c r="HZ13" s="88"/>
      <c r="IA13" s="88"/>
      <c r="IB13" s="88"/>
      <c r="IC13" s="88"/>
      <c r="ID13" s="88"/>
      <c r="IE13" s="88"/>
      <c r="IF13" s="88"/>
      <c r="IG13" s="88"/>
      <c r="IH13" s="88"/>
      <c r="II13" s="88"/>
      <c r="IJ13" s="88"/>
      <c r="IK13" s="88"/>
      <c r="IL13" s="88"/>
      <c r="IM13" s="88"/>
      <c r="IN13" s="88"/>
      <c r="IO13" s="88"/>
      <c r="IP13" s="88"/>
      <c r="IQ13" s="88"/>
      <c r="IR13" s="88"/>
      <c r="IS13" s="88"/>
      <c r="IT13" s="88"/>
      <c r="IU13" s="88"/>
      <c r="IV13" s="88"/>
      <c r="IW13" s="88"/>
      <c r="IX13" s="88"/>
      <c r="IY13" s="88"/>
      <c r="IZ13" s="88"/>
      <c r="JA13" s="88"/>
      <c r="JB13" s="88"/>
      <c r="JC13" s="88"/>
      <c r="JD13" s="88"/>
      <c r="JE13" s="88"/>
      <c r="JF13" s="88"/>
      <c r="JG13" s="88"/>
      <c r="JH13" s="88"/>
      <c r="JI13" s="88"/>
      <c r="JJ13" s="88"/>
      <c r="JK13" s="88"/>
      <c r="JL13" s="88"/>
      <c r="JM13" s="88"/>
      <c r="JN13" s="88"/>
      <c r="JO13" s="88"/>
      <c r="JP13" s="88"/>
      <c r="JQ13" s="88"/>
      <c r="JR13" s="88"/>
      <c r="JS13" s="88"/>
      <c r="JT13" s="88"/>
      <c r="JU13" s="88"/>
      <c r="JV13" s="88"/>
      <c r="JW13" s="88"/>
      <c r="JX13" s="88"/>
      <c r="JY13" s="88"/>
      <c r="JZ13" s="88"/>
      <c r="KA13" s="88"/>
      <c r="KB13" s="88"/>
      <c r="KC13" s="88"/>
      <c r="KD13" s="88"/>
      <c r="KE13" s="88"/>
      <c r="KF13" s="88"/>
      <c r="KG13" s="88"/>
      <c r="KH13" s="88"/>
      <c r="KI13" s="88"/>
      <c r="KJ13" s="88"/>
      <c r="KK13" s="88"/>
      <c r="KL13" s="88"/>
      <c r="KM13" s="88"/>
      <c r="KN13" s="88"/>
      <c r="KO13" s="88"/>
      <c r="KP13" s="88"/>
      <c r="KQ13" s="88"/>
      <c r="KR13" s="88"/>
      <c r="KS13" s="88"/>
      <c r="KT13" s="88"/>
      <c r="KU13" s="88"/>
      <c r="KV13" s="88"/>
      <c r="KW13" s="88"/>
      <c r="KX13" s="88"/>
      <c r="KY13" s="88"/>
      <c r="KZ13" s="88"/>
      <c r="LA13" s="88"/>
      <c r="LB13" s="88"/>
      <c r="LC13" s="88"/>
      <c r="LD13" s="88"/>
      <c r="LE13" s="88"/>
      <c r="LF13" s="88"/>
      <c r="LG13" s="88"/>
      <c r="LH13" s="88"/>
      <c r="LI13" s="88"/>
      <c r="LJ13" s="88"/>
      <c r="LK13" s="88"/>
      <c r="LL13" s="88"/>
      <c r="LM13" s="88"/>
      <c r="LN13" s="88"/>
      <c r="LO13" s="88"/>
      <c r="LP13" s="88"/>
      <c r="LQ13" s="88"/>
      <c r="LR13" s="88"/>
      <c r="LS13" s="88"/>
      <c r="LT13" s="88"/>
      <c r="LU13" s="88"/>
      <c r="LV13" s="88"/>
      <c r="LW13" s="88"/>
      <c r="LX13" s="88"/>
      <c r="LY13" s="88"/>
      <c r="LZ13" s="88"/>
      <c r="MA13" s="88"/>
      <c r="MB13" s="88"/>
      <c r="MC13" s="88"/>
      <c r="MD13" s="88"/>
      <c r="ME13" s="88"/>
      <c r="MF13" s="88"/>
      <c r="MG13" s="88"/>
      <c r="MH13" s="88"/>
      <c r="MI13" s="88"/>
      <c r="MJ13" s="88"/>
      <c r="MK13" s="88"/>
      <c r="ML13" s="88"/>
      <c r="MM13" s="88"/>
      <c r="MN13" s="88"/>
      <c r="MO13" s="88"/>
      <c r="MP13" s="88"/>
      <c r="MQ13" s="88"/>
      <c r="MR13" s="88"/>
      <c r="MS13" s="88"/>
      <c r="MT13" s="88"/>
      <c r="MU13" s="88"/>
      <c r="MV13" s="88"/>
      <c r="MW13" s="88"/>
      <c r="MX13" s="88"/>
      <c r="MY13" s="88"/>
      <c r="MZ13" s="88"/>
      <c r="NA13" s="88"/>
      <c r="NB13" s="88"/>
      <c r="NC13" s="88"/>
      <c r="ND13" s="88"/>
      <c r="NE13" s="88"/>
      <c r="NF13" s="88"/>
      <c r="NG13" s="88"/>
      <c r="NH13" s="88"/>
      <c r="NI13" s="88"/>
      <c r="NJ13" s="88"/>
      <c r="NK13" s="88"/>
      <c r="NL13" s="88"/>
      <c r="NM13" s="88"/>
      <c r="NN13" s="88"/>
      <c r="NO13" s="88"/>
      <c r="NP13" s="88"/>
      <c r="NQ13" s="88"/>
      <c r="NR13" s="88"/>
      <c r="NS13" s="88"/>
      <c r="NT13" s="88"/>
      <c r="NU13" s="88"/>
      <c r="NV13" s="88"/>
      <c r="NW13" s="88"/>
      <c r="NX13" s="88"/>
      <c r="NY13" s="88"/>
      <c r="NZ13" s="88"/>
      <c r="OA13" s="88"/>
      <c r="OB13" s="88"/>
      <c r="OC13" s="88"/>
      <c r="OD13" s="88"/>
      <c r="OE13" s="88"/>
      <c r="OF13" s="88"/>
      <c r="OG13" s="88"/>
      <c r="OH13" s="88"/>
      <c r="OI13" s="88"/>
      <c r="OJ13" s="88"/>
      <c r="OK13" s="88"/>
      <c r="OL13" s="88"/>
      <c r="OM13" s="88"/>
      <c r="ON13" s="88"/>
      <c r="OO13" s="88"/>
      <c r="OP13" s="88"/>
      <c r="OQ13" s="88"/>
      <c r="OR13" s="88"/>
      <c r="OS13" s="88"/>
      <c r="OT13" s="88"/>
      <c r="OU13" s="88"/>
      <c r="OV13" s="88"/>
      <c r="OW13" s="88"/>
      <c r="OX13" s="88"/>
      <c r="OY13" s="88"/>
      <c r="OZ13" s="88"/>
      <c r="PA13" s="88"/>
      <c r="PB13" s="88"/>
      <c r="PC13" s="88"/>
      <c r="PD13" s="88"/>
      <c r="PE13" s="88"/>
      <c r="PF13" s="88"/>
      <c r="PG13" s="88"/>
      <c r="PH13" s="88"/>
      <c r="PI13" s="88"/>
      <c r="PJ13" s="88"/>
      <c r="PK13" s="88"/>
      <c r="PL13" s="88"/>
      <c r="PM13" s="88"/>
      <c r="PN13" s="88"/>
      <c r="PO13" s="88"/>
      <c r="PP13" s="88"/>
      <c r="PQ13" s="88"/>
      <c r="PR13" s="88"/>
      <c r="PS13" s="88"/>
      <c r="PT13" s="88"/>
      <c r="PU13" s="88"/>
      <c r="PV13" s="88"/>
      <c r="PW13" s="88"/>
      <c r="PX13" s="88"/>
      <c r="PY13" s="88"/>
      <c r="PZ13" s="88"/>
      <c r="QA13" s="88"/>
      <c r="QB13" s="88"/>
      <c r="QC13" s="88"/>
      <c r="QD13" s="88"/>
      <c r="QE13" s="88"/>
      <c r="QF13" s="88"/>
      <c r="QG13" s="88"/>
      <c r="QH13" s="88"/>
      <c r="QI13" s="88"/>
      <c r="QJ13" s="88"/>
      <c r="QK13" s="88"/>
      <c r="QL13" s="88"/>
      <c r="QM13" s="88"/>
      <c r="QN13" s="88"/>
      <c r="QO13" s="88"/>
      <c r="QP13" s="126" t="s">
        <v>76</v>
      </c>
      <c r="QQ13" s="114"/>
      <c r="QR13" s="114"/>
      <c r="QS13" s="114"/>
      <c r="QT13" s="114"/>
      <c r="QU13" s="114"/>
      <c r="QV13" s="114"/>
      <c r="QW13" s="114"/>
      <c r="QX13" s="114"/>
      <c r="QY13" s="115"/>
      <c r="QZ13" s="151" t="s">
        <v>140</v>
      </c>
      <c r="RA13" s="114"/>
      <c r="RB13" s="114"/>
      <c r="RC13" s="114"/>
      <c r="RD13" s="114"/>
      <c r="RE13" s="114"/>
      <c r="RF13" s="114"/>
      <c r="RG13" s="115"/>
      <c r="RH13" s="126" t="s">
        <v>76</v>
      </c>
      <c r="RI13" s="114"/>
      <c r="RJ13" s="114"/>
      <c r="RK13" s="114"/>
      <c r="RL13" s="114"/>
      <c r="RM13" s="114"/>
      <c r="RN13" s="114"/>
      <c r="RO13" s="114"/>
      <c r="RP13" s="114"/>
      <c r="RQ13" s="114"/>
      <c r="RR13" s="114"/>
      <c r="RS13" s="114"/>
      <c r="RT13" s="114"/>
      <c r="RU13" s="114"/>
      <c r="RV13" s="115"/>
      <c r="RW13" s="88"/>
      <c r="RX13" s="88"/>
      <c r="RY13" s="88"/>
      <c r="RZ13" s="88"/>
      <c r="SA13" s="88"/>
      <c r="SB13" s="88"/>
      <c r="SC13" s="88"/>
      <c r="SD13" s="88"/>
      <c r="SE13" s="88"/>
      <c r="SF13" s="88"/>
      <c r="SG13" s="88"/>
      <c r="SH13" s="88"/>
      <c r="SI13" s="88"/>
      <c r="SJ13" s="88"/>
      <c r="SK13" s="88"/>
      <c r="SL13" s="88"/>
      <c r="SM13" s="88"/>
      <c r="SN13" s="88"/>
      <c r="SO13" s="88"/>
      <c r="SP13" s="152" t="s">
        <v>105</v>
      </c>
      <c r="SQ13" s="114"/>
      <c r="SR13" s="114"/>
      <c r="SS13" s="114"/>
      <c r="ST13" s="114"/>
      <c r="SU13" s="114"/>
      <c r="SV13" s="114"/>
      <c r="SW13" s="114"/>
      <c r="SX13" s="114"/>
      <c r="SY13" s="114"/>
      <c r="SZ13" s="114"/>
      <c r="TA13" s="114"/>
      <c r="TB13" s="114"/>
      <c r="TC13" s="114"/>
      <c r="TD13" s="114"/>
      <c r="TE13" s="114"/>
      <c r="TF13" s="114"/>
      <c r="TG13" s="114"/>
      <c r="TH13" s="115"/>
      <c r="TI13" s="160" t="s">
        <v>148</v>
      </c>
      <c r="TJ13" s="114"/>
      <c r="TK13" s="115"/>
      <c r="TL13" s="138" t="s">
        <v>169</v>
      </c>
      <c r="TM13" s="114"/>
      <c r="TN13" s="114"/>
      <c r="TO13" s="114"/>
      <c r="TP13" s="114"/>
      <c r="TQ13" s="114"/>
      <c r="TR13" s="114"/>
      <c r="TS13" s="114"/>
      <c r="TT13" s="114"/>
      <c r="TU13" s="114"/>
      <c r="TV13" s="114"/>
      <c r="TW13" s="115"/>
      <c r="TX13" s="153" t="s">
        <v>170</v>
      </c>
      <c r="TY13" s="114"/>
      <c r="TZ13" s="114"/>
      <c r="UA13" s="114"/>
      <c r="UB13" s="114"/>
      <c r="UC13" s="114"/>
      <c r="UD13" s="114"/>
      <c r="UE13" s="114"/>
      <c r="UF13" s="114"/>
      <c r="UG13" s="114"/>
      <c r="UH13" s="114"/>
      <c r="UI13" s="114"/>
      <c r="UJ13" s="114"/>
      <c r="UK13" s="114"/>
      <c r="UL13" s="114"/>
      <c r="UM13" s="114"/>
      <c r="UN13" s="114"/>
      <c r="UO13" s="114"/>
      <c r="UP13" s="114"/>
      <c r="UQ13" s="114"/>
      <c r="UR13" s="114"/>
      <c r="US13" s="114"/>
      <c r="UT13" s="114"/>
      <c r="UU13" s="114"/>
      <c r="UV13" s="114"/>
      <c r="UW13" s="114"/>
      <c r="UX13" s="114"/>
      <c r="UY13" s="114"/>
      <c r="UZ13" s="114"/>
      <c r="VA13" s="114"/>
      <c r="VB13" s="114"/>
      <c r="VC13" s="114"/>
      <c r="VD13" s="114"/>
      <c r="VE13" s="114"/>
      <c r="VF13" s="114"/>
      <c r="VG13" s="115"/>
      <c r="VH13" s="161" t="s">
        <v>171</v>
      </c>
      <c r="VI13" s="114"/>
      <c r="VJ13" s="114"/>
      <c r="VK13" s="114"/>
      <c r="VL13" s="114"/>
      <c r="VM13" s="115"/>
      <c r="VN13" s="153" t="s">
        <v>172</v>
      </c>
      <c r="VO13" s="114"/>
      <c r="VP13" s="114"/>
      <c r="VQ13" s="114"/>
      <c r="VR13" s="114"/>
      <c r="VS13" s="114"/>
      <c r="VT13" s="114"/>
      <c r="VU13" s="114"/>
      <c r="VV13" s="114"/>
      <c r="VW13" s="114"/>
      <c r="VX13" s="114"/>
      <c r="VY13" s="114"/>
      <c r="VZ13" s="114"/>
      <c r="WA13" s="114"/>
      <c r="WB13" s="114"/>
      <c r="WC13" s="114"/>
      <c r="WD13" s="114"/>
      <c r="WE13" s="114"/>
      <c r="WF13" s="114"/>
      <c r="WG13" s="114"/>
      <c r="WH13" s="114"/>
      <c r="WI13" s="115"/>
      <c r="WJ13" s="162" t="s">
        <v>173</v>
      </c>
      <c r="WK13" s="114"/>
      <c r="WL13" s="114"/>
      <c r="WM13" s="114"/>
      <c r="WN13" s="114"/>
      <c r="WO13" s="114"/>
      <c r="WP13" s="114"/>
      <c r="WQ13" s="114"/>
      <c r="WR13" s="114"/>
      <c r="WS13" s="114"/>
      <c r="WT13" s="114"/>
      <c r="WU13" s="114"/>
      <c r="WV13" s="114"/>
      <c r="WW13" s="114"/>
      <c r="WX13" s="114"/>
      <c r="WY13" s="114"/>
      <c r="WZ13" s="114"/>
      <c r="XA13" s="114"/>
      <c r="XB13" s="114"/>
      <c r="XC13" s="115"/>
      <c r="XD13" s="163" t="s">
        <v>46</v>
      </c>
      <c r="XE13" s="103"/>
      <c r="XF13" s="103"/>
      <c r="XG13" s="103"/>
      <c r="XH13" s="103"/>
      <c r="XI13" s="103"/>
      <c r="XJ13" s="103"/>
      <c r="XK13" s="103"/>
      <c r="XL13" s="99"/>
      <c r="XM13" s="163" t="s">
        <v>174</v>
      </c>
      <c r="XN13" s="103"/>
      <c r="XO13" s="103"/>
      <c r="XP13" s="103"/>
      <c r="XQ13" s="103"/>
      <c r="XR13" s="103"/>
      <c r="XS13" s="99"/>
      <c r="XT13" s="164" t="s">
        <v>157</v>
      </c>
      <c r="XU13" s="103"/>
      <c r="XV13" s="103"/>
      <c r="XW13" s="103"/>
      <c r="XX13" s="103"/>
      <c r="XY13" s="103"/>
      <c r="XZ13" s="103"/>
      <c r="YA13" s="103"/>
      <c r="YB13" s="103"/>
      <c r="YC13" s="103"/>
      <c r="YD13" s="103"/>
      <c r="YE13" s="103"/>
      <c r="YF13" s="103"/>
      <c r="YG13" s="103"/>
      <c r="YH13" s="103"/>
      <c r="YI13" s="103"/>
      <c r="YJ13" s="103"/>
      <c r="YK13" s="103"/>
      <c r="YL13" s="103"/>
      <c r="YM13" s="103"/>
      <c r="YN13" s="103"/>
      <c r="YO13" s="103"/>
      <c r="YP13" s="103"/>
      <c r="YQ13" s="103"/>
      <c r="YR13" s="103"/>
      <c r="YS13" s="103"/>
      <c r="YT13" s="103"/>
      <c r="YU13" s="103"/>
      <c r="YV13" s="103"/>
      <c r="YW13" s="103"/>
      <c r="YX13" s="103"/>
      <c r="YY13" s="103"/>
      <c r="YZ13" s="103"/>
      <c r="ZA13" s="99"/>
      <c r="ZB13" s="165" t="s">
        <v>158</v>
      </c>
      <c r="ZC13" s="103"/>
      <c r="ZD13" s="103"/>
      <c r="ZE13" s="103"/>
      <c r="ZF13" s="103"/>
      <c r="ZG13" s="99"/>
      <c r="ZH13" s="154" t="s">
        <v>159</v>
      </c>
      <c r="ZI13" s="103"/>
      <c r="ZJ13" s="103"/>
      <c r="ZK13" s="103"/>
      <c r="ZL13" s="103"/>
      <c r="ZM13" s="103"/>
      <c r="ZN13" s="103"/>
      <c r="ZO13" s="103"/>
      <c r="ZP13" s="103"/>
      <c r="ZQ13" s="103"/>
      <c r="ZR13" s="103"/>
      <c r="ZS13" s="103"/>
      <c r="ZT13" s="103"/>
      <c r="ZU13" s="103"/>
      <c r="ZV13" s="103"/>
      <c r="ZW13" s="103"/>
      <c r="ZX13" s="103"/>
      <c r="ZY13" s="103"/>
      <c r="ZZ13" s="103"/>
      <c r="AAA13" s="103"/>
      <c r="AAB13" s="103"/>
      <c r="AAC13" s="103"/>
      <c r="AAD13" s="103"/>
      <c r="AAE13" s="103"/>
      <c r="AAF13" s="103"/>
      <c r="AAG13" s="103"/>
      <c r="AAH13" s="103"/>
      <c r="AAI13" s="103"/>
      <c r="AAJ13" s="103"/>
      <c r="AAK13" s="103"/>
      <c r="AAL13" s="103"/>
      <c r="AAM13" s="103"/>
      <c r="AAN13" s="103"/>
      <c r="AAO13" s="99"/>
      <c r="AAP13" s="165" t="s">
        <v>158</v>
      </c>
      <c r="AAQ13" s="103"/>
      <c r="AAR13" s="103"/>
      <c r="AAS13" s="99"/>
      <c r="AAV13" s="154" t="s">
        <v>160</v>
      </c>
      <c r="AAW13" s="103"/>
      <c r="AAX13" s="103"/>
      <c r="AAY13" s="103"/>
      <c r="AAZ13" s="103"/>
      <c r="ABA13" s="103"/>
      <c r="ABB13" s="103"/>
      <c r="ABC13" s="103"/>
      <c r="ABD13" s="103"/>
      <c r="ABE13" s="103"/>
      <c r="ABF13" s="103"/>
      <c r="ABG13" s="103"/>
      <c r="ABH13" s="103"/>
      <c r="ABI13" s="103"/>
      <c r="ABJ13" s="103"/>
      <c r="ABK13" s="103"/>
      <c r="ABL13" s="103"/>
      <c r="ABM13" s="103"/>
      <c r="ABN13" s="103"/>
      <c r="ABO13" s="103"/>
      <c r="ABP13" s="103"/>
      <c r="ABQ13" s="103"/>
      <c r="ABR13" s="103"/>
      <c r="ABS13" s="103"/>
      <c r="ABT13" s="103"/>
      <c r="ABU13" s="103"/>
      <c r="ABV13" s="103"/>
      <c r="ABW13" s="103"/>
      <c r="ABX13" s="103"/>
      <c r="ABY13" s="103"/>
      <c r="ABZ13" s="103"/>
      <c r="ACA13" s="99"/>
      <c r="ACB13" s="165" t="s">
        <v>158</v>
      </c>
      <c r="ACC13" s="103"/>
      <c r="ACD13" s="103"/>
      <c r="ACE13" s="103"/>
      <c r="ACF13" s="103"/>
      <c r="ACG13" s="99"/>
      <c r="ACH13" s="154" t="s">
        <v>161</v>
      </c>
      <c r="ACI13" s="103"/>
      <c r="ACJ13" s="103"/>
      <c r="ACK13" s="103"/>
      <c r="ACL13" s="103"/>
      <c r="ACM13" s="103"/>
      <c r="ACN13" s="103"/>
      <c r="ACO13" s="103"/>
      <c r="ACP13" s="103"/>
      <c r="ACQ13" s="103"/>
      <c r="ACR13" s="103"/>
      <c r="ACS13" s="103"/>
      <c r="ACT13" s="103"/>
      <c r="ACU13" s="103"/>
      <c r="ACV13" s="103"/>
      <c r="ACW13" s="103"/>
      <c r="ACX13" s="103"/>
      <c r="ACY13" s="103"/>
      <c r="ACZ13" s="103"/>
      <c r="ADA13" s="103"/>
      <c r="ADB13" s="103"/>
      <c r="ADC13" s="103"/>
      <c r="ADD13" s="103"/>
      <c r="ADE13" s="103"/>
      <c r="ADF13" s="103"/>
      <c r="ADG13" s="103"/>
      <c r="ADH13" s="103"/>
      <c r="ADI13" s="103"/>
      <c r="ADJ13" s="103"/>
      <c r="ADK13" s="103"/>
      <c r="ADL13" s="103"/>
      <c r="ADM13" s="103"/>
      <c r="ADN13" s="103"/>
      <c r="ADO13" s="99"/>
      <c r="ADP13" s="130" t="s">
        <v>158</v>
      </c>
      <c r="ADQ13" s="103"/>
      <c r="ADR13" s="103"/>
      <c r="ADS13" s="103"/>
      <c r="ADT13" s="103"/>
      <c r="ADU13" s="103"/>
      <c r="ADV13" s="103"/>
      <c r="ADW13" s="103"/>
      <c r="ADX13" s="103"/>
      <c r="ADY13" s="103"/>
      <c r="ADZ13" s="103"/>
      <c r="AEA13" s="103"/>
      <c r="AEB13" s="103"/>
      <c r="AEC13" s="103"/>
      <c r="AED13" s="103"/>
      <c r="AEE13" s="103"/>
      <c r="AEF13" s="103"/>
      <c r="AEG13" s="103"/>
      <c r="AEH13" s="103"/>
      <c r="AEI13" s="103"/>
      <c r="AEJ13" s="103"/>
      <c r="AEK13" s="99"/>
    </row>
    <row r="14" spans="1:975" ht="103.95" customHeight="1" x14ac:dyDescent="0.3">
      <c r="A14" s="82" t="s">
        <v>335</v>
      </c>
      <c r="B14" s="82" t="s">
        <v>335</v>
      </c>
      <c r="AJG14" s="156" t="s">
        <v>176</v>
      </c>
      <c r="AJH14" s="103"/>
      <c r="AJI14" s="103"/>
      <c r="AJJ14" s="103"/>
      <c r="AJK14" s="103"/>
      <c r="AJL14" s="103"/>
      <c r="AJM14" s="103"/>
      <c r="AJN14" s="103"/>
      <c r="AJO14" s="103"/>
      <c r="AJP14" s="103"/>
      <c r="AJQ14" s="103"/>
      <c r="AJR14" s="103"/>
      <c r="AJS14" s="103"/>
      <c r="AJT14" s="99"/>
    </row>
  </sheetData>
  <mergeCells count="312">
    <mergeCell ref="ADP13:AEK13"/>
    <mergeCell ref="AJG14:AJT14"/>
    <mergeCell ref="NC3:ND3"/>
    <mergeCell ref="KB3:KC3"/>
    <mergeCell ref="AHC12:AHQ12"/>
    <mergeCell ref="QP13:QY13"/>
    <mergeCell ref="QZ13:RG13"/>
    <mergeCell ref="RH13:RV13"/>
    <mergeCell ref="SP13:TH13"/>
    <mergeCell ref="TI13:TK13"/>
    <mergeCell ref="TL13:TW13"/>
    <mergeCell ref="TX13:VG13"/>
    <mergeCell ref="VH13:VM13"/>
    <mergeCell ref="VN13:WI13"/>
    <mergeCell ref="WJ13:XC13"/>
    <mergeCell ref="XD13:XL13"/>
    <mergeCell ref="XM13:XS13"/>
    <mergeCell ref="XT13:ZA13"/>
    <mergeCell ref="ZB13:ZG13"/>
    <mergeCell ref="ZH13:AAO13"/>
    <mergeCell ref="AAP13:AAS13"/>
    <mergeCell ref="AAV13:ACA13"/>
    <mergeCell ref="ACB13:ACG13"/>
    <mergeCell ref="ACH13:ADO13"/>
    <mergeCell ref="XT12:YH12"/>
    <mergeCell ref="YI12:YW12"/>
    <mergeCell ref="YX12:ZL12"/>
    <mergeCell ref="ZM12:AAA12"/>
    <mergeCell ref="AAB12:AAP12"/>
    <mergeCell ref="AAQ12:ABE12"/>
    <mergeCell ref="ABF12:ABT12"/>
    <mergeCell ref="ABU12:ACI12"/>
    <mergeCell ref="ACJ12:ACY12"/>
    <mergeCell ref="TK11:UR11"/>
    <mergeCell ref="US11:UX11"/>
    <mergeCell ref="UY11:WD11"/>
    <mergeCell ref="WG11:WJ11"/>
    <mergeCell ref="QP12:QY12"/>
    <mergeCell ref="QZ12:RG12"/>
    <mergeCell ref="RH12:RV12"/>
    <mergeCell ref="SA12:TY12"/>
    <mergeCell ref="UY12:VE12"/>
    <mergeCell ref="VF12:VG12"/>
    <mergeCell ref="VH12:VI12"/>
    <mergeCell ref="VL12:VO12"/>
    <mergeCell ref="VP12:VV12"/>
    <mergeCell ref="VW12:VZ12"/>
    <mergeCell ref="RS10:RV10"/>
    <mergeCell ref="SB10:TY10"/>
    <mergeCell ref="UF10:UY10"/>
    <mergeCell ref="AD11:BF11"/>
    <mergeCell ref="CF11:CM11"/>
    <mergeCell ref="CY11:DL11"/>
    <mergeCell ref="DM11:DZ11"/>
    <mergeCell ref="EA11:EB11"/>
    <mergeCell ref="EI11:EV11"/>
    <mergeCell ref="EW11:FJ11"/>
    <mergeCell ref="FK11:FP11"/>
    <mergeCell ref="FQ11:FX11"/>
    <mergeCell ref="FY11:GL11"/>
    <mergeCell ref="GN11:HI11"/>
    <mergeCell ref="HL11:IG11"/>
    <mergeCell ref="IH11:JC11"/>
    <mergeCell ref="LX11:MA11"/>
    <mergeCell ref="PK11:PN11"/>
    <mergeCell ref="PU11:QD11"/>
    <mergeCell ref="QE11:QJ11"/>
    <mergeCell ref="QK11:RR11"/>
    <mergeCell ref="RS11:RV11"/>
    <mergeCell ref="RY11:TD11"/>
    <mergeCell ref="TE11:TJ11"/>
    <mergeCell ref="OT10:OU10"/>
    <mergeCell ref="OV10:OW10"/>
    <mergeCell ref="OZ10:PA10"/>
    <mergeCell ref="PB10:PN10"/>
    <mergeCell ref="PO10:PP10"/>
    <mergeCell ref="PQ10:QE10"/>
    <mergeCell ref="QF10:QM10"/>
    <mergeCell ref="QP10:QW10"/>
    <mergeCell ref="QX10:RN10"/>
    <mergeCell ref="WS8:XG8"/>
    <mergeCell ref="CR9:CY9"/>
    <mergeCell ref="FR9:HF9"/>
    <mergeCell ref="BN10:BP10"/>
    <mergeCell ref="BU10:DR10"/>
    <mergeCell ref="DS10:DZ10"/>
    <mergeCell ref="EB10:EF10"/>
    <mergeCell ref="EM10:EQ10"/>
    <mergeCell ref="FV10:GL10"/>
    <mergeCell ref="GM10:GX10"/>
    <mergeCell ref="GY10:HF10"/>
    <mergeCell ref="HH10:HI10"/>
    <mergeCell ref="HL10:HP10"/>
    <mergeCell ref="HS10:HV10"/>
    <mergeCell ref="HW10:IP10"/>
    <mergeCell ref="IR10:JB10"/>
    <mergeCell ref="JC10:JE10"/>
    <mergeCell ref="JF10:JQ10"/>
    <mergeCell ref="JR10:LU10"/>
    <mergeCell ref="LV10:LW10"/>
    <mergeCell ref="LX10:MC10"/>
    <mergeCell ref="MD10:NX10"/>
    <mergeCell ref="NY10:OE10"/>
    <mergeCell ref="OF10:OL10"/>
    <mergeCell ref="RX8:SB8"/>
    <mergeCell ref="SC8:SQ8"/>
    <mergeCell ref="SR8:TF8"/>
    <mergeCell ref="TG8:TU8"/>
    <mergeCell ref="TV8:UJ8"/>
    <mergeCell ref="UK8:UY8"/>
    <mergeCell ref="UZ8:VN8"/>
    <mergeCell ref="VO8:WC8"/>
    <mergeCell ref="WD8:WR8"/>
    <mergeCell ref="GN7:JL7"/>
    <mergeCell ref="JZ7:MY7"/>
    <mergeCell ref="NC7:PX7"/>
    <mergeCell ref="PY7:RR7"/>
    <mergeCell ref="GJ8:KZ8"/>
    <mergeCell ref="ML8:MQ8"/>
    <mergeCell ref="MR8:NX8"/>
    <mergeCell ref="NY8:OE8"/>
    <mergeCell ref="OF8:OR8"/>
    <mergeCell ref="OS8:PA8"/>
    <mergeCell ref="RI8:RU8"/>
    <mergeCell ref="AAA5:AAB5"/>
    <mergeCell ref="S6:AR6"/>
    <mergeCell ref="BN6:DO6"/>
    <mergeCell ref="JW6:KV6"/>
    <mergeCell ref="KW6:KZ6"/>
    <mergeCell ref="LL6:LM6"/>
    <mergeCell ref="LP6:MN6"/>
    <mergeCell ref="MO6:NW6"/>
    <mergeCell ref="NX6:OR6"/>
    <mergeCell ref="ET5:EU5"/>
    <mergeCell ref="IK5:IL5"/>
    <mergeCell ref="JZ5:KA5"/>
    <mergeCell ref="KC5:KD5"/>
    <mergeCell ref="KK5:KL5"/>
    <mergeCell ref="TU5:TW5"/>
    <mergeCell ref="UP5:UQ5"/>
    <mergeCell ref="UY5:UZ5"/>
    <mergeCell ref="YJ5:YK5"/>
    <mergeCell ref="DS3:DU3"/>
    <mergeCell ref="CB4:CC4"/>
    <mergeCell ref="EF4:EG4"/>
    <mergeCell ref="IA4:IB4"/>
    <mergeCell ref="JW4:JX4"/>
    <mergeCell ref="LO4:LP4"/>
    <mergeCell ref="NL4:NM4"/>
    <mergeCell ref="OT4:OU4"/>
    <mergeCell ref="QJ4:QK4"/>
    <mergeCell ref="AJL1:AJR1"/>
    <mergeCell ref="AJS1:AJY1"/>
    <mergeCell ref="AJZ1:AKF1"/>
    <mergeCell ref="AKG1:AKM1"/>
    <mergeCell ref="DS2:DU2"/>
    <mergeCell ref="FQ2:FR2"/>
    <mergeCell ref="IT2:IU2"/>
    <mergeCell ref="KA2:KB2"/>
    <mergeCell ref="KU2:KW2"/>
    <mergeCell ref="LJ2:LK2"/>
    <mergeCell ref="LT2:LV2"/>
    <mergeCell ref="MK2:MM2"/>
    <mergeCell ref="NO2:NQ2"/>
    <mergeCell ref="ZX2:ZZ2"/>
    <mergeCell ref="AAL2:AAN2"/>
    <mergeCell ref="AAQ2:AAR2"/>
    <mergeCell ref="ACG2:ACI2"/>
    <mergeCell ref="AFT2:AFW2"/>
    <mergeCell ref="AHA1:AHG1"/>
    <mergeCell ref="AHH1:AHN1"/>
    <mergeCell ref="AHO1:AHU1"/>
    <mergeCell ref="AHV1:AIB1"/>
    <mergeCell ref="AIC1:AII1"/>
    <mergeCell ref="AIJ1:AIP1"/>
    <mergeCell ref="AEB1:AEH1"/>
    <mergeCell ref="AEI1:AEO1"/>
    <mergeCell ref="AIQ1:AIW1"/>
    <mergeCell ref="AIX1:AJD1"/>
    <mergeCell ref="AJE1:AJK1"/>
    <mergeCell ref="AEP1:AEV1"/>
    <mergeCell ref="AEW1:AFC1"/>
    <mergeCell ref="AFD1:AFJ1"/>
    <mergeCell ref="AFK1:AFQ1"/>
    <mergeCell ref="AFR1:AFX1"/>
    <mergeCell ref="AFY1:AGE1"/>
    <mergeCell ref="AGF1:AGL1"/>
    <mergeCell ref="AGM1:AGS1"/>
    <mergeCell ref="AGT1:AGZ1"/>
    <mergeCell ref="ABQ1:ABW1"/>
    <mergeCell ref="ABX1:ACD1"/>
    <mergeCell ref="ACE1:ACK1"/>
    <mergeCell ref="ACL1:ACR1"/>
    <mergeCell ref="ACS1:ACY1"/>
    <mergeCell ref="ACZ1:ADF1"/>
    <mergeCell ref="ADG1:ADM1"/>
    <mergeCell ref="ADN1:ADT1"/>
    <mergeCell ref="ADU1:AEA1"/>
    <mergeCell ref="ZF1:ZL1"/>
    <mergeCell ref="ZM1:ZS1"/>
    <mergeCell ref="ZT1:ZZ1"/>
    <mergeCell ref="AAA1:AAG1"/>
    <mergeCell ref="AAH1:AAN1"/>
    <mergeCell ref="AAO1:AAU1"/>
    <mergeCell ref="AAV1:ABB1"/>
    <mergeCell ref="ABC1:ABI1"/>
    <mergeCell ref="ABJ1:ABP1"/>
    <mergeCell ref="WU1:XA1"/>
    <mergeCell ref="XB1:XH1"/>
    <mergeCell ref="XI1:XO1"/>
    <mergeCell ref="XP1:XV1"/>
    <mergeCell ref="XW1:YC1"/>
    <mergeCell ref="YD1:YJ1"/>
    <mergeCell ref="YK1:YQ1"/>
    <mergeCell ref="YR1:YX1"/>
    <mergeCell ref="YY1:ZE1"/>
    <mergeCell ref="UJ1:UP1"/>
    <mergeCell ref="UQ1:UW1"/>
    <mergeCell ref="UX1:VD1"/>
    <mergeCell ref="VE1:VK1"/>
    <mergeCell ref="VL1:VR1"/>
    <mergeCell ref="VS1:VY1"/>
    <mergeCell ref="VZ1:WF1"/>
    <mergeCell ref="WG1:WM1"/>
    <mergeCell ref="WN1:WT1"/>
    <mergeCell ref="RY1:SE1"/>
    <mergeCell ref="SF1:SL1"/>
    <mergeCell ref="SM1:SS1"/>
    <mergeCell ref="ST1:SZ1"/>
    <mergeCell ref="TA1:TG1"/>
    <mergeCell ref="TH1:TN1"/>
    <mergeCell ref="TO1:TU1"/>
    <mergeCell ref="TV1:UB1"/>
    <mergeCell ref="UC1:UI1"/>
    <mergeCell ref="PN1:PT1"/>
    <mergeCell ref="PU1:QA1"/>
    <mergeCell ref="QB1:QH1"/>
    <mergeCell ref="QI1:QO1"/>
    <mergeCell ref="QP1:QV1"/>
    <mergeCell ref="QW1:RC1"/>
    <mergeCell ref="RD1:RJ1"/>
    <mergeCell ref="RK1:RQ1"/>
    <mergeCell ref="RR1:RX1"/>
    <mergeCell ref="NC1:NI1"/>
    <mergeCell ref="NJ1:NP1"/>
    <mergeCell ref="NQ1:NW1"/>
    <mergeCell ref="NX1:OD1"/>
    <mergeCell ref="OE1:OK1"/>
    <mergeCell ref="OL1:OR1"/>
    <mergeCell ref="OS1:OY1"/>
    <mergeCell ref="OZ1:PF1"/>
    <mergeCell ref="PG1:PM1"/>
    <mergeCell ref="KR1:KX1"/>
    <mergeCell ref="KY1:LE1"/>
    <mergeCell ref="LF1:LL1"/>
    <mergeCell ref="LM1:LS1"/>
    <mergeCell ref="LT1:LZ1"/>
    <mergeCell ref="MA1:MG1"/>
    <mergeCell ref="MH1:MN1"/>
    <mergeCell ref="MO1:MU1"/>
    <mergeCell ref="MV1:NB1"/>
    <mergeCell ref="IG1:IM1"/>
    <mergeCell ref="IN1:IT1"/>
    <mergeCell ref="IU1:JA1"/>
    <mergeCell ref="JB1:JH1"/>
    <mergeCell ref="JI1:JO1"/>
    <mergeCell ref="JP1:JV1"/>
    <mergeCell ref="JW1:KC1"/>
    <mergeCell ref="KD1:KJ1"/>
    <mergeCell ref="KK1:KQ1"/>
    <mergeCell ref="FV1:GB1"/>
    <mergeCell ref="GC1:GI1"/>
    <mergeCell ref="GJ1:GP1"/>
    <mergeCell ref="GQ1:GW1"/>
    <mergeCell ref="GX1:HD1"/>
    <mergeCell ref="HE1:HK1"/>
    <mergeCell ref="HL1:HR1"/>
    <mergeCell ref="HS1:HY1"/>
    <mergeCell ref="HZ1:IF1"/>
    <mergeCell ref="DK1:DQ1"/>
    <mergeCell ref="DR1:DX1"/>
    <mergeCell ref="DY1:EE1"/>
    <mergeCell ref="EF1:EL1"/>
    <mergeCell ref="EM1:ES1"/>
    <mergeCell ref="ET1:EZ1"/>
    <mergeCell ref="FA1:FG1"/>
    <mergeCell ref="FH1:FN1"/>
    <mergeCell ref="FO1:FU1"/>
    <mergeCell ref="HO9:IK9"/>
    <mergeCell ref="IM9:IS9"/>
    <mergeCell ref="A6:B6"/>
    <mergeCell ref="A5:B5"/>
    <mergeCell ref="A7:B7"/>
    <mergeCell ref="A3:B3"/>
    <mergeCell ref="A4:B4"/>
    <mergeCell ref="A2:B2"/>
    <mergeCell ref="C1:I1"/>
    <mergeCell ref="J1:P1"/>
    <mergeCell ref="Q1:W1"/>
    <mergeCell ref="X1:AD1"/>
    <mergeCell ref="AE1:AK1"/>
    <mergeCell ref="AL1:AR1"/>
    <mergeCell ref="AS1:AY1"/>
    <mergeCell ref="AZ1:BF1"/>
    <mergeCell ref="BG1:BM1"/>
    <mergeCell ref="BN1:BT1"/>
    <mergeCell ref="BU1:CA1"/>
    <mergeCell ref="CB1:CH1"/>
    <mergeCell ref="CI1:CO1"/>
    <mergeCell ref="CP1:CV1"/>
    <mergeCell ref="CW1:DC1"/>
    <mergeCell ref="DD1:DJ1"/>
  </mergeCells>
  <pageMargins left="0.75" right="0.75" top="1" bottom="1" header="0.5" footer="0.5"/>
  <pageSetup orientation="portrait" r:id="rId1"/>
  <headerFooter>
    <oddFooter>&amp;L&amp;"Calibri"&amp;11&amp;K000000&amp;"Calibri"&amp;10 &amp;K737373#Caterpillar: Confidential Green_x000D_&amp;1#&amp;"Calibri"&amp;10&amp;K737373Caterpillar: Confidential Green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M14"/>
  <sheetViews>
    <sheetView workbookViewId="0">
      <selection activeCell="FB9" sqref="A9:XFD9"/>
    </sheetView>
  </sheetViews>
  <sheetFormatPr defaultRowHeight="14.4" x14ac:dyDescent="0.3"/>
  <cols>
    <col min="1" max="1" width="41" customWidth="1"/>
    <col min="2" max="2" width="54" customWidth="1"/>
  </cols>
  <sheetData>
    <row r="1" spans="1:975" ht="49.95" customHeight="1" x14ac:dyDescent="0.3">
      <c r="A1" s="84" t="s">
        <v>177</v>
      </c>
      <c r="B1" s="84" t="s">
        <v>178</v>
      </c>
      <c r="C1" s="193" t="s">
        <v>179</v>
      </c>
      <c r="D1" s="167"/>
      <c r="E1" s="167"/>
      <c r="F1" s="167"/>
      <c r="G1" s="167"/>
      <c r="H1" s="167"/>
      <c r="I1" s="168"/>
      <c r="J1" s="193" t="s">
        <v>180</v>
      </c>
      <c r="K1" s="167"/>
      <c r="L1" s="167"/>
      <c r="M1" s="167"/>
      <c r="N1" s="167"/>
      <c r="O1" s="167"/>
      <c r="P1" s="168"/>
      <c r="Q1" s="193" t="s">
        <v>181</v>
      </c>
      <c r="R1" s="167"/>
      <c r="S1" s="167"/>
      <c r="T1" s="167"/>
      <c r="U1" s="167"/>
      <c r="V1" s="167"/>
      <c r="W1" s="168"/>
      <c r="X1" s="193" t="s">
        <v>182</v>
      </c>
      <c r="Y1" s="167"/>
      <c r="Z1" s="167"/>
      <c r="AA1" s="167"/>
      <c r="AB1" s="167"/>
      <c r="AC1" s="167"/>
      <c r="AD1" s="168"/>
      <c r="AE1" s="193" t="s">
        <v>183</v>
      </c>
      <c r="AF1" s="167"/>
      <c r="AG1" s="167"/>
      <c r="AH1" s="167"/>
      <c r="AI1" s="167"/>
      <c r="AJ1" s="167"/>
      <c r="AK1" s="168"/>
      <c r="AL1" s="193" t="s">
        <v>184</v>
      </c>
      <c r="AM1" s="167"/>
      <c r="AN1" s="167"/>
      <c r="AO1" s="167"/>
      <c r="AP1" s="167"/>
      <c r="AQ1" s="167"/>
      <c r="AR1" s="168"/>
      <c r="AS1" s="193" t="s">
        <v>185</v>
      </c>
      <c r="AT1" s="167"/>
      <c r="AU1" s="167"/>
      <c r="AV1" s="167"/>
      <c r="AW1" s="167"/>
      <c r="AX1" s="167"/>
      <c r="AY1" s="168"/>
      <c r="AZ1" s="193" t="s">
        <v>186</v>
      </c>
      <c r="BA1" s="167"/>
      <c r="BB1" s="167"/>
      <c r="BC1" s="167"/>
      <c r="BD1" s="167"/>
      <c r="BE1" s="167"/>
      <c r="BF1" s="168"/>
      <c r="BG1" s="193" t="s">
        <v>187</v>
      </c>
      <c r="BH1" s="167"/>
      <c r="BI1" s="167"/>
      <c r="BJ1" s="167"/>
      <c r="BK1" s="167"/>
      <c r="BL1" s="167"/>
      <c r="BM1" s="168"/>
      <c r="BN1" s="193" t="s">
        <v>188</v>
      </c>
      <c r="BO1" s="167"/>
      <c r="BP1" s="167"/>
      <c r="BQ1" s="167"/>
      <c r="BR1" s="167"/>
      <c r="BS1" s="167"/>
      <c r="BT1" s="168"/>
      <c r="BU1" s="193" t="s">
        <v>189</v>
      </c>
      <c r="BV1" s="167"/>
      <c r="BW1" s="167"/>
      <c r="BX1" s="167"/>
      <c r="BY1" s="167"/>
      <c r="BZ1" s="167"/>
      <c r="CA1" s="168"/>
      <c r="CB1" s="193" t="s">
        <v>190</v>
      </c>
      <c r="CC1" s="167"/>
      <c r="CD1" s="167"/>
      <c r="CE1" s="167"/>
      <c r="CF1" s="167"/>
      <c r="CG1" s="167"/>
      <c r="CH1" s="168"/>
      <c r="CI1" s="193" t="s">
        <v>191</v>
      </c>
      <c r="CJ1" s="167"/>
      <c r="CK1" s="167"/>
      <c r="CL1" s="167"/>
      <c r="CM1" s="167"/>
      <c r="CN1" s="167"/>
      <c r="CO1" s="168"/>
      <c r="CP1" s="193" t="s">
        <v>192</v>
      </c>
      <c r="CQ1" s="167"/>
      <c r="CR1" s="167"/>
      <c r="CS1" s="167"/>
      <c r="CT1" s="167"/>
      <c r="CU1" s="167"/>
      <c r="CV1" s="168"/>
      <c r="CW1" s="193" t="s">
        <v>193</v>
      </c>
      <c r="CX1" s="167"/>
      <c r="CY1" s="167"/>
      <c r="CZ1" s="167"/>
      <c r="DA1" s="167"/>
      <c r="DB1" s="167"/>
      <c r="DC1" s="168"/>
      <c r="DD1" s="193" t="s">
        <v>194</v>
      </c>
      <c r="DE1" s="167"/>
      <c r="DF1" s="167"/>
      <c r="DG1" s="167"/>
      <c r="DH1" s="167"/>
      <c r="DI1" s="167"/>
      <c r="DJ1" s="168"/>
      <c r="DK1" s="193" t="s">
        <v>195</v>
      </c>
      <c r="DL1" s="167"/>
      <c r="DM1" s="167"/>
      <c r="DN1" s="167"/>
      <c r="DO1" s="167"/>
      <c r="DP1" s="167"/>
      <c r="DQ1" s="168"/>
      <c r="DR1" s="193" t="s">
        <v>196</v>
      </c>
      <c r="DS1" s="167"/>
      <c r="DT1" s="167"/>
      <c r="DU1" s="167"/>
      <c r="DV1" s="167"/>
      <c r="DW1" s="167"/>
      <c r="DX1" s="168"/>
      <c r="DY1" s="193" t="s">
        <v>197</v>
      </c>
      <c r="DZ1" s="167"/>
      <c r="EA1" s="167"/>
      <c r="EB1" s="167"/>
      <c r="EC1" s="167"/>
      <c r="ED1" s="167"/>
      <c r="EE1" s="168"/>
      <c r="EF1" s="193" t="s">
        <v>198</v>
      </c>
      <c r="EG1" s="167"/>
      <c r="EH1" s="167"/>
      <c r="EI1" s="167"/>
      <c r="EJ1" s="167"/>
      <c r="EK1" s="167"/>
      <c r="EL1" s="168"/>
      <c r="EM1" s="193" t="s">
        <v>199</v>
      </c>
      <c r="EN1" s="167"/>
      <c r="EO1" s="167"/>
      <c r="EP1" s="167"/>
      <c r="EQ1" s="167"/>
      <c r="ER1" s="167"/>
      <c r="ES1" s="168"/>
      <c r="ET1" s="193" t="s">
        <v>200</v>
      </c>
      <c r="EU1" s="167"/>
      <c r="EV1" s="167"/>
      <c r="EW1" s="167"/>
      <c r="EX1" s="167"/>
      <c r="EY1" s="167"/>
      <c r="EZ1" s="168"/>
      <c r="FA1" s="193" t="s">
        <v>201</v>
      </c>
      <c r="FB1" s="167"/>
      <c r="FC1" s="167"/>
      <c r="FD1" s="167"/>
      <c r="FE1" s="167"/>
      <c r="FF1" s="167"/>
      <c r="FG1" s="168"/>
      <c r="FH1" s="193" t="s">
        <v>202</v>
      </c>
      <c r="FI1" s="167"/>
      <c r="FJ1" s="167"/>
      <c r="FK1" s="167"/>
      <c r="FL1" s="167"/>
      <c r="FM1" s="167"/>
      <c r="FN1" s="168"/>
      <c r="FO1" s="193" t="s">
        <v>203</v>
      </c>
      <c r="FP1" s="167"/>
      <c r="FQ1" s="167"/>
      <c r="FR1" s="167"/>
      <c r="FS1" s="167"/>
      <c r="FT1" s="167"/>
      <c r="FU1" s="168"/>
      <c r="FV1" s="193" t="s">
        <v>204</v>
      </c>
      <c r="FW1" s="167"/>
      <c r="FX1" s="167"/>
      <c r="FY1" s="167"/>
      <c r="FZ1" s="167"/>
      <c r="GA1" s="167"/>
      <c r="GB1" s="168"/>
      <c r="GC1" s="193" t="s">
        <v>205</v>
      </c>
      <c r="GD1" s="167"/>
      <c r="GE1" s="167"/>
      <c r="GF1" s="167"/>
      <c r="GG1" s="167"/>
      <c r="GH1" s="167"/>
      <c r="GI1" s="168"/>
      <c r="GJ1" s="193" t="s">
        <v>206</v>
      </c>
      <c r="GK1" s="167"/>
      <c r="GL1" s="167"/>
      <c r="GM1" s="167"/>
      <c r="GN1" s="167"/>
      <c r="GO1" s="167"/>
      <c r="GP1" s="168"/>
      <c r="GQ1" s="193" t="s">
        <v>207</v>
      </c>
      <c r="GR1" s="167"/>
      <c r="GS1" s="167"/>
      <c r="GT1" s="167"/>
      <c r="GU1" s="167"/>
      <c r="GV1" s="167"/>
      <c r="GW1" s="168"/>
      <c r="GX1" s="193" t="s">
        <v>208</v>
      </c>
      <c r="GY1" s="167"/>
      <c r="GZ1" s="167"/>
      <c r="HA1" s="167"/>
      <c r="HB1" s="167"/>
      <c r="HC1" s="167"/>
      <c r="HD1" s="168"/>
      <c r="HE1" s="193" t="s">
        <v>209</v>
      </c>
      <c r="HF1" s="167"/>
      <c r="HG1" s="167"/>
      <c r="HH1" s="167"/>
      <c r="HI1" s="167"/>
      <c r="HJ1" s="167"/>
      <c r="HK1" s="168"/>
      <c r="HL1" s="193" t="s">
        <v>210</v>
      </c>
      <c r="HM1" s="167"/>
      <c r="HN1" s="167"/>
      <c r="HO1" s="167"/>
      <c r="HP1" s="167"/>
      <c r="HQ1" s="167"/>
      <c r="HR1" s="168"/>
      <c r="HS1" s="193" t="s">
        <v>211</v>
      </c>
      <c r="HT1" s="167"/>
      <c r="HU1" s="167"/>
      <c r="HV1" s="167"/>
      <c r="HW1" s="167"/>
      <c r="HX1" s="167"/>
      <c r="HY1" s="168"/>
      <c r="HZ1" s="193" t="s">
        <v>212</v>
      </c>
      <c r="IA1" s="167"/>
      <c r="IB1" s="167"/>
      <c r="IC1" s="167"/>
      <c r="ID1" s="167"/>
      <c r="IE1" s="167"/>
      <c r="IF1" s="168"/>
      <c r="IG1" s="193" t="s">
        <v>213</v>
      </c>
      <c r="IH1" s="167"/>
      <c r="II1" s="167"/>
      <c r="IJ1" s="167"/>
      <c r="IK1" s="167"/>
      <c r="IL1" s="167"/>
      <c r="IM1" s="168"/>
      <c r="IN1" s="193" t="s">
        <v>214</v>
      </c>
      <c r="IO1" s="167"/>
      <c r="IP1" s="167"/>
      <c r="IQ1" s="167"/>
      <c r="IR1" s="167"/>
      <c r="IS1" s="167"/>
      <c r="IT1" s="168"/>
      <c r="IU1" s="193" t="s">
        <v>215</v>
      </c>
      <c r="IV1" s="167"/>
      <c r="IW1" s="167"/>
      <c r="IX1" s="167"/>
      <c r="IY1" s="167"/>
      <c r="IZ1" s="167"/>
      <c r="JA1" s="168"/>
      <c r="JB1" s="193" t="s">
        <v>216</v>
      </c>
      <c r="JC1" s="167"/>
      <c r="JD1" s="167"/>
      <c r="JE1" s="167"/>
      <c r="JF1" s="167"/>
      <c r="JG1" s="167"/>
      <c r="JH1" s="168"/>
      <c r="JI1" s="193" t="s">
        <v>217</v>
      </c>
      <c r="JJ1" s="167"/>
      <c r="JK1" s="167"/>
      <c r="JL1" s="167"/>
      <c r="JM1" s="167"/>
      <c r="JN1" s="167"/>
      <c r="JO1" s="168"/>
      <c r="JP1" s="193" t="s">
        <v>218</v>
      </c>
      <c r="JQ1" s="167"/>
      <c r="JR1" s="167"/>
      <c r="JS1" s="167"/>
      <c r="JT1" s="167"/>
      <c r="JU1" s="167"/>
      <c r="JV1" s="168"/>
      <c r="JW1" s="193" t="s">
        <v>219</v>
      </c>
      <c r="JX1" s="167"/>
      <c r="JY1" s="167"/>
      <c r="JZ1" s="167"/>
      <c r="KA1" s="167"/>
      <c r="KB1" s="167"/>
      <c r="KC1" s="168"/>
      <c r="KD1" s="193" t="s">
        <v>220</v>
      </c>
      <c r="KE1" s="167"/>
      <c r="KF1" s="167"/>
      <c r="KG1" s="167"/>
      <c r="KH1" s="167"/>
      <c r="KI1" s="167"/>
      <c r="KJ1" s="168"/>
      <c r="KK1" s="193" t="s">
        <v>221</v>
      </c>
      <c r="KL1" s="167"/>
      <c r="KM1" s="167"/>
      <c r="KN1" s="167"/>
      <c r="KO1" s="167"/>
      <c r="KP1" s="167"/>
      <c r="KQ1" s="168"/>
      <c r="KR1" s="193" t="s">
        <v>222</v>
      </c>
      <c r="KS1" s="167"/>
      <c r="KT1" s="167"/>
      <c r="KU1" s="167"/>
      <c r="KV1" s="167"/>
      <c r="KW1" s="167"/>
      <c r="KX1" s="168"/>
      <c r="KY1" s="193" t="s">
        <v>223</v>
      </c>
      <c r="KZ1" s="167"/>
      <c r="LA1" s="167"/>
      <c r="LB1" s="167"/>
      <c r="LC1" s="167"/>
      <c r="LD1" s="167"/>
      <c r="LE1" s="168"/>
      <c r="LF1" s="193" t="s">
        <v>224</v>
      </c>
      <c r="LG1" s="167"/>
      <c r="LH1" s="167"/>
      <c r="LI1" s="167"/>
      <c r="LJ1" s="167"/>
      <c r="LK1" s="167"/>
      <c r="LL1" s="168"/>
      <c r="LM1" s="193" t="s">
        <v>225</v>
      </c>
      <c r="LN1" s="167"/>
      <c r="LO1" s="167"/>
      <c r="LP1" s="167"/>
      <c r="LQ1" s="167"/>
      <c r="LR1" s="167"/>
      <c r="LS1" s="168"/>
      <c r="LT1" s="193" t="s">
        <v>226</v>
      </c>
      <c r="LU1" s="167"/>
      <c r="LV1" s="167"/>
      <c r="LW1" s="167"/>
      <c r="LX1" s="167"/>
      <c r="LY1" s="167"/>
      <c r="LZ1" s="168"/>
      <c r="MA1" s="193" t="s">
        <v>227</v>
      </c>
      <c r="MB1" s="167"/>
      <c r="MC1" s="167"/>
      <c r="MD1" s="167"/>
      <c r="ME1" s="167"/>
      <c r="MF1" s="167"/>
      <c r="MG1" s="168"/>
      <c r="MH1" s="193" t="s">
        <v>228</v>
      </c>
      <c r="MI1" s="167"/>
      <c r="MJ1" s="167"/>
      <c r="MK1" s="167"/>
      <c r="ML1" s="167"/>
      <c r="MM1" s="167"/>
      <c r="MN1" s="168"/>
      <c r="MO1" s="193" t="s">
        <v>229</v>
      </c>
      <c r="MP1" s="167"/>
      <c r="MQ1" s="167"/>
      <c r="MR1" s="167"/>
      <c r="MS1" s="167"/>
      <c r="MT1" s="167"/>
      <c r="MU1" s="168"/>
      <c r="MV1" s="193" t="s">
        <v>230</v>
      </c>
      <c r="MW1" s="167"/>
      <c r="MX1" s="167"/>
      <c r="MY1" s="167"/>
      <c r="MZ1" s="167"/>
      <c r="NA1" s="167"/>
      <c r="NB1" s="168"/>
      <c r="NC1" s="193" t="s">
        <v>231</v>
      </c>
      <c r="ND1" s="167"/>
      <c r="NE1" s="167"/>
      <c r="NF1" s="167"/>
      <c r="NG1" s="167"/>
      <c r="NH1" s="167"/>
      <c r="NI1" s="168"/>
      <c r="NJ1" s="193" t="s">
        <v>232</v>
      </c>
      <c r="NK1" s="167"/>
      <c r="NL1" s="167"/>
      <c r="NM1" s="167"/>
      <c r="NN1" s="167"/>
      <c r="NO1" s="167"/>
      <c r="NP1" s="168"/>
      <c r="NQ1" s="193" t="s">
        <v>233</v>
      </c>
      <c r="NR1" s="167"/>
      <c r="NS1" s="167"/>
      <c r="NT1" s="167"/>
      <c r="NU1" s="167"/>
      <c r="NV1" s="167"/>
      <c r="NW1" s="168"/>
      <c r="NX1" s="193" t="s">
        <v>234</v>
      </c>
      <c r="NY1" s="167"/>
      <c r="NZ1" s="167"/>
      <c r="OA1" s="167"/>
      <c r="OB1" s="167"/>
      <c r="OC1" s="167"/>
      <c r="OD1" s="168"/>
      <c r="OE1" s="193" t="s">
        <v>235</v>
      </c>
      <c r="OF1" s="167"/>
      <c r="OG1" s="167"/>
      <c r="OH1" s="167"/>
      <c r="OI1" s="167"/>
      <c r="OJ1" s="167"/>
      <c r="OK1" s="168"/>
      <c r="OL1" s="193" t="s">
        <v>236</v>
      </c>
      <c r="OM1" s="167"/>
      <c r="ON1" s="167"/>
      <c r="OO1" s="167"/>
      <c r="OP1" s="167"/>
      <c r="OQ1" s="167"/>
      <c r="OR1" s="168"/>
      <c r="OS1" s="193" t="s">
        <v>237</v>
      </c>
      <c r="OT1" s="167"/>
      <c r="OU1" s="167"/>
      <c r="OV1" s="167"/>
      <c r="OW1" s="167"/>
      <c r="OX1" s="167"/>
      <c r="OY1" s="168"/>
      <c r="OZ1" s="193" t="s">
        <v>238</v>
      </c>
      <c r="PA1" s="167"/>
      <c r="PB1" s="167"/>
      <c r="PC1" s="167"/>
      <c r="PD1" s="167"/>
      <c r="PE1" s="167"/>
      <c r="PF1" s="168"/>
      <c r="PG1" s="193" t="s">
        <v>239</v>
      </c>
      <c r="PH1" s="167"/>
      <c r="PI1" s="167"/>
      <c r="PJ1" s="167"/>
      <c r="PK1" s="167"/>
      <c r="PL1" s="167"/>
      <c r="PM1" s="168"/>
      <c r="PN1" s="193" t="s">
        <v>240</v>
      </c>
      <c r="PO1" s="167"/>
      <c r="PP1" s="167"/>
      <c r="PQ1" s="167"/>
      <c r="PR1" s="167"/>
      <c r="PS1" s="167"/>
      <c r="PT1" s="168"/>
      <c r="PU1" s="193" t="s">
        <v>241</v>
      </c>
      <c r="PV1" s="167"/>
      <c r="PW1" s="167"/>
      <c r="PX1" s="167"/>
      <c r="PY1" s="167"/>
      <c r="PZ1" s="167"/>
      <c r="QA1" s="168"/>
      <c r="QB1" s="193" t="s">
        <v>242</v>
      </c>
      <c r="QC1" s="167"/>
      <c r="QD1" s="167"/>
      <c r="QE1" s="167"/>
      <c r="QF1" s="167"/>
      <c r="QG1" s="167"/>
      <c r="QH1" s="168"/>
      <c r="QI1" s="193" t="s">
        <v>243</v>
      </c>
      <c r="QJ1" s="167"/>
      <c r="QK1" s="167"/>
      <c r="QL1" s="167"/>
      <c r="QM1" s="167"/>
      <c r="QN1" s="167"/>
      <c r="QO1" s="168"/>
      <c r="QP1" s="193" t="s">
        <v>244</v>
      </c>
      <c r="QQ1" s="167"/>
      <c r="QR1" s="167"/>
      <c r="QS1" s="167"/>
      <c r="QT1" s="167"/>
      <c r="QU1" s="167"/>
      <c r="QV1" s="168"/>
      <c r="QW1" s="193" t="s">
        <v>245</v>
      </c>
      <c r="QX1" s="167"/>
      <c r="QY1" s="167"/>
      <c r="QZ1" s="167"/>
      <c r="RA1" s="167"/>
      <c r="RB1" s="167"/>
      <c r="RC1" s="168"/>
      <c r="RD1" s="193" t="s">
        <v>246</v>
      </c>
      <c r="RE1" s="167"/>
      <c r="RF1" s="167"/>
      <c r="RG1" s="167"/>
      <c r="RH1" s="167"/>
      <c r="RI1" s="167"/>
      <c r="RJ1" s="168"/>
      <c r="RK1" s="193" t="s">
        <v>247</v>
      </c>
      <c r="RL1" s="167"/>
      <c r="RM1" s="167"/>
      <c r="RN1" s="167"/>
      <c r="RO1" s="167"/>
      <c r="RP1" s="167"/>
      <c r="RQ1" s="168"/>
      <c r="RR1" s="193" t="s">
        <v>248</v>
      </c>
      <c r="RS1" s="167"/>
      <c r="RT1" s="167"/>
      <c r="RU1" s="167"/>
      <c r="RV1" s="167"/>
      <c r="RW1" s="167"/>
      <c r="RX1" s="168"/>
      <c r="RY1" s="193" t="s">
        <v>249</v>
      </c>
      <c r="RZ1" s="167"/>
      <c r="SA1" s="167"/>
      <c r="SB1" s="167"/>
      <c r="SC1" s="167"/>
      <c r="SD1" s="167"/>
      <c r="SE1" s="168"/>
      <c r="SF1" s="193" t="s">
        <v>250</v>
      </c>
      <c r="SG1" s="167"/>
      <c r="SH1" s="167"/>
      <c r="SI1" s="167"/>
      <c r="SJ1" s="167"/>
      <c r="SK1" s="167"/>
      <c r="SL1" s="168"/>
      <c r="SM1" s="193" t="s">
        <v>251</v>
      </c>
      <c r="SN1" s="167"/>
      <c r="SO1" s="167"/>
      <c r="SP1" s="167"/>
      <c r="SQ1" s="167"/>
      <c r="SR1" s="167"/>
      <c r="SS1" s="168"/>
      <c r="ST1" s="193" t="s">
        <v>252</v>
      </c>
      <c r="SU1" s="167"/>
      <c r="SV1" s="167"/>
      <c r="SW1" s="167"/>
      <c r="SX1" s="167"/>
      <c r="SY1" s="167"/>
      <c r="SZ1" s="168"/>
      <c r="TA1" s="193" t="s">
        <v>253</v>
      </c>
      <c r="TB1" s="167"/>
      <c r="TC1" s="167"/>
      <c r="TD1" s="167"/>
      <c r="TE1" s="167"/>
      <c r="TF1" s="167"/>
      <c r="TG1" s="168"/>
      <c r="TH1" s="193" t="s">
        <v>254</v>
      </c>
      <c r="TI1" s="167"/>
      <c r="TJ1" s="167"/>
      <c r="TK1" s="167"/>
      <c r="TL1" s="167"/>
      <c r="TM1" s="167"/>
      <c r="TN1" s="168"/>
      <c r="TO1" s="193" t="s">
        <v>255</v>
      </c>
      <c r="TP1" s="167"/>
      <c r="TQ1" s="167"/>
      <c r="TR1" s="167"/>
      <c r="TS1" s="167"/>
      <c r="TT1" s="167"/>
      <c r="TU1" s="168"/>
      <c r="TV1" s="193" t="s">
        <v>256</v>
      </c>
      <c r="TW1" s="167"/>
      <c r="TX1" s="167"/>
      <c r="TY1" s="167"/>
      <c r="TZ1" s="167"/>
      <c r="UA1" s="167"/>
      <c r="UB1" s="168"/>
      <c r="UC1" s="193" t="s">
        <v>257</v>
      </c>
      <c r="UD1" s="167"/>
      <c r="UE1" s="167"/>
      <c r="UF1" s="167"/>
      <c r="UG1" s="167"/>
      <c r="UH1" s="167"/>
      <c r="UI1" s="168"/>
      <c r="UJ1" s="193" t="s">
        <v>258</v>
      </c>
      <c r="UK1" s="167"/>
      <c r="UL1" s="167"/>
      <c r="UM1" s="167"/>
      <c r="UN1" s="167"/>
      <c r="UO1" s="167"/>
      <c r="UP1" s="168"/>
      <c r="UQ1" s="193" t="s">
        <v>259</v>
      </c>
      <c r="UR1" s="167"/>
      <c r="US1" s="167"/>
      <c r="UT1" s="167"/>
      <c r="UU1" s="167"/>
      <c r="UV1" s="167"/>
      <c r="UW1" s="168"/>
      <c r="UX1" s="193" t="s">
        <v>260</v>
      </c>
      <c r="UY1" s="167"/>
      <c r="UZ1" s="167"/>
      <c r="VA1" s="167"/>
      <c r="VB1" s="167"/>
      <c r="VC1" s="167"/>
      <c r="VD1" s="168"/>
      <c r="VE1" s="193" t="s">
        <v>261</v>
      </c>
      <c r="VF1" s="167"/>
      <c r="VG1" s="167"/>
      <c r="VH1" s="167"/>
      <c r="VI1" s="167"/>
      <c r="VJ1" s="167"/>
      <c r="VK1" s="168"/>
      <c r="VL1" s="193" t="s">
        <v>262</v>
      </c>
      <c r="VM1" s="167"/>
      <c r="VN1" s="167"/>
      <c r="VO1" s="167"/>
      <c r="VP1" s="167"/>
      <c r="VQ1" s="167"/>
      <c r="VR1" s="168"/>
      <c r="VS1" s="193" t="s">
        <v>263</v>
      </c>
      <c r="VT1" s="167"/>
      <c r="VU1" s="167"/>
      <c r="VV1" s="167"/>
      <c r="VW1" s="167"/>
      <c r="VX1" s="167"/>
      <c r="VY1" s="168"/>
      <c r="VZ1" s="193" t="s">
        <v>264</v>
      </c>
      <c r="WA1" s="167"/>
      <c r="WB1" s="167"/>
      <c r="WC1" s="167"/>
      <c r="WD1" s="167"/>
      <c r="WE1" s="167"/>
      <c r="WF1" s="168"/>
      <c r="WG1" s="193" t="s">
        <v>265</v>
      </c>
      <c r="WH1" s="167"/>
      <c r="WI1" s="167"/>
      <c r="WJ1" s="167"/>
      <c r="WK1" s="167"/>
      <c r="WL1" s="167"/>
      <c r="WM1" s="168"/>
      <c r="WN1" s="193" t="s">
        <v>266</v>
      </c>
      <c r="WO1" s="167"/>
      <c r="WP1" s="167"/>
      <c r="WQ1" s="167"/>
      <c r="WR1" s="167"/>
      <c r="WS1" s="167"/>
      <c r="WT1" s="168"/>
      <c r="WU1" s="193" t="s">
        <v>267</v>
      </c>
      <c r="WV1" s="167"/>
      <c r="WW1" s="167"/>
      <c r="WX1" s="167"/>
      <c r="WY1" s="167"/>
      <c r="WZ1" s="167"/>
      <c r="XA1" s="168"/>
      <c r="XB1" s="193" t="s">
        <v>268</v>
      </c>
      <c r="XC1" s="167"/>
      <c r="XD1" s="167"/>
      <c r="XE1" s="167"/>
      <c r="XF1" s="167"/>
      <c r="XG1" s="167"/>
      <c r="XH1" s="168"/>
      <c r="XI1" s="193" t="s">
        <v>269</v>
      </c>
      <c r="XJ1" s="167"/>
      <c r="XK1" s="167"/>
      <c r="XL1" s="167"/>
      <c r="XM1" s="167"/>
      <c r="XN1" s="167"/>
      <c r="XO1" s="168"/>
      <c r="XP1" s="193" t="s">
        <v>270</v>
      </c>
      <c r="XQ1" s="167"/>
      <c r="XR1" s="167"/>
      <c r="XS1" s="167"/>
      <c r="XT1" s="167"/>
      <c r="XU1" s="167"/>
      <c r="XV1" s="168"/>
      <c r="XW1" s="193" t="s">
        <v>271</v>
      </c>
      <c r="XX1" s="167"/>
      <c r="XY1" s="167"/>
      <c r="XZ1" s="167"/>
      <c r="YA1" s="167"/>
      <c r="YB1" s="167"/>
      <c r="YC1" s="168"/>
      <c r="YD1" s="193" t="s">
        <v>272</v>
      </c>
      <c r="YE1" s="167"/>
      <c r="YF1" s="167"/>
      <c r="YG1" s="167"/>
      <c r="YH1" s="167"/>
      <c r="YI1" s="167"/>
      <c r="YJ1" s="168"/>
      <c r="YK1" s="193" t="s">
        <v>273</v>
      </c>
      <c r="YL1" s="167"/>
      <c r="YM1" s="167"/>
      <c r="YN1" s="167"/>
      <c r="YO1" s="167"/>
      <c r="YP1" s="167"/>
      <c r="YQ1" s="168"/>
      <c r="YR1" s="193" t="s">
        <v>274</v>
      </c>
      <c r="YS1" s="167"/>
      <c r="YT1" s="167"/>
      <c r="YU1" s="167"/>
      <c r="YV1" s="167"/>
      <c r="YW1" s="167"/>
      <c r="YX1" s="168"/>
      <c r="YY1" s="193" t="s">
        <v>275</v>
      </c>
      <c r="YZ1" s="167"/>
      <c r="ZA1" s="167"/>
      <c r="ZB1" s="167"/>
      <c r="ZC1" s="167"/>
      <c r="ZD1" s="167"/>
      <c r="ZE1" s="168"/>
      <c r="ZF1" s="193" t="s">
        <v>276</v>
      </c>
      <c r="ZG1" s="167"/>
      <c r="ZH1" s="167"/>
      <c r="ZI1" s="167"/>
      <c r="ZJ1" s="167"/>
      <c r="ZK1" s="167"/>
      <c r="ZL1" s="168"/>
      <c r="ZM1" s="193" t="s">
        <v>277</v>
      </c>
      <c r="ZN1" s="167"/>
      <c r="ZO1" s="167"/>
      <c r="ZP1" s="167"/>
      <c r="ZQ1" s="167"/>
      <c r="ZR1" s="167"/>
      <c r="ZS1" s="168"/>
      <c r="ZT1" s="193" t="s">
        <v>278</v>
      </c>
      <c r="ZU1" s="167"/>
      <c r="ZV1" s="167"/>
      <c r="ZW1" s="167"/>
      <c r="ZX1" s="167"/>
      <c r="ZY1" s="167"/>
      <c r="ZZ1" s="168"/>
      <c r="AAA1" s="193" t="s">
        <v>279</v>
      </c>
      <c r="AAB1" s="167"/>
      <c r="AAC1" s="167"/>
      <c r="AAD1" s="167"/>
      <c r="AAE1" s="167"/>
      <c r="AAF1" s="167"/>
      <c r="AAG1" s="168"/>
      <c r="AAH1" s="193" t="s">
        <v>280</v>
      </c>
      <c r="AAI1" s="167"/>
      <c r="AAJ1" s="167"/>
      <c r="AAK1" s="167"/>
      <c r="AAL1" s="167"/>
      <c r="AAM1" s="167"/>
      <c r="AAN1" s="168"/>
      <c r="AAO1" s="193" t="s">
        <v>281</v>
      </c>
      <c r="AAP1" s="167"/>
      <c r="AAQ1" s="167"/>
      <c r="AAR1" s="167"/>
      <c r="AAS1" s="167"/>
      <c r="AAT1" s="167"/>
      <c r="AAU1" s="168"/>
      <c r="AAV1" s="193" t="s">
        <v>282</v>
      </c>
      <c r="AAW1" s="167"/>
      <c r="AAX1" s="167"/>
      <c r="AAY1" s="167"/>
      <c r="AAZ1" s="167"/>
      <c r="ABA1" s="167"/>
      <c r="ABB1" s="168"/>
      <c r="ABC1" s="193" t="s">
        <v>283</v>
      </c>
      <c r="ABD1" s="167"/>
      <c r="ABE1" s="167"/>
      <c r="ABF1" s="167"/>
      <c r="ABG1" s="167"/>
      <c r="ABH1" s="167"/>
      <c r="ABI1" s="168"/>
      <c r="ABJ1" s="193" t="s">
        <v>284</v>
      </c>
      <c r="ABK1" s="167"/>
      <c r="ABL1" s="167"/>
      <c r="ABM1" s="167"/>
      <c r="ABN1" s="167"/>
      <c r="ABO1" s="167"/>
      <c r="ABP1" s="168"/>
      <c r="ABQ1" s="193" t="s">
        <v>285</v>
      </c>
      <c r="ABR1" s="167"/>
      <c r="ABS1" s="167"/>
      <c r="ABT1" s="167"/>
      <c r="ABU1" s="167"/>
      <c r="ABV1" s="167"/>
      <c r="ABW1" s="168"/>
      <c r="ABX1" s="193" t="s">
        <v>286</v>
      </c>
      <c r="ABY1" s="167"/>
      <c r="ABZ1" s="167"/>
      <c r="ACA1" s="167"/>
      <c r="ACB1" s="167"/>
      <c r="ACC1" s="167"/>
      <c r="ACD1" s="168"/>
      <c r="ACE1" s="193" t="s">
        <v>287</v>
      </c>
      <c r="ACF1" s="167"/>
      <c r="ACG1" s="167"/>
      <c r="ACH1" s="167"/>
      <c r="ACI1" s="167"/>
      <c r="ACJ1" s="167"/>
      <c r="ACK1" s="168"/>
      <c r="ACL1" s="193" t="s">
        <v>288</v>
      </c>
      <c r="ACM1" s="167"/>
      <c r="ACN1" s="167"/>
      <c r="ACO1" s="167"/>
      <c r="ACP1" s="167"/>
      <c r="ACQ1" s="167"/>
      <c r="ACR1" s="168"/>
      <c r="ACS1" s="193" t="s">
        <v>289</v>
      </c>
      <c r="ACT1" s="167"/>
      <c r="ACU1" s="167"/>
      <c r="ACV1" s="167"/>
      <c r="ACW1" s="167"/>
      <c r="ACX1" s="167"/>
      <c r="ACY1" s="168"/>
      <c r="ACZ1" s="193" t="s">
        <v>290</v>
      </c>
      <c r="ADA1" s="167"/>
      <c r="ADB1" s="167"/>
      <c r="ADC1" s="167"/>
      <c r="ADD1" s="167"/>
      <c r="ADE1" s="167"/>
      <c r="ADF1" s="168"/>
      <c r="ADG1" s="193" t="s">
        <v>291</v>
      </c>
      <c r="ADH1" s="167"/>
      <c r="ADI1" s="167"/>
      <c r="ADJ1" s="167"/>
      <c r="ADK1" s="167"/>
      <c r="ADL1" s="167"/>
      <c r="ADM1" s="168"/>
      <c r="ADN1" s="193" t="s">
        <v>292</v>
      </c>
      <c r="ADO1" s="167"/>
      <c r="ADP1" s="167"/>
      <c r="ADQ1" s="167"/>
      <c r="ADR1" s="167"/>
      <c r="ADS1" s="167"/>
      <c r="ADT1" s="168"/>
      <c r="ADU1" s="193" t="s">
        <v>293</v>
      </c>
      <c r="ADV1" s="167"/>
      <c r="ADW1" s="167"/>
      <c r="ADX1" s="167"/>
      <c r="ADY1" s="167"/>
      <c r="ADZ1" s="167"/>
      <c r="AEA1" s="168"/>
      <c r="AEB1" s="193" t="s">
        <v>294</v>
      </c>
      <c r="AEC1" s="167"/>
      <c r="AED1" s="167"/>
      <c r="AEE1" s="167"/>
      <c r="AEF1" s="167"/>
      <c r="AEG1" s="167"/>
      <c r="AEH1" s="168"/>
      <c r="AEI1" s="193" t="s">
        <v>295</v>
      </c>
      <c r="AEJ1" s="167"/>
      <c r="AEK1" s="167"/>
      <c r="AEL1" s="167"/>
      <c r="AEM1" s="167"/>
      <c r="AEN1" s="167"/>
      <c r="AEO1" s="168"/>
      <c r="AEP1" s="193" t="s">
        <v>296</v>
      </c>
      <c r="AEQ1" s="167"/>
      <c r="AER1" s="167"/>
      <c r="AES1" s="167"/>
      <c r="AET1" s="167"/>
      <c r="AEU1" s="167"/>
      <c r="AEV1" s="168"/>
      <c r="AEW1" s="193" t="s">
        <v>297</v>
      </c>
      <c r="AEX1" s="167"/>
      <c r="AEY1" s="167"/>
      <c r="AEZ1" s="167"/>
      <c r="AFA1" s="167"/>
      <c r="AFB1" s="167"/>
      <c r="AFC1" s="168"/>
      <c r="AFD1" s="193" t="s">
        <v>298</v>
      </c>
      <c r="AFE1" s="167"/>
      <c r="AFF1" s="167"/>
      <c r="AFG1" s="167"/>
      <c r="AFH1" s="167"/>
      <c r="AFI1" s="167"/>
      <c r="AFJ1" s="168"/>
      <c r="AFK1" s="193" t="s">
        <v>299</v>
      </c>
      <c r="AFL1" s="167"/>
      <c r="AFM1" s="167"/>
      <c r="AFN1" s="167"/>
      <c r="AFO1" s="167"/>
      <c r="AFP1" s="167"/>
      <c r="AFQ1" s="168"/>
      <c r="AFR1" s="193" t="s">
        <v>300</v>
      </c>
      <c r="AFS1" s="167"/>
      <c r="AFT1" s="167"/>
      <c r="AFU1" s="167"/>
      <c r="AFV1" s="167"/>
      <c r="AFW1" s="167"/>
      <c r="AFX1" s="168"/>
      <c r="AFY1" s="193" t="s">
        <v>301</v>
      </c>
      <c r="AFZ1" s="167"/>
      <c r="AGA1" s="167"/>
      <c r="AGB1" s="167"/>
      <c r="AGC1" s="167"/>
      <c r="AGD1" s="167"/>
      <c r="AGE1" s="168"/>
      <c r="AGF1" s="193" t="s">
        <v>302</v>
      </c>
      <c r="AGG1" s="167"/>
      <c r="AGH1" s="167"/>
      <c r="AGI1" s="167"/>
      <c r="AGJ1" s="167"/>
      <c r="AGK1" s="167"/>
      <c r="AGL1" s="168"/>
      <c r="AGM1" s="193" t="s">
        <v>303</v>
      </c>
      <c r="AGN1" s="167"/>
      <c r="AGO1" s="167"/>
      <c r="AGP1" s="167"/>
      <c r="AGQ1" s="167"/>
      <c r="AGR1" s="167"/>
      <c r="AGS1" s="168"/>
      <c r="AGT1" s="193" t="s">
        <v>304</v>
      </c>
      <c r="AGU1" s="167"/>
      <c r="AGV1" s="167"/>
      <c r="AGW1" s="167"/>
      <c r="AGX1" s="167"/>
      <c r="AGY1" s="167"/>
      <c r="AGZ1" s="168"/>
      <c r="AHA1" s="193" t="s">
        <v>305</v>
      </c>
      <c r="AHB1" s="167"/>
      <c r="AHC1" s="167"/>
      <c r="AHD1" s="167"/>
      <c r="AHE1" s="167"/>
      <c r="AHF1" s="167"/>
      <c r="AHG1" s="168"/>
      <c r="AHH1" s="193" t="s">
        <v>306</v>
      </c>
      <c r="AHI1" s="167"/>
      <c r="AHJ1" s="167"/>
      <c r="AHK1" s="167"/>
      <c r="AHL1" s="167"/>
      <c r="AHM1" s="167"/>
      <c r="AHN1" s="168"/>
      <c r="AHO1" s="193" t="s">
        <v>307</v>
      </c>
      <c r="AHP1" s="167"/>
      <c r="AHQ1" s="167"/>
      <c r="AHR1" s="167"/>
      <c r="AHS1" s="167"/>
      <c r="AHT1" s="167"/>
      <c r="AHU1" s="168"/>
      <c r="AHV1" s="193" t="s">
        <v>308</v>
      </c>
      <c r="AHW1" s="167"/>
      <c r="AHX1" s="167"/>
      <c r="AHY1" s="167"/>
      <c r="AHZ1" s="167"/>
      <c r="AIA1" s="167"/>
      <c r="AIB1" s="168"/>
      <c r="AIC1" s="193" t="s">
        <v>309</v>
      </c>
      <c r="AID1" s="167"/>
      <c r="AIE1" s="167"/>
      <c r="AIF1" s="167"/>
      <c r="AIG1" s="167"/>
      <c r="AIH1" s="167"/>
      <c r="AII1" s="168"/>
      <c r="AIJ1" s="193" t="s">
        <v>310</v>
      </c>
      <c r="AIK1" s="167"/>
      <c r="AIL1" s="167"/>
      <c r="AIM1" s="167"/>
      <c r="AIN1" s="167"/>
      <c r="AIO1" s="167"/>
      <c r="AIP1" s="168"/>
      <c r="AIQ1" s="193" t="s">
        <v>311</v>
      </c>
      <c r="AIR1" s="167"/>
      <c r="AIS1" s="167"/>
      <c r="AIT1" s="167"/>
      <c r="AIU1" s="167"/>
      <c r="AIV1" s="167"/>
      <c r="AIW1" s="168"/>
      <c r="AIX1" s="193" t="s">
        <v>312</v>
      </c>
      <c r="AIY1" s="167"/>
      <c r="AIZ1" s="167"/>
      <c r="AJA1" s="167"/>
      <c r="AJB1" s="167"/>
      <c r="AJC1" s="167"/>
      <c r="AJD1" s="168"/>
      <c r="AJE1" s="193" t="s">
        <v>313</v>
      </c>
      <c r="AJF1" s="167"/>
      <c r="AJG1" s="167"/>
      <c r="AJH1" s="167"/>
      <c r="AJI1" s="167"/>
      <c r="AJJ1" s="167"/>
      <c r="AJK1" s="168"/>
      <c r="AJL1" s="193" t="s">
        <v>314</v>
      </c>
      <c r="AJM1" s="167"/>
      <c r="AJN1" s="167"/>
      <c r="AJO1" s="167"/>
      <c r="AJP1" s="167"/>
      <c r="AJQ1" s="167"/>
      <c r="AJR1" s="168"/>
      <c r="AJS1" s="193" t="s">
        <v>315</v>
      </c>
      <c r="AJT1" s="167"/>
      <c r="AJU1" s="167"/>
      <c r="AJV1" s="167"/>
      <c r="AJW1" s="167"/>
      <c r="AJX1" s="167"/>
      <c r="AJY1" s="168"/>
      <c r="AJZ1" s="193" t="s">
        <v>316</v>
      </c>
      <c r="AKA1" s="167"/>
      <c r="AKB1" s="167"/>
      <c r="AKC1" s="167"/>
      <c r="AKD1" s="167"/>
      <c r="AKE1" s="167"/>
      <c r="AKF1" s="168"/>
      <c r="AKG1" s="193" t="s">
        <v>317</v>
      </c>
      <c r="AKH1" s="167"/>
      <c r="AKI1" s="167"/>
      <c r="AKJ1" s="167"/>
      <c r="AKK1" s="167"/>
      <c r="AKL1" s="167"/>
      <c r="AKM1" s="168"/>
    </row>
    <row r="2" spans="1:975" ht="17.399999999999999" x14ac:dyDescent="0.3">
      <c r="A2" s="85" t="s">
        <v>318</v>
      </c>
      <c r="B2" s="85" t="s">
        <v>318</v>
      </c>
      <c r="DS2" s="194" t="s">
        <v>5</v>
      </c>
      <c r="DT2" s="167"/>
      <c r="DU2" s="168"/>
      <c r="FQ2" s="194" t="s">
        <v>6</v>
      </c>
      <c r="FR2" s="168"/>
      <c r="IT2" s="195" t="s">
        <v>8</v>
      </c>
      <c r="IU2" s="168"/>
      <c r="KA2" s="194" t="s">
        <v>9</v>
      </c>
      <c r="KB2" s="168"/>
      <c r="KU2" s="195" t="s">
        <v>10</v>
      </c>
      <c r="KV2" s="167"/>
      <c r="KW2" s="168"/>
      <c r="LJ2" s="194" t="s">
        <v>11</v>
      </c>
      <c r="LK2" s="168"/>
      <c r="LT2" s="196" t="s">
        <v>13</v>
      </c>
      <c r="LU2" s="167"/>
      <c r="LV2" s="168"/>
      <c r="MK2" s="196" t="s">
        <v>14</v>
      </c>
      <c r="ML2" s="167"/>
      <c r="MM2" s="168"/>
      <c r="NO2" s="194" t="s">
        <v>15</v>
      </c>
      <c r="NP2" s="167"/>
      <c r="NQ2" s="168"/>
      <c r="ZX2" s="195" t="s">
        <v>16</v>
      </c>
      <c r="ZY2" s="167"/>
      <c r="ZZ2" s="168"/>
      <c r="AAL2" s="196" t="s">
        <v>17</v>
      </c>
      <c r="AAM2" s="167"/>
      <c r="AAN2" s="168"/>
      <c r="AAQ2" s="194" t="s">
        <v>18</v>
      </c>
      <c r="AAR2" s="168"/>
      <c r="ACG2" s="195" t="s">
        <v>19</v>
      </c>
      <c r="ACH2" s="167"/>
      <c r="ACI2" s="168"/>
      <c r="AFT2" s="194" t="s">
        <v>20</v>
      </c>
      <c r="AFU2" s="167"/>
      <c r="AFV2" s="167"/>
      <c r="AFW2" s="168"/>
    </row>
    <row r="3" spans="1:975" ht="17.399999999999999" x14ac:dyDescent="0.3">
      <c r="A3" s="85" t="s">
        <v>319</v>
      </c>
      <c r="B3" s="85" t="s">
        <v>319</v>
      </c>
      <c r="DS3" s="192" t="s">
        <v>23</v>
      </c>
      <c r="DT3" s="167"/>
      <c r="DU3" s="168"/>
      <c r="KB3" s="86" t="s">
        <v>24</v>
      </c>
      <c r="NC3" s="86" t="s">
        <v>25</v>
      </c>
    </row>
    <row r="4" spans="1:975" ht="17.399999999999999" x14ac:dyDescent="0.3">
      <c r="A4" s="85" t="s">
        <v>320</v>
      </c>
      <c r="B4" s="85" t="s">
        <v>320</v>
      </c>
      <c r="CB4" s="174" t="s">
        <v>28</v>
      </c>
      <c r="CC4" s="168"/>
      <c r="EF4" s="174" t="s">
        <v>29</v>
      </c>
      <c r="EG4" s="168"/>
      <c r="IA4" s="174" t="s">
        <v>30</v>
      </c>
      <c r="IB4" s="168"/>
      <c r="JW4" s="174" t="s">
        <v>31</v>
      </c>
      <c r="JX4" s="168"/>
      <c r="LO4" s="174" t="s">
        <v>32</v>
      </c>
      <c r="LP4" s="168"/>
      <c r="NL4" s="174" t="s">
        <v>33</v>
      </c>
      <c r="NM4" s="168"/>
      <c r="OT4" s="174" t="s">
        <v>34</v>
      </c>
      <c r="OU4" s="168"/>
      <c r="QJ4" s="174" t="s">
        <v>35</v>
      </c>
      <c r="QK4" s="168"/>
    </row>
    <row r="5" spans="1:975" ht="17.399999999999999" x14ac:dyDescent="0.3">
      <c r="A5" s="85" t="s">
        <v>321</v>
      </c>
      <c r="B5" s="85" t="s">
        <v>321</v>
      </c>
      <c r="ET5" s="191" t="s">
        <v>38</v>
      </c>
      <c r="EU5" s="168"/>
      <c r="IK5" s="191" t="s">
        <v>39</v>
      </c>
      <c r="IL5" s="168"/>
      <c r="JZ5" s="191" t="s">
        <v>40</v>
      </c>
      <c r="KA5" s="168"/>
      <c r="KC5" s="191" t="s">
        <v>41</v>
      </c>
      <c r="KD5" s="168"/>
      <c r="KK5" s="191" t="s">
        <v>42</v>
      </c>
      <c r="KL5" s="168"/>
      <c r="TU5" s="189" t="s">
        <v>44</v>
      </c>
      <c r="TV5" s="167"/>
      <c r="TW5" s="168"/>
      <c r="UP5" s="189" t="s">
        <v>45</v>
      </c>
      <c r="UQ5" s="168"/>
      <c r="UY5" s="189" t="s">
        <v>46</v>
      </c>
      <c r="UZ5" s="168"/>
      <c r="YJ5" s="189" t="s">
        <v>47</v>
      </c>
      <c r="YK5" s="168"/>
      <c r="AAA5" s="189" t="s">
        <v>48</v>
      </c>
      <c r="AAB5" s="168"/>
    </row>
    <row r="6" spans="1:975" ht="17.399999999999999" x14ac:dyDescent="0.3">
      <c r="A6" s="85" t="s">
        <v>322</v>
      </c>
      <c r="B6" s="85" t="s">
        <v>322</v>
      </c>
      <c r="S6" s="190" t="s">
        <v>51</v>
      </c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8"/>
      <c r="BN6" s="190" t="s">
        <v>52</v>
      </c>
      <c r="BO6" s="167"/>
      <c r="BP6" s="167"/>
      <c r="BQ6" s="167"/>
      <c r="BR6" s="167"/>
      <c r="BS6" s="167"/>
      <c r="BT6" s="167"/>
      <c r="BU6" s="167"/>
      <c r="BV6" s="167"/>
      <c r="BW6" s="167"/>
      <c r="BX6" s="167"/>
      <c r="BY6" s="167"/>
      <c r="BZ6" s="167"/>
      <c r="CA6" s="167"/>
      <c r="CB6" s="167"/>
      <c r="CC6" s="167"/>
      <c r="CD6" s="167"/>
      <c r="CE6" s="167"/>
      <c r="CF6" s="167"/>
      <c r="CG6" s="167"/>
      <c r="CH6" s="167"/>
      <c r="CI6" s="167"/>
      <c r="CJ6" s="167"/>
      <c r="CK6" s="167"/>
      <c r="CL6" s="167"/>
      <c r="CM6" s="167"/>
      <c r="CN6" s="167"/>
      <c r="CO6" s="167"/>
      <c r="CP6" s="167"/>
      <c r="CQ6" s="167"/>
      <c r="CR6" s="167"/>
      <c r="CS6" s="167"/>
      <c r="CT6" s="167"/>
      <c r="CU6" s="167"/>
      <c r="CV6" s="167"/>
      <c r="CW6" s="167"/>
      <c r="CX6" s="167"/>
      <c r="CY6" s="167"/>
      <c r="CZ6" s="167"/>
      <c r="DA6" s="167"/>
      <c r="DB6" s="167"/>
      <c r="DC6" s="167"/>
      <c r="DD6" s="167"/>
      <c r="DE6" s="167"/>
      <c r="DF6" s="167"/>
      <c r="DG6" s="167"/>
      <c r="DH6" s="167"/>
      <c r="DI6" s="167"/>
      <c r="DJ6" s="167"/>
      <c r="DK6" s="167"/>
      <c r="DL6" s="167"/>
      <c r="DM6" s="167"/>
      <c r="DN6" s="167"/>
      <c r="DO6" s="168"/>
      <c r="JW6" s="190" t="s">
        <v>53</v>
      </c>
      <c r="JX6" s="167"/>
      <c r="JY6" s="167"/>
      <c r="JZ6" s="167"/>
      <c r="KA6" s="167"/>
      <c r="KB6" s="167"/>
      <c r="KC6" s="167"/>
      <c r="KD6" s="167"/>
      <c r="KE6" s="167"/>
      <c r="KF6" s="167"/>
      <c r="KG6" s="167"/>
      <c r="KH6" s="167"/>
      <c r="KI6" s="167"/>
      <c r="KJ6" s="167"/>
      <c r="KK6" s="167"/>
      <c r="KL6" s="167"/>
      <c r="KM6" s="167"/>
      <c r="KN6" s="167"/>
      <c r="KO6" s="167"/>
      <c r="KP6" s="167"/>
      <c r="KQ6" s="167"/>
      <c r="KR6" s="167"/>
      <c r="KS6" s="167"/>
      <c r="KT6" s="167"/>
      <c r="KU6" s="167"/>
      <c r="KV6" s="168"/>
      <c r="KW6" s="190" t="s">
        <v>54</v>
      </c>
      <c r="KX6" s="167"/>
      <c r="KY6" s="167"/>
      <c r="KZ6" s="168"/>
      <c r="LL6" s="190" t="s">
        <v>55</v>
      </c>
      <c r="LM6" s="168"/>
      <c r="LP6" s="190" t="s">
        <v>56</v>
      </c>
      <c r="LQ6" s="167"/>
      <c r="LR6" s="167"/>
      <c r="LS6" s="167"/>
      <c r="LT6" s="167"/>
      <c r="LU6" s="167"/>
      <c r="LV6" s="167"/>
      <c r="LW6" s="167"/>
      <c r="LX6" s="167"/>
      <c r="LY6" s="167"/>
      <c r="LZ6" s="167"/>
      <c r="MA6" s="167"/>
      <c r="MB6" s="167"/>
      <c r="MC6" s="167"/>
      <c r="MD6" s="167"/>
      <c r="ME6" s="167"/>
      <c r="MF6" s="167"/>
      <c r="MG6" s="167"/>
      <c r="MH6" s="167"/>
      <c r="MI6" s="167"/>
      <c r="MJ6" s="167"/>
      <c r="MK6" s="167"/>
      <c r="ML6" s="167"/>
      <c r="MM6" s="167"/>
      <c r="MN6" s="168"/>
      <c r="MO6" s="190" t="s">
        <v>57</v>
      </c>
      <c r="MP6" s="167"/>
      <c r="MQ6" s="167"/>
      <c r="MR6" s="167"/>
      <c r="MS6" s="167"/>
      <c r="MT6" s="167"/>
      <c r="MU6" s="167"/>
      <c r="MV6" s="167"/>
      <c r="MW6" s="167"/>
      <c r="MX6" s="167"/>
      <c r="MY6" s="167"/>
      <c r="MZ6" s="167"/>
      <c r="NA6" s="167"/>
      <c r="NB6" s="167"/>
      <c r="NC6" s="167"/>
      <c r="ND6" s="167"/>
      <c r="NE6" s="167"/>
      <c r="NF6" s="167"/>
      <c r="NG6" s="167"/>
      <c r="NH6" s="167"/>
      <c r="NI6" s="167"/>
      <c r="NJ6" s="167"/>
      <c r="NK6" s="167"/>
      <c r="NL6" s="167"/>
      <c r="NM6" s="167"/>
      <c r="NN6" s="167"/>
      <c r="NO6" s="167"/>
      <c r="NP6" s="167"/>
      <c r="NQ6" s="167"/>
      <c r="NR6" s="167"/>
      <c r="NS6" s="167"/>
      <c r="NT6" s="167"/>
      <c r="NU6" s="167"/>
      <c r="NV6" s="167"/>
      <c r="NW6" s="168"/>
      <c r="NX6" s="190" t="s">
        <v>58</v>
      </c>
      <c r="NY6" s="167"/>
      <c r="NZ6" s="167"/>
      <c r="OA6" s="167"/>
      <c r="OB6" s="167"/>
      <c r="OC6" s="167"/>
      <c r="OD6" s="167"/>
      <c r="OE6" s="167"/>
      <c r="OF6" s="167"/>
      <c r="OG6" s="167"/>
      <c r="OH6" s="167"/>
      <c r="OI6" s="167"/>
      <c r="OJ6" s="167"/>
      <c r="OK6" s="167"/>
      <c r="OL6" s="167"/>
      <c r="OM6" s="167"/>
      <c r="ON6" s="167"/>
      <c r="OO6" s="167"/>
      <c r="OP6" s="167"/>
      <c r="OQ6" s="167"/>
      <c r="OR6" s="168"/>
    </row>
    <row r="7" spans="1:975" ht="17.399999999999999" x14ac:dyDescent="0.3">
      <c r="A7" s="85" t="s">
        <v>323</v>
      </c>
      <c r="B7" s="85" t="s">
        <v>323</v>
      </c>
      <c r="GN7" s="186" t="s">
        <v>61</v>
      </c>
      <c r="GO7" s="167"/>
      <c r="GP7" s="167"/>
      <c r="GQ7" s="167"/>
      <c r="GR7" s="167"/>
      <c r="GS7" s="167"/>
      <c r="GT7" s="167"/>
      <c r="GU7" s="167"/>
      <c r="GV7" s="167"/>
      <c r="GW7" s="167"/>
      <c r="GX7" s="167"/>
      <c r="GY7" s="167"/>
      <c r="GZ7" s="167"/>
      <c r="HA7" s="167"/>
      <c r="HB7" s="167"/>
      <c r="HC7" s="167"/>
      <c r="HD7" s="167"/>
      <c r="HE7" s="167"/>
      <c r="HF7" s="167"/>
      <c r="HG7" s="167"/>
      <c r="HH7" s="167"/>
      <c r="HI7" s="167"/>
      <c r="HJ7" s="167"/>
      <c r="HK7" s="167"/>
      <c r="HL7" s="167"/>
      <c r="HM7" s="167"/>
      <c r="HN7" s="167"/>
      <c r="HO7" s="167"/>
      <c r="HP7" s="167"/>
      <c r="HQ7" s="167"/>
      <c r="HR7" s="167"/>
      <c r="HS7" s="167"/>
      <c r="HT7" s="167"/>
      <c r="HU7" s="167"/>
      <c r="HV7" s="167"/>
      <c r="HW7" s="167"/>
      <c r="HX7" s="167"/>
      <c r="HY7" s="167"/>
      <c r="HZ7" s="167"/>
      <c r="IA7" s="167"/>
      <c r="IB7" s="167"/>
      <c r="IC7" s="167"/>
      <c r="ID7" s="167"/>
      <c r="IE7" s="167"/>
      <c r="IF7" s="167"/>
      <c r="IG7" s="167"/>
      <c r="IH7" s="167"/>
      <c r="II7" s="167"/>
      <c r="IJ7" s="167"/>
      <c r="IK7" s="167"/>
      <c r="IL7" s="167"/>
      <c r="IM7" s="167"/>
      <c r="IN7" s="167"/>
      <c r="IO7" s="167"/>
      <c r="IP7" s="167"/>
      <c r="IQ7" s="167"/>
      <c r="IR7" s="167"/>
      <c r="IS7" s="167"/>
      <c r="IT7" s="167"/>
      <c r="IU7" s="167"/>
      <c r="IV7" s="167"/>
      <c r="IW7" s="167"/>
      <c r="IX7" s="167"/>
      <c r="IY7" s="167"/>
      <c r="IZ7" s="167"/>
      <c r="JA7" s="167"/>
      <c r="JB7" s="167"/>
      <c r="JC7" s="167"/>
      <c r="JD7" s="167"/>
      <c r="JE7" s="167"/>
      <c r="JF7" s="167"/>
      <c r="JG7" s="167"/>
      <c r="JH7" s="167"/>
      <c r="JI7" s="167"/>
      <c r="JJ7" s="167"/>
      <c r="JK7" s="167"/>
      <c r="JL7" s="168"/>
      <c r="JZ7" s="186" t="s">
        <v>62</v>
      </c>
      <c r="KA7" s="167"/>
      <c r="KB7" s="167"/>
      <c r="KC7" s="167"/>
      <c r="KD7" s="167"/>
      <c r="KE7" s="167"/>
      <c r="KF7" s="167"/>
      <c r="KG7" s="167"/>
      <c r="KH7" s="167"/>
      <c r="KI7" s="167"/>
      <c r="KJ7" s="167"/>
      <c r="KK7" s="167"/>
      <c r="KL7" s="167"/>
      <c r="KM7" s="167"/>
      <c r="KN7" s="167"/>
      <c r="KO7" s="167"/>
      <c r="KP7" s="167"/>
      <c r="KQ7" s="167"/>
      <c r="KR7" s="167"/>
      <c r="KS7" s="167"/>
      <c r="KT7" s="167"/>
      <c r="KU7" s="167"/>
      <c r="KV7" s="167"/>
      <c r="KW7" s="167"/>
      <c r="KX7" s="167"/>
      <c r="KY7" s="167"/>
      <c r="KZ7" s="167"/>
      <c r="LA7" s="167"/>
      <c r="LB7" s="167"/>
      <c r="LC7" s="167"/>
      <c r="LD7" s="167"/>
      <c r="LE7" s="167"/>
      <c r="LF7" s="167"/>
      <c r="LG7" s="167"/>
      <c r="LH7" s="167"/>
      <c r="LI7" s="167"/>
      <c r="LJ7" s="167"/>
      <c r="LK7" s="167"/>
      <c r="LL7" s="167"/>
      <c r="LM7" s="167"/>
      <c r="LN7" s="167"/>
      <c r="LO7" s="167"/>
      <c r="LP7" s="167"/>
      <c r="LQ7" s="167"/>
      <c r="LR7" s="167"/>
      <c r="LS7" s="167"/>
      <c r="LT7" s="167"/>
      <c r="LU7" s="167"/>
      <c r="LV7" s="167"/>
      <c r="LW7" s="167"/>
      <c r="LX7" s="167"/>
      <c r="LY7" s="167"/>
      <c r="LZ7" s="167"/>
      <c r="MA7" s="167"/>
      <c r="MB7" s="167"/>
      <c r="MC7" s="167"/>
      <c r="MD7" s="167"/>
      <c r="ME7" s="167"/>
      <c r="MF7" s="167"/>
      <c r="MG7" s="167"/>
      <c r="MH7" s="167"/>
      <c r="MI7" s="167"/>
      <c r="MJ7" s="167"/>
      <c r="MK7" s="167"/>
      <c r="ML7" s="167"/>
      <c r="MM7" s="167"/>
      <c r="MN7" s="167"/>
      <c r="MO7" s="167"/>
      <c r="MP7" s="167"/>
      <c r="MQ7" s="167"/>
      <c r="MR7" s="167"/>
      <c r="MS7" s="167"/>
      <c r="MT7" s="167"/>
      <c r="MU7" s="167"/>
      <c r="MV7" s="167"/>
      <c r="MW7" s="167"/>
      <c r="MX7" s="167"/>
      <c r="MY7" s="168"/>
      <c r="NC7" s="186" t="s">
        <v>63</v>
      </c>
      <c r="ND7" s="167"/>
      <c r="NE7" s="167"/>
      <c r="NF7" s="167"/>
      <c r="NG7" s="167"/>
      <c r="NH7" s="167"/>
      <c r="NI7" s="167"/>
      <c r="NJ7" s="167"/>
      <c r="NK7" s="167"/>
      <c r="NL7" s="167"/>
      <c r="NM7" s="167"/>
      <c r="NN7" s="167"/>
      <c r="NO7" s="167"/>
      <c r="NP7" s="167"/>
      <c r="NQ7" s="167"/>
      <c r="NR7" s="167"/>
      <c r="NS7" s="167"/>
      <c r="NT7" s="167"/>
      <c r="NU7" s="167"/>
      <c r="NV7" s="167"/>
      <c r="NW7" s="167"/>
      <c r="NX7" s="167"/>
      <c r="NY7" s="167"/>
      <c r="NZ7" s="167"/>
      <c r="OA7" s="167"/>
      <c r="OB7" s="167"/>
      <c r="OC7" s="167"/>
      <c r="OD7" s="167"/>
      <c r="OE7" s="167"/>
      <c r="OF7" s="167"/>
      <c r="OG7" s="167"/>
      <c r="OH7" s="167"/>
      <c r="OI7" s="167"/>
      <c r="OJ7" s="167"/>
      <c r="OK7" s="167"/>
      <c r="OL7" s="167"/>
      <c r="OM7" s="167"/>
      <c r="ON7" s="167"/>
      <c r="OO7" s="167"/>
      <c r="OP7" s="167"/>
      <c r="OQ7" s="167"/>
      <c r="OR7" s="167"/>
      <c r="OS7" s="167"/>
      <c r="OT7" s="167"/>
      <c r="OU7" s="167"/>
      <c r="OV7" s="167"/>
      <c r="OW7" s="167"/>
      <c r="OX7" s="167"/>
      <c r="OY7" s="167"/>
      <c r="OZ7" s="167"/>
      <c r="PA7" s="167"/>
      <c r="PB7" s="167"/>
      <c r="PC7" s="167"/>
      <c r="PD7" s="167"/>
      <c r="PE7" s="167"/>
      <c r="PF7" s="167"/>
      <c r="PG7" s="167"/>
      <c r="PH7" s="167"/>
      <c r="PI7" s="167"/>
      <c r="PJ7" s="167"/>
      <c r="PK7" s="167"/>
      <c r="PL7" s="167"/>
      <c r="PM7" s="167"/>
      <c r="PN7" s="167"/>
      <c r="PO7" s="167"/>
      <c r="PP7" s="167"/>
      <c r="PQ7" s="167"/>
      <c r="PR7" s="167"/>
      <c r="PS7" s="167"/>
      <c r="PT7" s="167"/>
      <c r="PU7" s="167"/>
      <c r="PV7" s="167"/>
      <c r="PW7" s="167"/>
      <c r="PX7" s="168"/>
      <c r="PY7" s="186" t="s">
        <v>64</v>
      </c>
      <c r="PZ7" s="167"/>
      <c r="QA7" s="167"/>
      <c r="QB7" s="167"/>
      <c r="QC7" s="167"/>
      <c r="QD7" s="167"/>
      <c r="QE7" s="167"/>
      <c r="QF7" s="167"/>
      <c r="QG7" s="167"/>
      <c r="QH7" s="167"/>
      <c r="QI7" s="167"/>
      <c r="QJ7" s="167"/>
      <c r="QK7" s="167"/>
      <c r="QL7" s="167"/>
      <c r="QM7" s="167"/>
      <c r="QN7" s="167"/>
      <c r="QO7" s="167"/>
      <c r="QP7" s="167"/>
      <c r="QQ7" s="167"/>
      <c r="QR7" s="167"/>
      <c r="QS7" s="167"/>
      <c r="QT7" s="167"/>
      <c r="QU7" s="167"/>
      <c r="QV7" s="167"/>
      <c r="QW7" s="167"/>
      <c r="QX7" s="167"/>
      <c r="QY7" s="167"/>
      <c r="QZ7" s="167"/>
      <c r="RA7" s="167"/>
      <c r="RB7" s="167"/>
      <c r="RC7" s="167"/>
      <c r="RD7" s="167"/>
      <c r="RE7" s="167"/>
      <c r="RF7" s="167"/>
      <c r="RG7" s="167"/>
      <c r="RH7" s="167"/>
      <c r="RI7" s="167"/>
      <c r="RJ7" s="167"/>
      <c r="RK7" s="167"/>
      <c r="RL7" s="167"/>
      <c r="RM7" s="167"/>
      <c r="RN7" s="167"/>
      <c r="RO7" s="167"/>
      <c r="RP7" s="167"/>
      <c r="RQ7" s="167"/>
      <c r="RR7" s="168"/>
    </row>
    <row r="8" spans="1:975" ht="17.399999999999999" x14ac:dyDescent="0.3">
      <c r="A8" s="85" t="s">
        <v>324</v>
      </c>
      <c r="B8" s="85" t="s">
        <v>325</v>
      </c>
      <c r="GJ8" s="187" t="s">
        <v>67</v>
      </c>
      <c r="GK8" s="167"/>
      <c r="GL8" s="167"/>
      <c r="GM8" s="167"/>
      <c r="GN8" s="167"/>
      <c r="GO8" s="167"/>
      <c r="GP8" s="167"/>
      <c r="GQ8" s="167"/>
      <c r="GR8" s="167"/>
      <c r="GS8" s="167"/>
      <c r="GT8" s="167"/>
      <c r="GU8" s="167"/>
      <c r="GV8" s="167"/>
      <c r="GW8" s="167"/>
      <c r="GX8" s="167"/>
      <c r="GY8" s="167"/>
      <c r="GZ8" s="167"/>
      <c r="HA8" s="167"/>
      <c r="HB8" s="167"/>
      <c r="HC8" s="167"/>
      <c r="HD8" s="167"/>
      <c r="HE8" s="167"/>
      <c r="HF8" s="167"/>
      <c r="HG8" s="167"/>
      <c r="HH8" s="167"/>
      <c r="HI8" s="167"/>
      <c r="HJ8" s="167"/>
      <c r="HK8" s="167"/>
      <c r="HL8" s="167"/>
      <c r="HM8" s="167"/>
      <c r="HN8" s="167"/>
      <c r="HO8" s="167"/>
      <c r="HP8" s="167"/>
      <c r="HQ8" s="167"/>
      <c r="HR8" s="167"/>
      <c r="HS8" s="167"/>
      <c r="HT8" s="167"/>
      <c r="HU8" s="167"/>
      <c r="HV8" s="167"/>
      <c r="HW8" s="167"/>
      <c r="HX8" s="167"/>
      <c r="HY8" s="167"/>
      <c r="HZ8" s="167"/>
      <c r="IA8" s="167"/>
      <c r="IB8" s="167"/>
      <c r="IC8" s="167"/>
      <c r="ID8" s="167"/>
      <c r="IE8" s="167"/>
      <c r="IF8" s="167"/>
      <c r="IG8" s="167"/>
      <c r="IH8" s="167"/>
      <c r="II8" s="167"/>
      <c r="IJ8" s="167"/>
      <c r="IK8" s="167"/>
      <c r="IL8" s="167"/>
      <c r="IM8" s="167"/>
      <c r="IN8" s="167"/>
      <c r="IO8" s="167"/>
      <c r="IP8" s="167"/>
      <c r="IQ8" s="167"/>
      <c r="IR8" s="167"/>
      <c r="IS8" s="167"/>
      <c r="IT8" s="167"/>
      <c r="IU8" s="167"/>
      <c r="IV8" s="167"/>
      <c r="IW8" s="167"/>
      <c r="IX8" s="167"/>
      <c r="IY8" s="167"/>
      <c r="IZ8" s="167"/>
      <c r="JA8" s="167"/>
      <c r="JB8" s="167"/>
      <c r="JC8" s="167"/>
      <c r="JD8" s="167"/>
      <c r="JE8" s="167"/>
      <c r="JF8" s="167"/>
      <c r="JG8" s="167"/>
      <c r="JH8" s="167"/>
      <c r="JI8" s="167"/>
      <c r="JJ8" s="167"/>
      <c r="JK8" s="167"/>
      <c r="JL8" s="167"/>
      <c r="JM8" s="167"/>
      <c r="JN8" s="167"/>
      <c r="JO8" s="167"/>
      <c r="JP8" s="167"/>
      <c r="JQ8" s="167"/>
      <c r="JR8" s="167"/>
      <c r="JS8" s="167"/>
      <c r="JT8" s="167"/>
      <c r="JU8" s="167"/>
      <c r="JV8" s="167"/>
      <c r="JW8" s="167"/>
      <c r="JX8" s="167"/>
      <c r="JY8" s="167"/>
      <c r="JZ8" s="167"/>
      <c r="KA8" s="167"/>
      <c r="KB8" s="167"/>
      <c r="KC8" s="167"/>
      <c r="KD8" s="167"/>
      <c r="KE8" s="167"/>
      <c r="KF8" s="167"/>
      <c r="KG8" s="167"/>
      <c r="KH8" s="167"/>
      <c r="KI8" s="167"/>
      <c r="KJ8" s="167"/>
      <c r="KK8" s="167"/>
      <c r="KL8" s="167"/>
      <c r="KM8" s="167"/>
      <c r="KN8" s="167"/>
      <c r="KO8" s="167"/>
      <c r="KP8" s="167"/>
      <c r="KQ8" s="167"/>
      <c r="KR8" s="167"/>
      <c r="KS8" s="167"/>
      <c r="KT8" s="167"/>
      <c r="KU8" s="167"/>
      <c r="KV8" s="167"/>
      <c r="KW8" s="167"/>
      <c r="KX8" s="167"/>
      <c r="KY8" s="167"/>
      <c r="KZ8" s="168"/>
      <c r="ML8" s="188" t="s">
        <v>68</v>
      </c>
      <c r="MM8" s="167"/>
      <c r="MN8" s="167"/>
      <c r="MO8" s="167"/>
      <c r="MP8" s="167"/>
      <c r="MQ8" s="168"/>
      <c r="MR8" s="179" t="s">
        <v>70</v>
      </c>
      <c r="MS8" s="167"/>
      <c r="MT8" s="167"/>
      <c r="MU8" s="167"/>
      <c r="MV8" s="167"/>
      <c r="MW8" s="167"/>
      <c r="MX8" s="167"/>
      <c r="MY8" s="167"/>
      <c r="MZ8" s="167"/>
      <c r="NA8" s="167"/>
      <c r="NB8" s="167"/>
      <c r="NC8" s="167"/>
      <c r="ND8" s="167"/>
      <c r="NE8" s="167"/>
      <c r="NF8" s="167"/>
      <c r="NG8" s="167"/>
      <c r="NH8" s="167"/>
      <c r="NI8" s="167"/>
      <c r="NJ8" s="167"/>
      <c r="NK8" s="167"/>
      <c r="NL8" s="167"/>
      <c r="NM8" s="167"/>
      <c r="NN8" s="167"/>
      <c r="NO8" s="167"/>
      <c r="NP8" s="167"/>
      <c r="NQ8" s="167"/>
      <c r="NR8" s="167"/>
      <c r="NS8" s="167"/>
      <c r="NT8" s="167"/>
      <c r="NU8" s="167"/>
      <c r="NV8" s="167"/>
      <c r="NW8" s="167"/>
      <c r="NX8" s="168"/>
      <c r="NY8" s="177" t="s">
        <v>72</v>
      </c>
      <c r="NZ8" s="167"/>
      <c r="OA8" s="167"/>
      <c r="OB8" s="167"/>
      <c r="OC8" s="167"/>
      <c r="OD8" s="167"/>
      <c r="OE8" s="168"/>
      <c r="OF8" s="179" t="s">
        <v>73</v>
      </c>
      <c r="OG8" s="167"/>
      <c r="OH8" s="167"/>
      <c r="OI8" s="167"/>
      <c r="OJ8" s="167"/>
      <c r="OK8" s="167"/>
      <c r="OL8" s="167"/>
      <c r="OM8" s="167"/>
      <c r="ON8" s="167"/>
      <c r="OO8" s="167"/>
      <c r="OP8" s="167"/>
      <c r="OQ8" s="167"/>
      <c r="OR8" s="168"/>
      <c r="OS8" s="176" t="s">
        <v>75</v>
      </c>
      <c r="OT8" s="167"/>
      <c r="OU8" s="167"/>
      <c r="OV8" s="167"/>
      <c r="OW8" s="167"/>
      <c r="OX8" s="167"/>
      <c r="OY8" s="167"/>
      <c r="OZ8" s="167"/>
      <c r="PA8" s="168"/>
      <c r="RI8" s="171" t="s">
        <v>77</v>
      </c>
      <c r="RJ8" s="167"/>
      <c r="RK8" s="167"/>
      <c r="RL8" s="167"/>
      <c r="RM8" s="167"/>
      <c r="RN8" s="167"/>
      <c r="RO8" s="167"/>
      <c r="RP8" s="167"/>
      <c r="RQ8" s="167"/>
      <c r="RR8" s="167"/>
      <c r="RS8" s="167"/>
      <c r="RT8" s="167"/>
      <c r="RU8" s="168"/>
      <c r="RX8" s="172" t="s">
        <v>79</v>
      </c>
      <c r="RY8" s="167"/>
      <c r="RZ8" s="167"/>
      <c r="SA8" s="167"/>
      <c r="SB8" s="168"/>
      <c r="SC8" s="176" t="s">
        <v>80</v>
      </c>
      <c r="SD8" s="167"/>
      <c r="SE8" s="167"/>
      <c r="SF8" s="167"/>
      <c r="SG8" s="167"/>
      <c r="SH8" s="167"/>
      <c r="SI8" s="167"/>
      <c r="SJ8" s="167"/>
      <c r="SK8" s="167"/>
      <c r="SL8" s="167"/>
      <c r="SM8" s="167"/>
      <c r="SN8" s="167"/>
      <c r="SO8" s="167"/>
      <c r="SP8" s="167"/>
      <c r="SQ8" s="168"/>
      <c r="SR8" s="176" t="s">
        <v>81</v>
      </c>
      <c r="SS8" s="167"/>
      <c r="ST8" s="167"/>
      <c r="SU8" s="167"/>
      <c r="SV8" s="167"/>
      <c r="SW8" s="167"/>
      <c r="SX8" s="167"/>
      <c r="SY8" s="167"/>
      <c r="SZ8" s="167"/>
      <c r="TA8" s="167"/>
      <c r="TB8" s="167"/>
      <c r="TC8" s="167"/>
      <c r="TD8" s="167"/>
      <c r="TE8" s="167"/>
      <c r="TF8" s="168"/>
      <c r="TG8" s="176" t="s">
        <v>82</v>
      </c>
      <c r="TH8" s="167"/>
      <c r="TI8" s="167"/>
      <c r="TJ8" s="167"/>
      <c r="TK8" s="167"/>
      <c r="TL8" s="167"/>
      <c r="TM8" s="167"/>
      <c r="TN8" s="167"/>
      <c r="TO8" s="167"/>
      <c r="TP8" s="167"/>
      <c r="TQ8" s="167"/>
      <c r="TR8" s="167"/>
      <c r="TS8" s="167"/>
      <c r="TT8" s="167"/>
      <c r="TU8" s="168"/>
      <c r="TV8" s="176" t="s">
        <v>83</v>
      </c>
      <c r="TW8" s="167"/>
      <c r="TX8" s="167"/>
      <c r="TY8" s="167"/>
      <c r="TZ8" s="167"/>
      <c r="UA8" s="167"/>
      <c r="UB8" s="167"/>
      <c r="UC8" s="167"/>
      <c r="UD8" s="167"/>
      <c r="UE8" s="167"/>
      <c r="UF8" s="167"/>
      <c r="UG8" s="167"/>
      <c r="UH8" s="167"/>
      <c r="UI8" s="167"/>
      <c r="UJ8" s="168"/>
      <c r="UK8" s="176" t="s">
        <v>84</v>
      </c>
      <c r="UL8" s="167"/>
      <c r="UM8" s="167"/>
      <c r="UN8" s="167"/>
      <c r="UO8" s="167"/>
      <c r="UP8" s="167"/>
      <c r="UQ8" s="167"/>
      <c r="UR8" s="167"/>
      <c r="US8" s="167"/>
      <c r="UT8" s="167"/>
      <c r="UU8" s="167"/>
      <c r="UV8" s="167"/>
      <c r="UW8" s="167"/>
      <c r="UX8" s="167"/>
      <c r="UY8" s="168"/>
      <c r="UZ8" s="176" t="s">
        <v>85</v>
      </c>
      <c r="VA8" s="167"/>
      <c r="VB8" s="167"/>
      <c r="VC8" s="167"/>
      <c r="VD8" s="167"/>
      <c r="VE8" s="167"/>
      <c r="VF8" s="167"/>
      <c r="VG8" s="167"/>
      <c r="VH8" s="167"/>
      <c r="VI8" s="167"/>
      <c r="VJ8" s="167"/>
      <c r="VK8" s="167"/>
      <c r="VL8" s="167"/>
      <c r="VM8" s="167"/>
      <c r="VN8" s="168"/>
      <c r="VO8" s="176" t="s">
        <v>86</v>
      </c>
      <c r="VP8" s="167"/>
      <c r="VQ8" s="167"/>
      <c r="VR8" s="167"/>
      <c r="VS8" s="167"/>
      <c r="VT8" s="167"/>
      <c r="VU8" s="167"/>
      <c r="VV8" s="167"/>
      <c r="VW8" s="167"/>
      <c r="VX8" s="167"/>
      <c r="VY8" s="167"/>
      <c r="VZ8" s="167"/>
      <c r="WA8" s="167"/>
      <c r="WB8" s="167"/>
      <c r="WC8" s="168"/>
      <c r="WD8" s="176" t="s">
        <v>87</v>
      </c>
      <c r="WE8" s="167"/>
      <c r="WF8" s="167"/>
      <c r="WG8" s="167"/>
      <c r="WH8" s="167"/>
      <c r="WI8" s="167"/>
      <c r="WJ8" s="167"/>
      <c r="WK8" s="167"/>
      <c r="WL8" s="167"/>
      <c r="WM8" s="167"/>
      <c r="WN8" s="167"/>
      <c r="WO8" s="167"/>
      <c r="WP8" s="167"/>
      <c r="WQ8" s="167"/>
      <c r="WR8" s="168"/>
      <c r="WS8" s="166" t="s">
        <v>89</v>
      </c>
      <c r="WT8" s="167"/>
      <c r="WU8" s="167"/>
      <c r="WV8" s="167"/>
      <c r="WW8" s="167"/>
      <c r="WX8" s="167"/>
      <c r="WY8" s="167"/>
      <c r="WZ8" s="167"/>
      <c r="XA8" s="167"/>
      <c r="XB8" s="167"/>
      <c r="XC8" s="167"/>
      <c r="XD8" s="167"/>
      <c r="XE8" s="167"/>
      <c r="XF8" s="167"/>
      <c r="XG8" s="168"/>
    </row>
    <row r="9" spans="1:975" ht="17.399999999999999" x14ac:dyDescent="0.3">
      <c r="A9" s="85" t="s">
        <v>326</v>
      </c>
      <c r="B9" s="85" t="s">
        <v>327</v>
      </c>
      <c r="CR9" s="182" t="s">
        <v>92</v>
      </c>
      <c r="CS9" s="167"/>
      <c r="CT9" s="167"/>
      <c r="CU9" s="167"/>
      <c r="CV9" s="167"/>
      <c r="CW9" s="167"/>
      <c r="CX9" s="167"/>
      <c r="CY9" s="168"/>
      <c r="FR9" s="183" t="s">
        <v>94</v>
      </c>
      <c r="FS9" s="167"/>
      <c r="FT9" s="167"/>
      <c r="FU9" s="167"/>
      <c r="FV9" s="167"/>
      <c r="FW9" s="167"/>
      <c r="FX9" s="167"/>
      <c r="FY9" s="167"/>
      <c r="FZ9" s="167"/>
      <c r="GA9" s="167"/>
      <c r="GB9" s="167"/>
      <c r="GC9" s="167"/>
      <c r="GD9" s="167"/>
      <c r="GE9" s="167"/>
      <c r="GF9" s="167"/>
      <c r="GG9" s="167"/>
      <c r="GH9" s="167"/>
      <c r="GI9" s="167"/>
      <c r="GJ9" s="167"/>
      <c r="GK9" s="167"/>
      <c r="GL9" s="167"/>
      <c r="GM9" s="167"/>
      <c r="GN9" s="167"/>
      <c r="GO9" s="167"/>
      <c r="GP9" s="167"/>
      <c r="GQ9" s="167"/>
      <c r="GR9" s="167"/>
      <c r="GS9" s="167"/>
      <c r="GT9" s="167"/>
      <c r="GU9" s="167"/>
      <c r="GV9" s="167"/>
      <c r="GW9" s="167"/>
      <c r="GX9" s="167"/>
      <c r="GY9" s="167"/>
      <c r="GZ9" s="167"/>
      <c r="HA9" s="167"/>
      <c r="HB9" s="167"/>
      <c r="HC9" s="167"/>
      <c r="HD9" s="167"/>
      <c r="HE9" s="167"/>
      <c r="HF9" s="168"/>
      <c r="HO9" s="176" t="s">
        <v>95</v>
      </c>
      <c r="HP9" s="167"/>
      <c r="HQ9" s="167"/>
      <c r="HR9" s="167"/>
      <c r="HS9" s="167"/>
      <c r="HT9" s="167"/>
      <c r="HU9" s="167"/>
      <c r="HV9" s="167"/>
      <c r="HW9" s="167"/>
      <c r="HX9" s="167"/>
      <c r="HY9" s="167"/>
      <c r="HZ9" s="167"/>
      <c r="IA9" s="167"/>
      <c r="IB9" s="167"/>
      <c r="IC9" s="167"/>
      <c r="ID9" s="167"/>
      <c r="IE9" s="167"/>
      <c r="IF9" s="167"/>
      <c r="IG9" s="167"/>
      <c r="IH9" s="167"/>
      <c r="II9" s="167"/>
      <c r="IJ9" s="167"/>
      <c r="IK9" s="168"/>
      <c r="IL9" s="182" t="s">
        <v>97</v>
      </c>
      <c r="IM9" s="167"/>
      <c r="IN9" s="167"/>
      <c r="IO9" s="167"/>
      <c r="IP9" s="167"/>
      <c r="IQ9" s="167"/>
      <c r="IR9" s="168"/>
    </row>
    <row r="10" spans="1:975" ht="17.399999999999999" x14ac:dyDescent="0.3">
      <c r="A10" s="85" t="s">
        <v>328</v>
      </c>
      <c r="B10" s="85" t="s">
        <v>329</v>
      </c>
      <c r="BN10" s="171" t="s">
        <v>99</v>
      </c>
      <c r="BO10" s="167"/>
      <c r="BP10" s="168"/>
      <c r="BU10" s="171" t="s">
        <v>100</v>
      </c>
      <c r="BV10" s="167"/>
      <c r="BW10" s="167"/>
      <c r="BX10" s="167"/>
      <c r="BY10" s="167"/>
      <c r="BZ10" s="167"/>
      <c r="CA10" s="167"/>
      <c r="CB10" s="167"/>
      <c r="CC10" s="167"/>
      <c r="CD10" s="167"/>
      <c r="CE10" s="167"/>
      <c r="CF10" s="167"/>
      <c r="CG10" s="167"/>
      <c r="CH10" s="167"/>
      <c r="CI10" s="167"/>
      <c r="CJ10" s="167"/>
      <c r="CK10" s="167"/>
      <c r="CL10" s="167"/>
      <c r="CM10" s="167"/>
      <c r="CN10" s="167"/>
      <c r="CO10" s="167"/>
      <c r="CP10" s="167"/>
      <c r="CQ10" s="167"/>
      <c r="CR10" s="167"/>
      <c r="CS10" s="167"/>
      <c r="CT10" s="167"/>
      <c r="CU10" s="167"/>
      <c r="CV10" s="167"/>
      <c r="CW10" s="167"/>
      <c r="CX10" s="167"/>
      <c r="CY10" s="167"/>
      <c r="CZ10" s="167"/>
      <c r="DA10" s="167"/>
      <c r="DB10" s="167"/>
      <c r="DC10" s="167"/>
      <c r="DD10" s="167"/>
      <c r="DE10" s="167"/>
      <c r="DF10" s="167"/>
      <c r="DG10" s="167"/>
      <c r="DH10" s="167"/>
      <c r="DI10" s="167"/>
      <c r="DJ10" s="167"/>
      <c r="DK10" s="167"/>
      <c r="DL10" s="167"/>
      <c r="DM10" s="167"/>
      <c r="DN10" s="167"/>
      <c r="DO10" s="167"/>
      <c r="DP10" s="167"/>
      <c r="DQ10" s="167"/>
      <c r="DR10" s="168"/>
      <c r="DS10" s="180" t="s">
        <v>102</v>
      </c>
      <c r="DT10" s="167"/>
      <c r="DU10" s="167"/>
      <c r="DV10" s="167"/>
      <c r="DW10" s="167"/>
      <c r="DX10" s="167"/>
      <c r="DY10" s="167"/>
      <c r="DZ10" s="168"/>
      <c r="EB10" s="184" t="s">
        <v>104</v>
      </c>
      <c r="EC10" s="167"/>
      <c r="ED10" s="167"/>
      <c r="EE10" s="167"/>
      <c r="EF10" s="168"/>
      <c r="EM10" s="172" t="s">
        <v>105</v>
      </c>
      <c r="EN10" s="167"/>
      <c r="EO10" s="167"/>
      <c r="EP10" s="167"/>
      <c r="EQ10" s="168"/>
      <c r="FV10" s="174" t="s">
        <v>106</v>
      </c>
      <c r="FW10" s="167"/>
      <c r="FX10" s="167"/>
      <c r="FY10" s="167"/>
      <c r="FZ10" s="167"/>
      <c r="GA10" s="167"/>
      <c r="GB10" s="167"/>
      <c r="GC10" s="167"/>
      <c r="GD10" s="167"/>
      <c r="GE10" s="167"/>
      <c r="GF10" s="167"/>
      <c r="GG10" s="167"/>
      <c r="GH10" s="167"/>
      <c r="GI10" s="167"/>
      <c r="GJ10" s="167"/>
      <c r="GK10" s="167"/>
      <c r="GL10" s="168"/>
      <c r="GM10" s="170" t="s">
        <v>108</v>
      </c>
      <c r="GN10" s="167"/>
      <c r="GO10" s="167"/>
      <c r="GP10" s="167"/>
      <c r="GQ10" s="167"/>
      <c r="GR10" s="167"/>
      <c r="GS10" s="167"/>
      <c r="GT10" s="167"/>
      <c r="GU10" s="167"/>
      <c r="GV10" s="167"/>
      <c r="GW10" s="167"/>
      <c r="GX10" s="168"/>
      <c r="GY10" s="175" t="s">
        <v>110</v>
      </c>
      <c r="GZ10" s="167"/>
      <c r="HA10" s="167"/>
      <c r="HB10" s="167"/>
      <c r="HC10" s="167"/>
      <c r="HD10" s="167"/>
      <c r="HE10" s="167"/>
      <c r="HF10" s="168"/>
      <c r="HH10" s="178" t="s">
        <v>112</v>
      </c>
      <c r="HI10" s="168"/>
      <c r="HL10" s="181" t="s">
        <v>114</v>
      </c>
      <c r="HM10" s="167"/>
      <c r="HN10" s="167"/>
      <c r="HO10" s="167"/>
      <c r="HP10" s="168"/>
      <c r="HS10" s="170" t="s">
        <v>115</v>
      </c>
      <c r="HT10" s="167"/>
      <c r="HU10" s="167"/>
      <c r="HV10" s="168"/>
      <c r="HW10" s="170" t="s">
        <v>116</v>
      </c>
      <c r="HX10" s="167"/>
      <c r="HY10" s="167"/>
      <c r="HZ10" s="167"/>
      <c r="IA10" s="167"/>
      <c r="IB10" s="167"/>
      <c r="IC10" s="167"/>
      <c r="ID10" s="167"/>
      <c r="IE10" s="167"/>
      <c r="IF10" s="167"/>
      <c r="IG10" s="167"/>
      <c r="IH10" s="167"/>
      <c r="II10" s="167"/>
      <c r="IJ10" s="167"/>
      <c r="IK10" s="167"/>
      <c r="IL10" s="167"/>
      <c r="IM10" s="167"/>
      <c r="IN10" s="167"/>
      <c r="IO10" s="167"/>
      <c r="IP10" s="168"/>
      <c r="IR10" s="180" t="s">
        <v>117</v>
      </c>
      <c r="IS10" s="167"/>
      <c r="IT10" s="167"/>
      <c r="IU10" s="167"/>
      <c r="IV10" s="167"/>
      <c r="IW10" s="167"/>
      <c r="IX10" s="167"/>
      <c r="IY10" s="167"/>
      <c r="IZ10" s="167"/>
      <c r="JA10" s="167"/>
      <c r="JB10" s="168"/>
      <c r="JC10" s="185" t="s">
        <v>119</v>
      </c>
      <c r="JD10" s="167"/>
      <c r="JE10" s="168"/>
      <c r="JF10" s="178" t="s">
        <v>121</v>
      </c>
      <c r="JG10" s="167"/>
      <c r="JH10" s="167"/>
      <c r="JI10" s="167"/>
      <c r="JJ10" s="167"/>
      <c r="JK10" s="167"/>
      <c r="JL10" s="167"/>
      <c r="JM10" s="167"/>
      <c r="JN10" s="167"/>
      <c r="JO10" s="167"/>
      <c r="JP10" s="167"/>
      <c r="JQ10" s="168"/>
      <c r="JR10" s="178" t="s">
        <v>122</v>
      </c>
      <c r="JS10" s="167"/>
      <c r="JT10" s="167"/>
      <c r="JU10" s="167"/>
      <c r="JV10" s="167"/>
      <c r="JW10" s="167"/>
      <c r="JX10" s="167"/>
      <c r="JY10" s="167"/>
      <c r="JZ10" s="167"/>
      <c r="KA10" s="167"/>
      <c r="KB10" s="167"/>
      <c r="KC10" s="167"/>
      <c r="KD10" s="167"/>
      <c r="KE10" s="167"/>
      <c r="KF10" s="167"/>
      <c r="KG10" s="167"/>
      <c r="KH10" s="167"/>
      <c r="KI10" s="167"/>
      <c r="KJ10" s="167"/>
      <c r="KK10" s="167"/>
      <c r="KL10" s="167"/>
      <c r="KM10" s="167"/>
      <c r="KN10" s="167"/>
      <c r="KO10" s="167"/>
      <c r="KP10" s="167"/>
      <c r="KQ10" s="167"/>
      <c r="KR10" s="167"/>
      <c r="KS10" s="167"/>
      <c r="KT10" s="167"/>
      <c r="KU10" s="167"/>
      <c r="KV10" s="167"/>
      <c r="KW10" s="167"/>
      <c r="KX10" s="167"/>
      <c r="KY10" s="167"/>
      <c r="KZ10" s="167"/>
      <c r="LA10" s="167"/>
      <c r="LB10" s="167"/>
      <c r="LC10" s="167"/>
      <c r="LD10" s="167"/>
      <c r="LE10" s="167"/>
      <c r="LF10" s="167"/>
      <c r="LG10" s="167"/>
      <c r="LH10" s="167"/>
      <c r="LI10" s="167"/>
      <c r="LJ10" s="167"/>
      <c r="LK10" s="167"/>
      <c r="LL10" s="167"/>
      <c r="LM10" s="167"/>
      <c r="LN10" s="167"/>
      <c r="LO10" s="167"/>
      <c r="LP10" s="167"/>
      <c r="LQ10" s="167"/>
      <c r="LR10" s="167"/>
      <c r="LS10" s="167"/>
      <c r="LT10" s="167"/>
      <c r="LU10" s="168"/>
      <c r="LV10" s="174" t="s">
        <v>123</v>
      </c>
      <c r="LW10" s="168"/>
      <c r="LX10" s="171" t="s">
        <v>68</v>
      </c>
      <c r="LY10" s="167"/>
      <c r="LZ10" s="167"/>
      <c r="MA10" s="167"/>
      <c r="MB10" s="167"/>
      <c r="MC10" s="168"/>
      <c r="MD10" s="179" t="s">
        <v>124</v>
      </c>
      <c r="ME10" s="167"/>
      <c r="MF10" s="167"/>
      <c r="MG10" s="167"/>
      <c r="MH10" s="167"/>
      <c r="MI10" s="167"/>
      <c r="MJ10" s="167"/>
      <c r="MK10" s="167"/>
      <c r="ML10" s="167"/>
      <c r="MM10" s="167"/>
      <c r="MN10" s="167"/>
      <c r="MO10" s="167"/>
      <c r="MP10" s="167"/>
      <c r="MQ10" s="167"/>
      <c r="MR10" s="167"/>
      <c r="MS10" s="167"/>
      <c r="MT10" s="167"/>
      <c r="MU10" s="167"/>
      <c r="MV10" s="167"/>
      <c r="MW10" s="167"/>
      <c r="MX10" s="167"/>
      <c r="MY10" s="167"/>
      <c r="MZ10" s="167"/>
      <c r="NA10" s="167"/>
      <c r="NB10" s="167"/>
      <c r="NC10" s="167"/>
      <c r="ND10" s="167"/>
      <c r="NE10" s="167"/>
      <c r="NF10" s="167"/>
      <c r="NG10" s="167"/>
      <c r="NH10" s="167"/>
      <c r="NI10" s="167"/>
      <c r="NJ10" s="167"/>
      <c r="NK10" s="167"/>
      <c r="NL10" s="167"/>
      <c r="NM10" s="167"/>
      <c r="NN10" s="167"/>
      <c r="NO10" s="167"/>
      <c r="NP10" s="167"/>
      <c r="NQ10" s="167"/>
      <c r="NR10" s="167"/>
      <c r="NS10" s="167"/>
      <c r="NT10" s="167"/>
      <c r="NU10" s="167"/>
      <c r="NV10" s="167"/>
      <c r="NW10" s="167"/>
      <c r="NX10" s="168"/>
      <c r="NY10" s="177" t="s">
        <v>72</v>
      </c>
      <c r="NZ10" s="167"/>
      <c r="OA10" s="167"/>
      <c r="OB10" s="167"/>
      <c r="OC10" s="167"/>
      <c r="OD10" s="167"/>
      <c r="OE10" s="168"/>
      <c r="OF10" s="179" t="s">
        <v>125</v>
      </c>
      <c r="OG10" s="167"/>
      <c r="OH10" s="167"/>
      <c r="OI10" s="167"/>
      <c r="OJ10" s="167"/>
      <c r="OK10" s="167"/>
      <c r="OL10" s="168"/>
      <c r="OT10" s="174" t="s">
        <v>126</v>
      </c>
      <c r="OU10" s="168"/>
      <c r="OV10" s="178" t="s">
        <v>127</v>
      </c>
      <c r="OW10" s="168"/>
      <c r="OZ10" s="178" t="s">
        <v>128</v>
      </c>
      <c r="PA10" s="168"/>
      <c r="PB10" s="177" t="s">
        <v>129</v>
      </c>
      <c r="PC10" s="167"/>
      <c r="PD10" s="167"/>
      <c r="PE10" s="167"/>
      <c r="PF10" s="167"/>
      <c r="PG10" s="167"/>
      <c r="PH10" s="167"/>
      <c r="PI10" s="167"/>
      <c r="PJ10" s="167"/>
      <c r="PK10" s="167"/>
      <c r="PL10" s="167"/>
      <c r="PM10" s="167"/>
      <c r="PN10" s="168"/>
      <c r="PO10" s="178" t="s">
        <v>130</v>
      </c>
      <c r="PP10" s="168"/>
      <c r="PQ10" s="178" t="s">
        <v>131</v>
      </c>
      <c r="PR10" s="167"/>
      <c r="PS10" s="167"/>
      <c r="PT10" s="167"/>
      <c r="PU10" s="167"/>
      <c r="PV10" s="167"/>
      <c r="PW10" s="167"/>
      <c r="PX10" s="167"/>
      <c r="PY10" s="167"/>
      <c r="PZ10" s="167"/>
      <c r="QA10" s="167"/>
      <c r="QB10" s="167"/>
      <c r="QC10" s="167"/>
      <c r="QD10" s="167"/>
      <c r="QE10" s="168"/>
      <c r="QF10" s="180" t="s">
        <v>132</v>
      </c>
      <c r="QG10" s="167"/>
      <c r="QH10" s="167"/>
      <c r="QI10" s="167"/>
      <c r="QJ10" s="167"/>
      <c r="QK10" s="167"/>
      <c r="QL10" s="167"/>
      <c r="QM10" s="168"/>
      <c r="QP10" s="170" t="s">
        <v>133</v>
      </c>
      <c r="QQ10" s="167"/>
      <c r="QR10" s="167"/>
      <c r="QS10" s="167"/>
      <c r="QT10" s="167"/>
      <c r="QU10" s="167"/>
      <c r="QV10" s="167"/>
      <c r="QW10" s="168"/>
      <c r="QX10" s="174" t="s">
        <v>134</v>
      </c>
      <c r="QY10" s="167"/>
      <c r="QZ10" s="167"/>
      <c r="RA10" s="167"/>
      <c r="RB10" s="167"/>
      <c r="RC10" s="167"/>
      <c r="RD10" s="167"/>
      <c r="RE10" s="167"/>
      <c r="RF10" s="167"/>
      <c r="RG10" s="167"/>
      <c r="RH10" s="167"/>
      <c r="RI10" s="167"/>
      <c r="RJ10" s="167"/>
      <c r="RK10" s="167"/>
      <c r="RL10" s="167"/>
      <c r="RM10" s="167"/>
      <c r="RN10" s="168"/>
      <c r="RS10" s="178" t="s">
        <v>135</v>
      </c>
      <c r="RT10" s="167"/>
      <c r="RU10" s="167"/>
      <c r="RV10" s="168"/>
      <c r="SB10" s="179" t="s">
        <v>136</v>
      </c>
      <c r="SC10" s="167"/>
      <c r="SD10" s="167"/>
      <c r="SE10" s="167"/>
      <c r="SF10" s="167"/>
      <c r="SG10" s="167"/>
      <c r="SH10" s="167"/>
      <c r="SI10" s="167"/>
      <c r="SJ10" s="167"/>
      <c r="SK10" s="167"/>
      <c r="SL10" s="167"/>
      <c r="SM10" s="167"/>
      <c r="SN10" s="167"/>
      <c r="SO10" s="167"/>
      <c r="SP10" s="167"/>
      <c r="SQ10" s="167"/>
      <c r="SR10" s="167"/>
      <c r="SS10" s="167"/>
      <c r="ST10" s="167"/>
      <c r="SU10" s="167"/>
      <c r="SV10" s="167"/>
      <c r="SW10" s="167"/>
      <c r="SX10" s="167"/>
      <c r="SY10" s="167"/>
      <c r="SZ10" s="167"/>
      <c r="TA10" s="167"/>
      <c r="TB10" s="167"/>
      <c r="TC10" s="167"/>
      <c r="TD10" s="167"/>
      <c r="TE10" s="167"/>
      <c r="TF10" s="167"/>
      <c r="TG10" s="167"/>
      <c r="TH10" s="167"/>
      <c r="TI10" s="167"/>
      <c r="TJ10" s="167"/>
      <c r="TK10" s="167"/>
      <c r="TL10" s="167"/>
      <c r="TM10" s="167"/>
      <c r="TN10" s="167"/>
      <c r="TO10" s="167"/>
      <c r="TP10" s="167"/>
      <c r="TQ10" s="167"/>
      <c r="TR10" s="167"/>
      <c r="TS10" s="167"/>
      <c r="TT10" s="167"/>
      <c r="TU10" s="167"/>
      <c r="TV10" s="167"/>
      <c r="TW10" s="167"/>
      <c r="TX10" s="167"/>
      <c r="TY10" s="168"/>
      <c r="UF10" s="180" t="s">
        <v>137</v>
      </c>
      <c r="UG10" s="167"/>
      <c r="UH10" s="167"/>
      <c r="UI10" s="167"/>
      <c r="UJ10" s="167"/>
      <c r="UK10" s="167"/>
      <c r="UL10" s="167"/>
      <c r="UM10" s="167"/>
      <c r="UN10" s="167"/>
      <c r="UO10" s="167"/>
      <c r="UP10" s="167"/>
      <c r="UQ10" s="167"/>
      <c r="UR10" s="167"/>
      <c r="US10" s="167"/>
      <c r="UT10" s="167"/>
      <c r="UU10" s="167"/>
      <c r="UV10" s="167"/>
      <c r="UW10" s="167"/>
      <c r="UX10" s="167"/>
      <c r="UY10" s="168"/>
    </row>
    <row r="11" spans="1:975" ht="17.399999999999999" x14ac:dyDescent="0.3">
      <c r="A11" s="85" t="s">
        <v>330</v>
      </c>
      <c r="B11" s="85" t="s">
        <v>331</v>
      </c>
      <c r="AD11" s="171" t="s">
        <v>139</v>
      </c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7"/>
      <c r="BD11" s="167"/>
      <c r="BE11" s="167"/>
      <c r="BF11" s="168"/>
      <c r="CF11" s="177" t="s">
        <v>140</v>
      </c>
      <c r="CG11" s="167"/>
      <c r="CH11" s="167"/>
      <c r="CI11" s="167"/>
      <c r="CJ11" s="167"/>
      <c r="CK11" s="167"/>
      <c r="CL11" s="167"/>
      <c r="CM11" s="168"/>
      <c r="CY11" s="170" t="s">
        <v>141</v>
      </c>
      <c r="CZ11" s="167"/>
      <c r="DA11" s="167"/>
      <c r="DB11" s="167"/>
      <c r="DC11" s="167"/>
      <c r="DD11" s="167"/>
      <c r="DE11" s="167"/>
      <c r="DF11" s="167"/>
      <c r="DG11" s="167"/>
      <c r="DH11" s="167"/>
      <c r="DI11" s="167"/>
      <c r="DJ11" s="167"/>
      <c r="DK11" s="167"/>
      <c r="DL11" s="168"/>
      <c r="DM11" s="172" t="s">
        <v>105</v>
      </c>
      <c r="DN11" s="167"/>
      <c r="DO11" s="167"/>
      <c r="DP11" s="167"/>
      <c r="DQ11" s="167"/>
      <c r="DR11" s="167"/>
      <c r="DS11" s="167"/>
      <c r="DT11" s="167"/>
      <c r="DU11" s="167"/>
      <c r="DV11" s="167"/>
      <c r="DW11" s="167"/>
      <c r="DX11" s="167"/>
      <c r="DY11" s="167"/>
      <c r="DZ11" s="168"/>
      <c r="EA11" s="175" t="s">
        <v>142</v>
      </c>
      <c r="EB11" s="168"/>
      <c r="EI11" s="181" t="s">
        <v>143</v>
      </c>
      <c r="EJ11" s="167"/>
      <c r="EK11" s="167"/>
      <c r="EL11" s="167"/>
      <c r="EM11" s="167"/>
      <c r="EN11" s="167"/>
      <c r="EO11" s="167"/>
      <c r="EP11" s="167"/>
      <c r="EQ11" s="167"/>
      <c r="ER11" s="167"/>
      <c r="ES11" s="167"/>
      <c r="ET11" s="167"/>
      <c r="EU11" s="167"/>
      <c r="EV11" s="168"/>
      <c r="EW11" s="175" t="s">
        <v>144</v>
      </c>
      <c r="EX11" s="167"/>
      <c r="EY11" s="167"/>
      <c r="EZ11" s="167"/>
      <c r="FA11" s="167"/>
      <c r="FB11" s="167"/>
      <c r="FC11" s="167"/>
      <c r="FD11" s="167"/>
      <c r="FE11" s="167"/>
      <c r="FF11" s="167"/>
      <c r="FG11" s="167"/>
      <c r="FH11" s="167"/>
      <c r="FI11" s="167"/>
      <c r="FJ11" s="168"/>
      <c r="FK11" s="174" t="s">
        <v>145</v>
      </c>
      <c r="FL11" s="167"/>
      <c r="FM11" s="167"/>
      <c r="FN11" s="167"/>
      <c r="FO11" s="167"/>
      <c r="FP11" s="168"/>
      <c r="FQ11" s="180" t="s">
        <v>117</v>
      </c>
      <c r="FR11" s="167"/>
      <c r="FS11" s="167"/>
      <c r="FT11" s="167"/>
      <c r="FU11" s="167"/>
      <c r="FV11" s="167"/>
      <c r="FW11" s="167"/>
      <c r="FX11" s="168"/>
      <c r="FY11" s="178" t="s">
        <v>146</v>
      </c>
      <c r="FZ11" s="167"/>
      <c r="GA11" s="167"/>
      <c r="GB11" s="167"/>
      <c r="GC11" s="167"/>
      <c r="GD11" s="167"/>
      <c r="GE11" s="167"/>
      <c r="GF11" s="167"/>
      <c r="GG11" s="167"/>
      <c r="GH11" s="167"/>
      <c r="GI11" s="167"/>
      <c r="GJ11" s="167"/>
      <c r="GK11" s="167"/>
      <c r="GL11" s="168"/>
      <c r="GM11" s="87" t="s">
        <v>148</v>
      </c>
      <c r="GN11" s="169" t="s">
        <v>150</v>
      </c>
      <c r="GO11" s="167"/>
      <c r="GP11" s="167"/>
      <c r="GQ11" s="167"/>
      <c r="GR11" s="167"/>
      <c r="GS11" s="167"/>
      <c r="GT11" s="167"/>
      <c r="GU11" s="167"/>
      <c r="GV11" s="167"/>
      <c r="GW11" s="167"/>
      <c r="GX11" s="167"/>
      <c r="GY11" s="167"/>
      <c r="GZ11" s="167"/>
      <c r="HA11" s="167"/>
      <c r="HB11" s="167"/>
      <c r="HC11" s="167"/>
      <c r="HD11" s="167"/>
      <c r="HE11" s="167"/>
      <c r="HF11" s="167"/>
      <c r="HG11" s="167"/>
      <c r="HH11" s="167"/>
      <c r="HI11" s="168"/>
      <c r="HL11" s="169" t="s">
        <v>151</v>
      </c>
      <c r="HM11" s="167"/>
      <c r="HN11" s="167"/>
      <c r="HO11" s="167"/>
      <c r="HP11" s="167"/>
      <c r="HQ11" s="167"/>
      <c r="HR11" s="167"/>
      <c r="HS11" s="167"/>
      <c r="HT11" s="167"/>
      <c r="HU11" s="167"/>
      <c r="HV11" s="167"/>
      <c r="HW11" s="167"/>
      <c r="HX11" s="167"/>
      <c r="HY11" s="167"/>
      <c r="HZ11" s="167"/>
      <c r="IA11" s="167"/>
      <c r="IB11" s="167"/>
      <c r="IC11" s="167"/>
      <c r="ID11" s="167"/>
      <c r="IE11" s="167"/>
      <c r="IF11" s="167"/>
      <c r="IG11" s="168"/>
      <c r="IH11" s="169" t="s">
        <v>152</v>
      </c>
      <c r="II11" s="167"/>
      <c r="IJ11" s="167"/>
      <c r="IK11" s="167"/>
      <c r="IL11" s="167"/>
      <c r="IM11" s="167"/>
      <c r="IN11" s="167"/>
      <c r="IO11" s="167"/>
      <c r="IP11" s="167"/>
      <c r="IQ11" s="167"/>
      <c r="IR11" s="167"/>
      <c r="IS11" s="167"/>
      <c r="IT11" s="167"/>
      <c r="IU11" s="167"/>
      <c r="IV11" s="167"/>
      <c r="IW11" s="167"/>
      <c r="IX11" s="167"/>
      <c r="IY11" s="167"/>
      <c r="IZ11" s="167"/>
      <c r="JA11" s="167"/>
      <c r="JB11" s="167"/>
      <c r="JC11" s="168"/>
      <c r="LX11" s="174" t="s">
        <v>153</v>
      </c>
      <c r="LY11" s="167"/>
      <c r="LZ11" s="167"/>
      <c r="MA11" s="168"/>
      <c r="PK11" s="174" t="s">
        <v>154</v>
      </c>
      <c r="PL11" s="167"/>
      <c r="PM11" s="167"/>
      <c r="PN11" s="168"/>
      <c r="PU11" s="171" t="s">
        <v>155</v>
      </c>
      <c r="PV11" s="167"/>
      <c r="PW11" s="167"/>
      <c r="PX11" s="167"/>
      <c r="PY11" s="167"/>
      <c r="PZ11" s="167"/>
      <c r="QA11" s="167"/>
      <c r="QB11" s="167"/>
      <c r="QC11" s="167"/>
      <c r="QD11" s="168"/>
      <c r="QE11" s="172" t="s">
        <v>156</v>
      </c>
      <c r="QF11" s="167"/>
      <c r="QG11" s="167"/>
      <c r="QH11" s="167"/>
      <c r="QI11" s="167"/>
      <c r="QJ11" s="168"/>
      <c r="QK11" s="176" t="s">
        <v>157</v>
      </c>
      <c r="QL11" s="167"/>
      <c r="QM11" s="167"/>
      <c r="QN11" s="167"/>
      <c r="QO11" s="167"/>
      <c r="QP11" s="167"/>
      <c r="QQ11" s="167"/>
      <c r="QR11" s="167"/>
      <c r="QS11" s="167"/>
      <c r="QT11" s="167"/>
      <c r="QU11" s="167"/>
      <c r="QV11" s="167"/>
      <c r="QW11" s="167"/>
      <c r="QX11" s="167"/>
      <c r="QY11" s="167"/>
      <c r="QZ11" s="167"/>
      <c r="RA11" s="167"/>
      <c r="RB11" s="167"/>
      <c r="RC11" s="167"/>
      <c r="RD11" s="167"/>
      <c r="RE11" s="167"/>
      <c r="RF11" s="167"/>
      <c r="RG11" s="167"/>
      <c r="RH11" s="167"/>
      <c r="RI11" s="167"/>
      <c r="RJ11" s="167"/>
      <c r="RK11" s="167"/>
      <c r="RL11" s="167"/>
      <c r="RM11" s="167"/>
      <c r="RN11" s="167"/>
      <c r="RO11" s="167"/>
      <c r="RP11" s="167"/>
      <c r="RQ11" s="167"/>
      <c r="RR11" s="168"/>
      <c r="RS11" s="166" t="s">
        <v>158</v>
      </c>
      <c r="RT11" s="167"/>
      <c r="RU11" s="167"/>
      <c r="RV11" s="168"/>
      <c r="RY11" s="176" t="s">
        <v>159</v>
      </c>
      <c r="RZ11" s="167"/>
      <c r="SA11" s="167"/>
      <c r="SB11" s="167"/>
      <c r="SC11" s="167"/>
      <c r="SD11" s="167"/>
      <c r="SE11" s="167"/>
      <c r="SF11" s="167"/>
      <c r="SG11" s="167"/>
      <c r="SH11" s="167"/>
      <c r="SI11" s="167"/>
      <c r="SJ11" s="167"/>
      <c r="SK11" s="167"/>
      <c r="SL11" s="167"/>
      <c r="SM11" s="167"/>
      <c r="SN11" s="167"/>
      <c r="SO11" s="167"/>
      <c r="SP11" s="167"/>
      <c r="SQ11" s="167"/>
      <c r="SR11" s="167"/>
      <c r="SS11" s="167"/>
      <c r="ST11" s="167"/>
      <c r="SU11" s="167"/>
      <c r="SV11" s="167"/>
      <c r="SW11" s="167"/>
      <c r="SX11" s="167"/>
      <c r="SY11" s="167"/>
      <c r="SZ11" s="167"/>
      <c r="TA11" s="167"/>
      <c r="TB11" s="167"/>
      <c r="TC11" s="167"/>
      <c r="TD11" s="168"/>
      <c r="TE11" s="166" t="s">
        <v>158</v>
      </c>
      <c r="TF11" s="167"/>
      <c r="TG11" s="167"/>
      <c r="TH11" s="167"/>
      <c r="TI11" s="167"/>
      <c r="TJ11" s="168"/>
      <c r="TK11" s="176" t="s">
        <v>160</v>
      </c>
      <c r="TL11" s="167"/>
      <c r="TM11" s="167"/>
      <c r="TN11" s="167"/>
      <c r="TO11" s="167"/>
      <c r="TP11" s="167"/>
      <c r="TQ11" s="167"/>
      <c r="TR11" s="167"/>
      <c r="TS11" s="167"/>
      <c r="TT11" s="167"/>
      <c r="TU11" s="167"/>
      <c r="TV11" s="167"/>
      <c r="TW11" s="167"/>
      <c r="TX11" s="167"/>
      <c r="TY11" s="167"/>
      <c r="TZ11" s="167"/>
      <c r="UA11" s="167"/>
      <c r="UB11" s="167"/>
      <c r="UC11" s="167"/>
      <c r="UD11" s="167"/>
      <c r="UE11" s="167"/>
      <c r="UF11" s="167"/>
      <c r="UG11" s="167"/>
      <c r="UH11" s="167"/>
      <c r="UI11" s="167"/>
      <c r="UJ11" s="167"/>
      <c r="UK11" s="167"/>
      <c r="UL11" s="167"/>
      <c r="UM11" s="167"/>
      <c r="UN11" s="167"/>
      <c r="UO11" s="167"/>
      <c r="UP11" s="167"/>
      <c r="UQ11" s="167"/>
      <c r="UR11" s="168"/>
      <c r="US11" s="166" t="s">
        <v>158</v>
      </c>
      <c r="UT11" s="167"/>
      <c r="UU11" s="167"/>
      <c r="UV11" s="167"/>
      <c r="UW11" s="167"/>
      <c r="UX11" s="168"/>
      <c r="UY11" s="176" t="s">
        <v>161</v>
      </c>
      <c r="UZ11" s="167"/>
      <c r="VA11" s="167"/>
      <c r="VB11" s="167"/>
      <c r="VC11" s="167"/>
      <c r="VD11" s="167"/>
      <c r="VE11" s="167"/>
      <c r="VF11" s="167"/>
      <c r="VG11" s="167"/>
      <c r="VH11" s="167"/>
      <c r="VI11" s="167"/>
      <c r="VJ11" s="167"/>
      <c r="VK11" s="167"/>
      <c r="VL11" s="167"/>
      <c r="VM11" s="167"/>
      <c r="VN11" s="167"/>
      <c r="VO11" s="167"/>
      <c r="VP11" s="167"/>
      <c r="VQ11" s="167"/>
      <c r="VR11" s="167"/>
      <c r="VS11" s="167"/>
      <c r="VT11" s="167"/>
      <c r="VU11" s="167"/>
      <c r="VV11" s="167"/>
      <c r="VW11" s="167"/>
      <c r="VX11" s="167"/>
      <c r="VY11" s="167"/>
      <c r="VZ11" s="167"/>
      <c r="WA11" s="167"/>
      <c r="WB11" s="167"/>
      <c r="WC11" s="167"/>
      <c r="WD11" s="168"/>
      <c r="WG11" s="166" t="s">
        <v>158</v>
      </c>
      <c r="WH11" s="167"/>
      <c r="WI11" s="167"/>
      <c r="WJ11" s="168"/>
    </row>
    <row r="12" spans="1:975" ht="17.399999999999999" x14ac:dyDescent="0.3">
      <c r="A12" s="85" t="s">
        <v>332</v>
      </c>
      <c r="B12" s="85" t="s">
        <v>333</v>
      </c>
      <c r="QP12" s="171" t="s">
        <v>76</v>
      </c>
      <c r="QQ12" s="167"/>
      <c r="QR12" s="167"/>
      <c r="QS12" s="167"/>
      <c r="QT12" s="167"/>
      <c r="QU12" s="167"/>
      <c r="QV12" s="167"/>
      <c r="QW12" s="167"/>
      <c r="QX12" s="167"/>
      <c r="QY12" s="168"/>
      <c r="QZ12" s="177" t="s">
        <v>140</v>
      </c>
      <c r="RA12" s="167"/>
      <c r="RB12" s="167"/>
      <c r="RC12" s="167"/>
      <c r="RD12" s="167"/>
      <c r="RE12" s="167"/>
      <c r="RF12" s="167"/>
      <c r="RG12" s="168"/>
      <c r="RH12" s="171" t="s">
        <v>76</v>
      </c>
      <c r="RI12" s="167"/>
      <c r="RJ12" s="167"/>
      <c r="RK12" s="167"/>
      <c r="RL12" s="167"/>
      <c r="RM12" s="167"/>
      <c r="RN12" s="167"/>
      <c r="RO12" s="167"/>
      <c r="RP12" s="167"/>
      <c r="RQ12" s="167"/>
      <c r="RR12" s="167"/>
      <c r="RS12" s="167"/>
      <c r="RT12" s="167"/>
      <c r="RU12" s="167"/>
      <c r="RV12" s="168"/>
      <c r="SA12" s="171" t="s">
        <v>103</v>
      </c>
      <c r="SB12" s="167"/>
      <c r="SC12" s="167"/>
      <c r="SD12" s="167"/>
      <c r="SE12" s="167"/>
      <c r="SF12" s="167"/>
      <c r="SG12" s="167"/>
      <c r="SH12" s="167"/>
      <c r="SI12" s="167"/>
      <c r="SJ12" s="167"/>
      <c r="SK12" s="167"/>
      <c r="SL12" s="167"/>
      <c r="SM12" s="167"/>
      <c r="SN12" s="167"/>
      <c r="SO12" s="167"/>
      <c r="SP12" s="167"/>
      <c r="SQ12" s="167"/>
      <c r="SR12" s="167"/>
      <c r="SS12" s="167"/>
      <c r="ST12" s="167"/>
      <c r="SU12" s="167"/>
      <c r="SV12" s="167"/>
      <c r="SW12" s="167"/>
      <c r="SX12" s="167"/>
      <c r="SY12" s="167"/>
      <c r="SZ12" s="167"/>
      <c r="TA12" s="167"/>
      <c r="TB12" s="167"/>
      <c r="TC12" s="167"/>
      <c r="TD12" s="167"/>
      <c r="TE12" s="167"/>
      <c r="TF12" s="167"/>
      <c r="TG12" s="167"/>
      <c r="TH12" s="167"/>
      <c r="TI12" s="167"/>
      <c r="TJ12" s="167"/>
      <c r="TK12" s="167"/>
      <c r="TL12" s="167"/>
      <c r="TM12" s="167"/>
      <c r="TN12" s="167"/>
      <c r="TO12" s="167"/>
      <c r="TP12" s="167"/>
      <c r="TQ12" s="167"/>
      <c r="TR12" s="167"/>
      <c r="TS12" s="167"/>
      <c r="TT12" s="167"/>
      <c r="TU12" s="167"/>
      <c r="TV12" s="167"/>
      <c r="TW12" s="167"/>
      <c r="TX12" s="167"/>
      <c r="TY12" s="168"/>
      <c r="UY12" s="172" t="s">
        <v>105</v>
      </c>
      <c r="UZ12" s="167"/>
      <c r="VA12" s="167"/>
      <c r="VB12" s="167"/>
      <c r="VC12" s="167"/>
      <c r="VD12" s="167"/>
      <c r="VE12" s="168"/>
      <c r="VF12" s="174" t="s">
        <v>163</v>
      </c>
      <c r="VG12" s="168"/>
      <c r="VH12" s="178" t="s">
        <v>112</v>
      </c>
      <c r="VI12" s="168"/>
      <c r="VL12" s="170" t="s">
        <v>164</v>
      </c>
      <c r="VM12" s="167"/>
      <c r="VN12" s="167"/>
      <c r="VO12" s="168"/>
      <c r="VP12" s="176" t="s">
        <v>165</v>
      </c>
      <c r="VQ12" s="167"/>
      <c r="VR12" s="167"/>
      <c r="VS12" s="167"/>
      <c r="VT12" s="167"/>
      <c r="VU12" s="167"/>
      <c r="VV12" s="168"/>
      <c r="VW12" s="175" t="s">
        <v>166</v>
      </c>
      <c r="VX12" s="167"/>
      <c r="VY12" s="167"/>
      <c r="VZ12" s="168"/>
      <c r="XT12" s="176" t="s">
        <v>80</v>
      </c>
      <c r="XU12" s="167"/>
      <c r="XV12" s="167"/>
      <c r="XW12" s="167"/>
      <c r="XX12" s="167"/>
      <c r="XY12" s="167"/>
      <c r="XZ12" s="167"/>
      <c r="YA12" s="167"/>
      <c r="YB12" s="167"/>
      <c r="YC12" s="167"/>
      <c r="YD12" s="167"/>
      <c r="YE12" s="167"/>
      <c r="YF12" s="167"/>
      <c r="YG12" s="167"/>
      <c r="YH12" s="168"/>
      <c r="YI12" s="176" t="s">
        <v>81</v>
      </c>
      <c r="YJ12" s="167"/>
      <c r="YK12" s="167"/>
      <c r="YL12" s="167"/>
      <c r="YM12" s="167"/>
      <c r="YN12" s="167"/>
      <c r="YO12" s="167"/>
      <c r="YP12" s="167"/>
      <c r="YQ12" s="167"/>
      <c r="YR12" s="167"/>
      <c r="YS12" s="167"/>
      <c r="YT12" s="167"/>
      <c r="YU12" s="167"/>
      <c r="YV12" s="167"/>
      <c r="YW12" s="168"/>
      <c r="YX12" s="176" t="s">
        <v>82</v>
      </c>
      <c r="YY12" s="167"/>
      <c r="YZ12" s="167"/>
      <c r="ZA12" s="167"/>
      <c r="ZB12" s="167"/>
      <c r="ZC12" s="167"/>
      <c r="ZD12" s="167"/>
      <c r="ZE12" s="167"/>
      <c r="ZF12" s="167"/>
      <c r="ZG12" s="167"/>
      <c r="ZH12" s="167"/>
      <c r="ZI12" s="167"/>
      <c r="ZJ12" s="167"/>
      <c r="ZK12" s="167"/>
      <c r="ZL12" s="168"/>
      <c r="ZM12" s="176" t="s">
        <v>83</v>
      </c>
      <c r="ZN12" s="167"/>
      <c r="ZO12" s="167"/>
      <c r="ZP12" s="167"/>
      <c r="ZQ12" s="167"/>
      <c r="ZR12" s="167"/>
      <c r="ZS12" s="167"/>
      <c r="ZT12" s="167"/>
      <c r="ZU12" s="167"/>
      <c r="ZV12" s="167"/>
      <c r="ZW12" s="167"/>
      <c r="ZX12" s="167"/>
      <c r="ZY12" s="167"/>
      <c r="ZZ12" s="167"/>
      <c r="AAA12" s="168"/>
      <c r="AAB12" s="176" t="s">
        <v>84</v>
      </c>
      <c r="AAC12" s="167"/>
      <c r="AAD12" s="167"/>
      <c r="AAE12" s="167"/>
      <c r="AAF12" s="167"/>
      <c r="AAG12" s="167"/>
      <c r="AAH12" s="167"/>
      <c r="AAI12" s="167"/>
      <c r="AAJ12" s="167"/>
      <c r="AAK12" s="167"/>
      <c r="AAL12" s="167"/>
      <c r="AAM12" s="167"/>
      <c r="AAN12" s="167"/>
      <c r="AAO12" s="167"/>
      <c r="AAP12" s="168"/>
      <c r="AAQ12" s="176" t="s">
        <v>85</v>
      </c>
      <c r="AAR12" s="167"/>
      <c r="AAS12" s="167"/>
      <c r="AAT12" s="167"/>
      <c r="AAU12" s="167"/>
      <c r="AAV12" s="167"/>
      <c r="AAW12" s="167"/>
      <c r="AAX12" s="167"/>
      <c r="AAY12" s="167"/>
      <c r="AAZ12" s="167"/>
      <c r="ABA12" s="167"/>
      <c r="ABB12" s="167"/>
      <c r="ABC12" s="167"/>
      <c r="ABD12" s="167"/>
      <c r="ABE12" s="168"/>
      <c r="ABF12" s="176" t="s">
        <v>86</v>
      </c>
      <c r="ABG12" s="167"/>
      <c r="ABH12" s="167"/>
      <c r="ABI12" s="167"/>
      <c r="ABJ12" s="167"/>
      <c r="ABK12" s="167"/>
      <c r="ABL12" s="167"/>
      <c r="ABM12" s="167"/>
      <c r="ABN12" s="167"/>
      <c r="ABO12" s="167"/>
      <c r="ABP12" s="167"/>
      <c r="ABQ12" s="167"/>
      <c r="ABR12" s="167"/>
      <c r="ABS12" s="167"/>
      <c r="ABT12" s="168"/>
      <c r="ABU12" s="176" t="s">
        <v>87</v>
      </c>
      <c r="ABV12" s="167"/>
      <c r="ABW12" s="167"/>
      <c r="ABX12" s="167"/>
      <c r="ABY12" s="167"/>
      <c r="ABZ12" s="167"/>
      <c r="ACA12" s="167"/>
      <c r="ACB12" s="167"/>
      <c r="ACC12" s="167"/>
      <c r="ACD12" s="167"/>
      <c r="ACE12" s="167"/>
      <c r="ACF12" s="167"/>
      <c r="ACG12" s="167"/>
      <c r="ACH12" s="167"/>
      <c r="ACI12" s="168"/>
      <c r="ACJ12" s="166" t="s">
        <v>89</v>
      </c>
      <c r="ACK12" s="167"/>
      <c r="ACL12" s="167"/>
      <c r="ACM12" s="167"/>
      <c r="ACN12" s="167"/>
      <c r="ACO12" s="167"/>
      <c r="ACP12" s="167"/>
      <c r="ACQ12" s="167"/>
      <c r="ACR12" s="167"/>
      <c r="ACS12" s="167"/>
      <c r="ACT12" s="167"/>
      <c r="ACU12" s="167"/>
      <c r="ACV12" s="167"/>
      <c r="ACW12" s="167"/>
      <c r="ACX12" s="167"/>
      <c r="ACY12" s="168"/>
      <c r="ACZ12" s="170" t="s">
        <v>167</v>
      </c>
      <c r="ADA12" s="167"/>
      <c r="ADB12" s="167"/>
      <c r="ADC12" s="167"/>
      <c r="ADD12" s="167"/>
      <c r="ADE12" s="167"/>
      <c r="ADF12" s="167"/>
      <c r="ADG12" s="167"/>
      <c r="ADH12" s="167"/>
      <c r="ADI12" s="167"/>
      <c r="ADJ12" s="167"/>
      <c r="ADK12" s="167"/>
      <c r="ADL12" s="167"/>
      <c r="ADM12" s="167"/>
      <c r="ADN12" s="168"/>
    </row>
    <row r="13" spans="1:975" ht="17.399999999999999" x14ac:dyDescent="0.3">
      <c r="A13" s="85" t="s">
        <v>332</v>
      </c>
      <c r="B13" s="85" t="s">
        <v>334</v>
      </c>
      <c r="QP13" s="171" t="s">
        <v>76</v>
      </c>
      <c r="QQ13" s="167"/>
      <c r="QR13" s="167"/>
      <c r="QS13" s="167"/>
      <c r="QT13" s="167"/>
      <c r="QU13" s="167"/>
      <c r="QV13" s="167"/>
      <c r="QW13" s="167"/>
      <c r="QX13" s="167"/>
      <c r="QY13" s="168"/>
      <c r="QZ13" s="172" t="s">
        <v>140</v>
      </c>
      <c r="RA13" s="167"/>
      <c r="RB13" s="167"/>
      <c r="RC13" s="167"/>
      <c r="RD13" s="167"/>
      <c r="RE13" s="167"/>
      <c r="RF13" s="167"/>
      <c r="RG13" s="168"/>
      <c r="RH13" s="171" t="s">
        <v>76</v>
      </c>
      <c r="RI13" s="167"/>
      <c r="RJ13" s="167"/>
      <c r="RK13" s="167"/>
      <c r="RL13" s="167"/>
      <c r="RM13" s="167"/>
      <c r="RN13" s="167"/>
      <c r="RO13" s="167"/>
      <c r="RP13" s="167"/>
      <c r="RQ13" s="167"/>
      <c r="RR13" s="167"/>
      <c r="RS13" s="167"/>
      <c r="RT13" s="167"/>
      <c r="RU13" s="167"/>
      <c r="RV13" s="168"/>
      <c r="SP13" s="172" t="s">
        <v>105</v>
      </c>
      <c r="SQ13" s="167"/>
      <c r="SR13" s="167"/>
      <c r="SS13" s="167"/>
      <c r="ST13" s="167"/>
      <c r="SU13" s="167"/>
      <c r="SV13" s="167"/>
      <c r="SW13" s="167"/>
      <c r="SX13" s="167"/>
      <c r="SY13" s="167"/>
      <c r="SZ13" s="167"/>
      <c r="TA13" s="167"/>
      <c r="TB13" s="167"/>
      <c r="TC13" s="167"/>
      <c r="TD13" s="167"/>
      <c r="TE13" s="167"/>
      <c r="TF13" s="167"/>
      <c r="TG13" s="167"/>
      <c r="TH13" s="168"/>
      <c r="TI13" s="173" t="s">
        <v>148</v>
      </c>
      <c r="TJ13" s="167"/>
      <c r="TK13" s="168"/>
      <c r="TL13" s="174" t="s">
        <v>169</v>
      </c>
      <c r="TM13" s="167"/>
      <c r="TN13" s="167"/>
      <c r="TO13" s="167"/>
      <c r="TP13" s="167"/>
      <c r="TQ13" s="167"/>
      <c r="TR13" s="167"/>
      <c r="TS13" s="167"/>
      <c r="TT13" s="167"/>
      <c r="TU13" s="167"/>
      <c r="TV13" s="167"/>
      <c r="TW13" s="168"/>
      <c r="TX13" s="169" t="s">
        <v>170</v>
      </c>
      <c r="TY13" s="167"/>
      <c r="TZ13" s="167"/>
      <c r="UA13" s="167"/>
      <c r="UB13" s="167"/>
      <c r="UC13" s="167"/>
      <c r="UD13" s="167"/>
      <c r="UE13" s="167"/>
      <c r="UF13" s="167"/>
      <c r="UG13" s="167"/>
      <c r="UH13" s="167"/>
      <c r="UI13" s="167"/>
      <c r="UJ13" s="167"/>
      <c r="UK13" s="167"/>
      <c r="UL13" s="167"/>
      <c r="UM13" s="167"/>
      <c r="UN13" s="167"/>
      <c r="UO13" s="167"/>
      <c r="UP13" s="167"/>
      <c r="UQ13" s="167"/>
      <c r="UR13" s="167"/>
      <c r="US13" s="167"/>
      <c r="UT13" s="167"/>
      <c r="UU13" s="167"/>
      <c r="UV13" s="167"/>
      <c r="UW13" s="167"/>
      <c r="UX13" s="167"/>
      <c r="UY13" s="167"/>
      <c r="UZ13" s="167"/>
      <c r="VA13" s="167"/>
      <c r="VB13" s="167"/>
      <c r="VC13" s="167"/>
      <c r="VD13" s="167"/>
      <c r="VE13" s="167"/>
      <c r="VF13" s="167"/>
      <c r="VG13" s="168"/>
      <c r="VH13" s="175" t="s">
        <v>171</v>
      </c>
      <c r="VI13" s="167"/>
      <c r="VJ13" s="167"/>
      <c r="VK13" s="167"/>
      <c r="VL13" s="167"/>
      <c r="VM13" s="168"/>
      <c r="VN13" s="169" t="s">
        <v>172</v>
      </c>
      <c r="VO13" s="167"/>
      <c r="VP13" s="167"/>
      <c r="VQ13" s="167"/>
      <c r="VR13" s="167"/>
      <c r="VS13" s="167"/>
      <c r="VT13" s="167"/>
      <c r="VU13" s="167"/>
      <c r="VV13" s="167"/>
      <c r="VW13" s="167"/>
      <c r="VX13" s="167"/>
      <c r="VY13" s="167"/>
      <c r="VZ13" s="167"/>
      <c r="WA13" s="167"/>
      <c r="WB13" s="167"/>
      <c r="WC13" s="167"/>
      <c r="WD13" s="167"/>
      <c r="WE13" s="167"/>
      <c r="WF13" s="167"/>
      <c r="WG13" s="167"/>
      <c r="WH13" s="167"/>
      <c r="WI13" s="168"/>
      <c r="WJ13" s="169" t="s">
        <v>173</v>
      </c>
      <c r="WK13" s="167"/>
      <c r="WL13" s="167"/>
      <c r="WM13" s="167"/>
      <c r="WN13" s="167"/>
      <c r="WO13" s="167"/>
      <c r="WP13" s="167"/>
      <c r="WQ13" s="167"/>
      <c r="WR13" s="167"/>
      <c r="WS13" s="167"/>
      <c r="WT13" s="167"/>
      <c r="WU13" s="167"/>
      <c r="WV13" s="167"/>
      <c r="WW13" s="167"/>
      <c r="WX13" s="167"/>
      <c r="WY13" s="167"/>
      <c r="WZ13" s="167"/>
      <c r="XA13" s="167"/>
      <c r="XB13" s="167"/>
      <c r="XC13" s="168"/>
      <c r="XD13" s="169" t="s">
        <v>46</v>
      </c>
      <c r="XE13" s="167"/>
      <c r="XF13" s="167"/>
      <c r="XG13" s="167"/>
      <c r="XH13" s="167"/>
      <c r="XI13" s="167"/>
      <c r="XJ13" s="167"/>
      <c r="XK13" s="167"/>
      <c r="XL13" s="168"/>
      <c r="XM13" s="169" t="s">
        <v>174</v>
      </c>
      <c r="XN13" s="167"/>
      <c r="XO13" s="167"/>
      <c r="XP13" s="167"/>
      <c r="XQ13" s="167"/>
      <c r="XR13" s="167"/>
      <c r="XS13" s="168"/>
      <c r="XT13" s="176" t="s">
        <v>157</v>
      </c>
      <c r="XU13" s="167"/>
      <c r="XV13" s="167"/>
      <c r="XW13" s="167"/>
      <c r="XX13" s="167"/>
      <c r="XY13" s="167"/>
      <c r="XZ13" s="167"/>
      <c r="YA13" s="167"/>
      <c r="YB13" s="167"/>
      <c r="YC13" s="167"/>
      <c r="YD13" s="167"/>
      <c r="YE13" s="167"/>
      <c r="YF13" s="167"/>
      <c r="YG13" s="167"/>
      <c r="YH13" s="167"/>
      <c r="YI13" s="167"/>
      <c r="YJ13" s="167"/>
      <c r="YK13" s="167"/>
      <c r="YL13" s="167"/>
      <c r="YM13" s="167"/>
      <c r="YN13" s="167"/>
      <c r="YO13" s="167"/>
      <c r="YP13" s="167"/>
      <c r="YQ13" s="167"/>
      <c r="YR13" s="167"/>
      <c r="YS13" s="167"/>
      <c r="YT13" s="167"/>
      <c r="YU13" s="167"/>
      <c r="YV13" s="167"/>
      <c r="YW13" s="167"/>
      <c r="YX13" s="167"/>
      <c r="YY13" s="167"/>
      <c r="YZ13" s="167"/>
      <c r="ZA13" s="168"/>
      <c r="ZB13" s="166" t="s">
        <v>158</v>
      </c>
      <c r="ZC13" s="167"/>
      <c r="ZD13" s="167"/>
      <c r="ZE13" s="167"/>
      <c r="ZF13" s="167"/>
      <c r="ZG13" s="168"/>
      <c r="ZH13" s="176" t="s">
        <v>159</v>
      </c>
      <c r="ZI13" s="167"/>
      <c r="ZJ13" s="167"/>
      <c r="ZK13" s="167"/>
      <c r="ZL13" s="167"/>
      <c r="ZM13" s="167"/>
      <c r="ZN13" s="167"/>
      <c r="ZO13" s="167"/>
      <c r="ZP13" s="167"/>
      <c r="ZQ13" s="167"/>
      <c r="ZR13" s="167"/>
      <c r="ZS13" s="167"/>
      <c r="ZT13" s="167"/>
      <c r="ZU13" s="167"/>
      <c r="ZV13" s="167"/>
      <c r="ZW13" s="167"/>
      <c r="ZX13" s="167"/>
      <c r="ZY13" s="167"/>
      <c r="ZZ13" s="167"/>
      <c r="AAA13" s="167"/>
      <c r="AAB13" s="167"/>
      <c r="AAC13" s="167"/>
      <c r="AAD13" s="167"/>
      <c r="AAE13" s="167"/>
      <c r="AAF13" s="167"/>
      <c r="AAG13" s="167"/>
      <c r="AAH13" s="167"/>
      <c r="AAI13" s="167"/>
      <c r="AAJ13" s="167"/>
      <c r="AAK13" s="167"/>
      <c r="AAL13" s="167"/>
      <c r="AAM13" s="167"/>
      <c r="AAN13" s="167"/>
      <c r="AAO13" s="168"/>
      <c r="AAP13" s="166" t="s">
        <v>158</v>
      </c>
      <c r="AAQ13" s="167"/>
      <c r="AAR13" s="167"/>
      <c r="AAS13" s="168"/>
      <c r="AAV13" s="176" t="s">
        <v>160</v>
      </c>
      <c r="AAW13" s="167"/>
      <c r="AAX13" s="167"/>
      <c r="AAY13" s="167"/>
      <c r="AAZ13" s="167"/>
      <c r="ABA13" s="167"/>
      <c r="ABB13" s="167"/>
      <c r="ABC13" s="167"/>
      <c r="ABD13" s="167"/>
      <c r="ABE13" s="167"/>
      <c r="ABF13" s="167"/>
      <c r="ABG13" s="167"/>
      <c r="ABH13" s="167"/>
      <c r="ABI13" s="167"/>
      <c r="ABJ13" s="167"/>
      <c r="ABK13" s="167"/>
      <c r="ABL13" s="167"/>
      <c r="ABM13" s="167"/>
      <c r="ABN13" s="167"/>
      <c r="ABO13" s="167"/>
      <c r="ABP13" s="167"/>
      <c r="ABQ13" s="167"/>
      <c r="ABR13" s="167"/>
      <c r="ABS13" s="167"/>
      <c r="ABT13" s="167"/>
      <c r="ABU13" s="167"/>
      <c r="ABV13" s="167"/>
      <c r="ABW13" s="167"/>
      <c r="ABX13" s="167"/>
      <c r="ABY13" s="167"/>
      <c r="ABZ13" s="167"/>
      <c r="ACA13" s="168"/>
      <c r="ACB13" s="166" t="s">
        <v>158</v>
      </c>
      <c r="ACC13" s="167"/>
      <c r="ACD13" s="167"/>
      <c r="ACE13" s="167"/>
      <c r="ACF13" s="167"/>
      <c r="ACG13" s="168"/>
      <c r="ACH13" s="176" t="s">
        <v>161</v>
      </c>
      <c r="ACI13" s="167"/>
      <c r="ACJ13" s="167"/>
      <c r="ACK13" s="167"/>
      <c r="ACL13" s="167"/>
      <c r="ACM13" s="167"/>
      <c r="ACN13" s="167"/>
      <c r="ACO13" s="167"/>
      <c r="ACP13" s="167"/>
      <c r="ACQ13" s="167"/>
      <c r="ACR13" s="167"/>
      <c r="ACS13" s="167"/>
      <c r="ACT13" s="167"/>
      <c r="ACU13" s="167"/>
      <c r="ACV13" s="167"/>
      <c r="ACW13" s="167"/>
      <c r="ACX13" s="167"/>
      <c r="ACY13" s="167"/>
      <c r="ACZ13" s="167"/>
      <c r="ADA13" s="167"/>
      <c r="ADB13" s="167"/>
      <c r="ADC13" s="167"/>
      <c r="ADD13" s="167"/>
      <c r="ADE13" s="167"/>
      <c r="ADF13" s="167"/>
      <c r="ADG13" s="167"/>
      <c r="ADH13" s="167"/>
      <c r="ADI13" s="167"/>
      <c r="ADJ13" s="167"/>
      <c r="ADK13" s="167"/>
      <c r="ADL13" s="167"/>
      <c r="ADM13" s="167"/>
      <c r="ADN13" s="167"/>
      <c r="ADO13" s="168"/>
      <c r="ADP13" s="166" t="s">
        <v>158</v>
      </c>
      <c r="ADQ13" s="167"/>
      <c r="ADR13" s="167"/>
      <c r="ADS13" s="167"/>
      <c r="ADT13" s="167"/>
      <c r="ADU13" s="167"/>
      <c r="ADV13" s="167"/>
      <c r="ADW13" s="167"/>
      <c r="ADX13" s="167"/>
      <c r="ADY13" s="167"/>
      <c r="ADZ13" s="167"/>
      <c r="AEA13" s="167"/>
      <c r="AEB13" s="167"/>
      <c r="AEC13" s="167"/>
      <c r="AED13" s="167"/>
      <c r="AEE13" s="167"/>
      <c r="AEF13" s="167"/>
      <c r="AEG13" s="167"/>
      <c r="AEH13" s="167"/>
      <c r="AEI13" s="167"/>
      <c r="AEJ13" s="167"/>
      <c r="AEK13" s="168"/>
    </row>
    <row r="14" spans="1:975" ht="17.399999999999999" x14ac:dyDescent="0.3">
      <c r="A14" s="85" t="s">
        <v>335</v>
      </c>
      <c r="B14" s="85" t="s">
        <v>335</v>
      </c>
      <c r="AJG14" s="169" t="s">
        <v>176</v>
      </c>
      <c r="AJH14" s="167"/>
      <c r="AJI14" s="167"/>
      <c r="AJJ14" s="167"/>
      <c r="AJK14" s="167"/>
      <c r="AJL14" s="167"/>
      <c r="AJM14" s="167"/>
      <c r="AJN14" s="167"/>
      <c r="AJO14" s="167"/>
      <c r="AJP14" s="167"/>
      <c r="AJQ14" s="167"/>
      <c r="AJR14" s="167"/>
      <c r="AJS14" s="167"/>
      <c r="AJT14" s="168"/>
    </row>
  </sheetData>
  <mergeCells count="304">
    <mergeCell ref="C1:I1"/>
    <mergeCell ref="J1:P1"/>
    <mergeCell ref="Q1:W1"/>
    <mergeCell ref="X1:AD1"/>
    <mergeCell ref="AE1:AK1"/>
    <mergeCell ref="AL1:AR1"/>
    <mergeCell ref="AS1:AY1"/>
    <mergeCell ref="AZ1:BF1"/>
    <mergeCell ref="BG1:BM1"/>
    <mergeCell ref="BN1:BT1"/>
    <mergeCell ref="BU1:CA1"/>
    <mergeCell ref="CB1:CH1"/>
    <mergeCell ref="CI1:CO1"/>
    <mergeCell ref="CP1:CV1"/>
    <mergeCell ref="CW1:DC1"/>
    <mergeCell ref="DD1:DJ1"/>
    <mergeCell ref="DK1:DQ1"/>
    <mergeCell ref="DR1:DX1"/>
    <mergeCell ref="DY1:EE1"/>
    <mergeCell ref="EF1:EL1"/>
    <mergeCell ref="EM1:ES1"/>
    <mergeCell ref="ET1:EZ1"/>
    <mergeCell ref="FA1:FG1"/>
    <mergeCell ref="FH1:FN1"/>
    <mergeCell ref="FO1:FU1"/>
    <mergeCell ref="FV1:GB1"/>
    <mergeCell ref="GC1:GI1"/>
    <mergeCell ref="GJ1:GP1"/>
    <mergeCell ref="GQ1:GW1"/>
    <mergeCell ref="GX1:HD1"/>
    <mergeCell ref="HE1:HK1"/>
    <mergeCell ref="HL1:HR1"/>
    <mergeCell ref="HS1:HY1"/>
    <mergeCell ref="HZ1:IF1"/>
    <mergeCell ref="IG1:IM1"/>
    <mergeCell ref="IN1:IT1"/>
    <mergeCell ref="IU1:JA1"/>
    <mergeCell ref="JB1:JH1"/>
    <mergeCell ref="JI1:JO1"/>
    <mergeCell ref="JP1:JV1"/>
    <mergeCell ref="JW1:KC1"/>
    <mergeCell ref="KD1:KJ1"/>
    <mergeCell ref="KK1:KQ1"/>
    <mergeCell ref="KR1:KX1"/>
    <mergeCell ref="KY1:LE1"/>
    <mergeCell ref="LF1:LL1"/>
    <mergeCell ref="LM1:LS1"/>
    <mergeCell ref="LT1:LZ1"/>
    <mergeCell ref="MA1:MG1"/>
    <mergeCell ref="MH1:MN1"/>
    <mergeCell ref="MO1:MU1"/>
    <mergeCell ref="MV1:NB1"/>
    <mergeCell ref="NC1:NI1"/>
    <mergeCell ref="NJ1:NP1"/>
    <mergeCell ref="NQ1:NW1"/>
    <mergeCell ref="NX1:OD1"/>
    <mergeCell ref="OE1:OK1"/>
    <mergeCell ref="OL1:OR1"/>
    <mergeCell ref="OS1:OY1"/>
    <mergeCell ref="OZ1:PF1"/>
    <mergeCell ref="PG1:PM1"/>
    <mergeCell ref="PN1:PT1"/>
    <mergeCell ref="PU1:QA1"/>
    <mergeCell ref="QB1:QH1"/>
    <mergeCell ref="QI1:QO1"/>
    <mergeCell ref="QP1:QV1"/>
    <mergeCell ref="QW1:RC1"/>
    <mergeCell ref="RD1:RJ1"/>
    <mergeCell ref="RK1:RQ1"/>
    <mergeCell ref="RR1:RX1"/>
    <mergeCell ref="RY1:SE1"/>
    <mergeCell ref="SF1:SL1"/>
    <mergeCell ref="SM1:SS1"/>
    <mergeCell ref="ST1:SZ1"/>
    <mergeCell ref="TA1:TG1"/>
    <mergeCell ref="TH1:TN1"/>
    <mergeCell ref="TO1:TU1"/>
    <mergeCell ref="TV1:UB1"/>
    <mergeCell ref="UC1:UI1"/>
    <mergeCell ref="UJ1:UP1"/>
    <mergeCell ref="UQ1:UW1"/>
    <mergeCell ref="UX1:VD1"/>
    <mergeCell ref="VE1:VK1"/>
    <mergeCell ref="VL1:VR1"/>
    <mergeCell ref="VS1:VY1"/>
    <mergeCell ref="VZ1:WF1"/>
    <mergeCell ref="WG1:WM1"/>
    <mergeCell ref="WN1:WT1"/>
    <mergeCell ref="WU1:XA1"/>
    <mergeCell ref="XB1:XH1"/>
    <mergeCell ref="XI1:XO1"/>
    <mergeCell ref="XP1:XV1"/>
    <mergeCell ref="XW1:YC1"/>
    <mergeCell ref="YD1:YJ1"/>
    <mergeCell ref="YK1:YQ1"/>
    <mergeCell ref="YR1:YX1"/>
    <mergeCell ref="YY1:ZE1"/>
    <mergeCell ref="ZF1:ZL1"/>
    <mergeCell ref="ZM1:ZS1"/>
    <mergeCell ref="ZT1:ZZ1"/>
    <mergeCell ref="AAA1:AAG1"/>
    <mergeCell ref="AAH1:AAN1"/>
    <mergeCell ref="AAO1:AAU1"/>
    <mergeCell ref="AAV1:ABB1"/>
    <mergeCell ref="ABC1:ABI1"/>
    <mergeCell ref="ABJ1:ABP1"/>
    <mergeCell ref="ABQ1:ABW1"/>
    <mergeCell ref="ABX1:ACD1"/>
    <mergeCell ref="ACE1:ACK1"/>
    <mergeCell ref="ACL1:ACR1"/>
    <mergeCell ref="ACS1:ACY1"/>
    <mergeCell ref="ACZ1:ADF1"/>
    <mergeCell ref="ADG1:ADM1"/>
    <mergeCell ref="ADN1:ADT1"/>
    <mergeCell ref="ADU1:AEA1"/>
    <mergeCell ref="AEB1:AEH1"/>
    <mergeCell ref="AEI1:AEO1"/>
    <mergeCell ref="AIQ1:AIW1"/>
    <mergeCell ref="AIX1:AJD1"/>
    <mergeCell ref="AJE1:AJK1"/>
    <mergeCell ref="AEP1:AEV1"/>
    <mergeCell ref="AEW1:AFC1"/>
    <mergeCell ref="AFD1:AFJ1"/>
    <mergeCell ref="AFK1:AFQ1"/>
    <mergeCell ref="AFR1:AFX1"/>
    <mergeCell ref="AFY1:AGE1"/>
    <mergeCell ref="AGF1:AGL1"/>
    <mergeCell ref="AGM1:AGS1"/>
    <mergeCell ref="AGT1:AGZ1"/>
    <mergeCell ref="AJL1:AJR1"/>
    <mergeCell ref="AJS1:AJY1"/>
    <mergeCell ref="AJZ1:AKF1"/>
    <mergeCell ref="AKG1:AKM1"/>
    <mergeCell ref="DS2:DU2"/>
    <mergeCell ref="FQ2:FR2"/>
    <mergeCell ref="IT2:IU2"/>
    <mergeCell ref="KA2:KB2"/>
    <mergeCell ref="KU2:KW2"/>
    <mergeCell ref="LJ2:LK2"/>
    <mergeCell ref="LT2:LV2"/>
    <mergeCell ref="MK2:MM2"/>
    <mergeCell ref="NO2:NQ2"/>
    <mergeCell ref="ZX2:ZZ2"/>
    <mergeCell ref="AAL2:AAN2"/>
    <mergeCell ref="AAQ2:AAR2"/>
    <mergeCell ref="ACG2:ACI2"/>
    <mergeCell ref="AFT2:AFW2"/>
    <mergeCell ref="AHA1:AHG1"/>
    <mergeCell ref="AHH1:AHN1"/>
    <mergeCell ref="AHO1:AHU1"/>
    <mergeCell ref="AHV1:AIB1"/>
    <mergeCell ref="AIC1:AII1"/>
    <mergeCell ref="AIJ1:AIP1"/>
    <mergeCell ref="DS3:DU3"/>
    <mergeCell ref="CB4:CC4"/>
    <mergeCell ref="EF4:EG4"/>
    <mergeCell ref="IA4:IB4"/>
    <mergeCell ref="JW4:JX4"/>
    <mergeCell ref="LO4:LP4"/>
    <mergeCell ref="NL4:NM4"/>
    <mergeCell ref="OT4:OU4"/>
    <mergeCell ref="QJ4:QK4"/>
    <mergeCell ref="AAA5:AAB5"/>
    <mergeCell ref="S6:AR6"/>
    <mergeCell ref="BN6:DO6"/>
    <mergeCell ref="JW6:KV6"/>
    <mergeCell ref="KW6:KZ6"/>
    <mergeCell ref="LL6:LM6"/>
    <mergeCell ref="LP6:MN6"/>
    <mergeCell ref="MO6:NW6"/>
    <mergeCell ref="NX6:OR6"/>
    <mergeCell ref="ET5:EU5"/>
    <mergeCell ref="IK5:IL5"/>
    <mergeCell ref="JZ5:KA5"/>
    <mergeCell ref="KC5:KD5"/>
    <mergeCell ref="KK5:KL5"/>
    <mergeCell ref="TU5:TW5"/>
    <mergeCell ref="UP5:UQ5"/>
    <mergeCell ref="UY5:UZ5"/>
    <mergeCell ref="YJ5:YK5"/>
    <mergeCell ref="GN7:JL7"/>
    <mergeCell ref="JZ7:MY7"/>
    <mergeCell ref="NC7:PX7"/>
    <mergeCell ref="PY7:RR7"/>
    <mergeCell ref="GJ8:KZ8"/>
    <mergeCell ref="ML8:MQ8"/>
    <mergeCell ref="MR8:NX8"/>
    <mergeCell ref="NY8:OE8"/>
    <mergeCell ref="OF8:OR8"/>
    <mergeCell ref="OS8:PA8"/>
    <mergeCell ref="RI8:RU8"/>
    <mergeCell ref="RX8:SB8"/>
    <mergeCell ref="SC8:SQ8"/>
    <mergeCell ref="SR8:TF8"/>
    <mergeCell ref="TG8:TU8"/>
    <mergeCell ref="TV8:UJ8"/>
    <mergeCell ref="UK8:UY8"/>
    <mergeCell ref="UZ8:VN8"/>
    <mergeCell ref="VO8:WC8"/>
    <mergeCell ref="WD8:WR8"/>
    <mergeCell ref="WS8:XG8"/>
    <mergeCell ref="CR9:CY9"/>
    <mergeCell ref="FR9:HF9"/>
    <mergeCell ref="HO9:IK9"/>
    <mergeCell ref="IL9:IR9"/>
    <mergeCell ref="BN10:BP10"/>
    <mergeCell ref="BU10:DR10"/>
    <mergeCell ref="DS10:DZ10"/>
    <mergeCell ref="EB10:EF10"/>
    <mergeCell ref="EM10:EQ10"/>
    <mergeCell ref="FV10:GL10"/>
    <mergeCell ref="GM10:GX10"/>
    <mergeCell ref="GY10:HF10"/>
    <mergeCell ref="HH10:HI10"/>
    <mergeCell ref="HL10:HP10"/>
    <mergeCell ref="HS10:HV10"/>
    <mergeCell ref="HW10:IP10"/>
    <mergeCell ref="IR10:JB10"/>
    <mergeCell ref="JC10:JE10"/>
    <mergeCell ref="JF10:JQ10"/>
    <mergeCell ref="JR10:LU10"/>
    <mergeCell ref="LV10:LW10"/>
    <mergeCell ref="LX10:MC10"/>
    <mergeCell ref="MD10:NX10"/>
    <mergeCell ref="NY10:OE10"/>
    <mergeCell ref="OF10:OL10"/>
    <mergeCell ref="OT10:OU10"/>
    <mergeCell ref="OV10:OW10"/>
    <mergeCell ref="OZ10:PA10"/>
    <mergeCell ref="PB10:PN10"/>
    <mergeCell ref="PO10:PP10"/>
    <mergeCell ref="PQ10:QE10"/>
    <mergeCell ref="QF10:QM10"/>
    <mergeCell ref="QP10:QW10"/>
    <mergeCell ref="QX10:RN10"/>
    <mergeCell ref="RS10:RV10"/>
    <mergeCell ref="SB10:TY10"/>
    <mergeCell ref="UF10:UY10"/>
    <mergeCell ref="AD11:BF11"/>
    <mergeCell ref="CF11:CM11"/>
    <mergeCell ref="CY11:DL11"/>
    <mergeCell ref="DM11:DZ11"/>
    <mergeCell ref="EA11:EB11"/>
    <mergeCell ref="EI11:EV11"/>
    <mergeCell ref="EW11:FJ11"/>
    <mergeCell ref="FK11:FP11"/>
    <mergeCell ref="FQ11:FX11"/>
    <mergeCell ref="FY11:GL11"/>
    <mergeCell ref="GN11:HI11"/>
    <mergeCell ref="HL11:IG11"/>
    <mergeCell ref="IH11:JC11"/>
    <mergeCell ref="LX11:MA11"/>
    <mergeCell ref="PK11:PN11"/>
    <mergeCell ref="PU11:QD11"/>
    <mergeCell ref="QE11:QJ11"/>
    <mergeCell ref="QK11:RR11"/>
    <mergeCell ref="RS11:RV11"/>
    <mergeCell ref="QP12:QY12"/>
    <mergeCell ref="QZ12:RG12"/>
    <mergeCell ref="RH12:RV12"/>
    <mergeCell ref="SA12:TY12"/>
    <mergeCell ref="UY12:VE12"/>
    <mergeCell ref="VF12:VG12"/>
    <mergeCell ref="VH12:VI12"/>
    <mergeCell ref="VL12:VO12"/>
    <mergeCell ref="VP12:VV12"/>
    <mergeCell ref="YX12:ZL12"/>
    <mergeCell ref="ZM12:AAA12"/>
    <mergeCell ref="AAB12:AAP12"/>
    <mergeCell ref="AAQ12:ABE12"/>
    <mergeCell ref="ABF12:ABT12"/>
    <mergeCell ref="ABU12:ACI12"/>
    <mergeCell ref="ACJ12:ACY12"/>
    <mergeCell ref="RY11:TD11"/>
    <mergeCell ref="TE11:TJ11"/>
    <mergeCell ref="TK11:UR11"/>
    <mergeCell ref="US11:UX11"/>
    <mergeCell ref="UY11:WD11"/>
    <mergeCell ref="WG11:WJ11"/>
    <mergeCell ref="VW12:VZ12"/>
    <mergeCell ref="ADP13:AEK13"/>
    <mergeCell ref="AJG14:AJT14"/>
    <mergeCell ref="ACZ12:ADN12"/>
    <mergeCell ref="QP13:QY13"/>
    <mergeCell ref="QZ13:RG13"/>
    <mergeCell ref="RH13:RV13"/>
    <mergeCell ref="SP13:TH13"/>
    <mergeCell ref="TI13:TK13"/>
    <mergeCell ref="TL13:TW13"/>
    <mergeCell ref="TX13:VG13"/>
    <mergeCell ref="VH13:VM13"/>
    <mergeCell ref="VN13:WI13"/>
    <mergeCell ref="WJ13:XC13"/>
    <mergeCell ref="XD13:XL13"/>
    <mergeCell ref="XM13:XS13"/>
    <mergeCell ref="XT13:ZA13"/>
    <mergeCell ref="ZB13:ZG13"/>
    <mergeCell ref="ZH13:AAO13"/>
    <mergeCell ref="AAP13:AAS13"/>
    <mergeCell ref="AAV13:ACA13"/>
    <mergeCell ref="ACB13:ACG13"/>
    <mergeCell ref="ACH13:ADO13"/>
    <mergeCell ref="XT12:YH12"/>
    <mergeCell ref="YI12:YW12"/>
  </mergeCells>
  <pageMargins left="0.75" right="0.75" top="1" bottom="1" header="0.5" footer="0.5"/>
  <pageSetup orientation="portrait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PMO April 28 2020</vt:lpstr>
      <vt:lpstr>old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Viresh B Shah</dc:creator>
  <cp:lastModifiedBy>Viresh B Shah</cp:lastModifiedBy>
  <dcterms:created xsi:type="dcterms:W3CDTF">2020-04-24T20:16:58Z</dcterms:created>
  <dcterms:modified xsi:type="dcterms:W3CDTF">2020-05-14T21:41:31Z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Shah_Viresh_B@cat.com</vt:lpwstr>
  </property>
  <property fmtid="{D5CDD505-2E9C-101B-9397-08002B2CF9AE}" pid="5" name="MSIP_Label_fb5e2db6-eecf-4aa2-8fc3-174bf94bce19_SetDate">
    <vt:lpwstr>2020-04-28T20:27:17.1779830Z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Extended_MSFT_Method">
    <vt:lpwstr>Automatic</vt:lpwstr>
  </property>
  <property fmtid="{D5CDD505-2E9C-101B-9397-08002B2CF9AE}" pid="9" name="Sensitivity">
    <vt:lpwstr>Cat Confidential Green</vt:lpwstr>
  </property>
</Properties>
</file>