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140" windowWidth="15100" xWindow="-38400" yWindow="-1800"/>
  </bookViews>
  <sheets>
    <sheet name="Sheet1" sheetId="1" state="visible" r:id="rId1"/>
    <sheet name="Calendar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theme="1"/>
      <sz val="18"/>
      <scheme val="minor"/>
    </font>
    <font>
      <name val="Arial"/>
      <family val="2"/>
      <color theme="1"/>
      <sz val="16"/>
    </font>
    <font>
      <name val="Arial"/>
      <family val="2"/>
      <b val="1"/>
      <color theme="1"/>
      <sz val="10"/>
    </font>
    <font>
      <name val="Arial"/>
      <sz val="14"/>
    </font>
  </fonts>
  <fills count="36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E77AB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00FFFF00"/>
        <bgColor rgb="00FFFF00"/>
      </patternFill>
    </fill>
    <fill>
      <patternFill patternType="solid">
        <fgColor rgb="FF00006B"/>
        <bgColor rgb="FF00006B"/>
      </patternFill>
    </fill>
    <fill>
      <patternFill patternType="solid">
        <fgColor rgb="FF0000C4"/>
        <bgColor rgb="FF0000C4"/>
      </patternFill>
    </fill>
    <fill>
      <patternFill patternType="solid">
        <fgColor rgb="FF000024"/>
        <bgColor rgb="FF000024"/>
      </patternFill>
    </fill>
    <fill>
      <patternFill patternType="solid">
        <fgColor rgb="00000024"/>
        <bgColor rgb="00000024"/>
      </patternFill>
    </fill>
    <fill>
      <patternFill patternType="solid">
        <fgColor rgb="000000C5"/>
        <bgColor rgb="000000C5"/>
      </patternFill>
    </fill>
    <fill>
      <patternFill patternType="solid">
        <fgColor rgb="0000BBFF"/>
        <bgColor rgb="0000BBFF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DDBDF1"/>
        <bgColor rgb="00DDBDF1"/>
      </patternFill>
    </fill>
    <fill>
      <patternFill patternType="solid">
        <fgColor rgb="00FFD700"/>
        <bgColor rgb="00FFD700"/>
      </patternFill>
    </fill>
    <fill>
      <patternFill patternType="solid">
        <fgColor rgb="00FFDAB9"/>
        <bgColor rgb="00FFDAB9"/>
      </patternFill>
    </fill>
    <fill>
      <patternFill patternType="solid">
        <fgColor rgb="00FF69B4"/>
        <bgColor rgb="00FF69B4"/>
      </patternFill>
    </fill>
    <fill>
      <patternFill patternType="solid">
        <fgColor rgb="007FFFD4"/>
        <bgColor rgb="007FFFD4"/>
      </patternFill>
    </fill>
    <fill>
      <patternFill patternType="solid">
        <fgColor rgb="00DEB887"/>
        <bgColor rgb="00DEB887"/>
      </patternFill>
    </fill>
    <fill>
      <patternFill patternType="solid">
        <fgColor rgb="00C0C0C0"/>
        <bgColor rgb="00C0C0C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1">
    <xf borderId="0" fillId="0" fontId="0" numFmtId="0"/>
  </cellStyleXfs>
  <cellXfs count="102">
    <xf borderId="0" fillId="0" fontId="0" numFmtId="0" pivotButton="0" quotePrefix="0" xfId="0"/>
    <xf borderId="1" fillId="0" fontId="0" numFmtId="0" pivotButton="0" quotePrefix="0" xfId="0"/>
    <xf applyAlignment="1" borderId="2" fillId="0" fontId="1" numFmtId="0" pivotButton="0" quotePrefix="0" xfId="0">
      <alignment horizontal="center"/>
    </xf>
    <xf applyAlignment="1" borderId="3" fillId="0" fontId="1" numFmtId="0" pivotButton="0" quotePrefix="0" xfId="0">
      <alignment horizontal="center"/>
    </xf>
    <xf borderId="4" fillId="2" fontId="0" numFmtId="0" pivotButton="0" quotePrefix="0" xfId="0"/>
    <xf borderId="5" fillId="2" fontId="2" numFmtId="0" pivotButton="0" quotePrefix="0" xfId="0"/>
    <xf applyAlignment="1" borderId="5" fillId="2" fontId="0" numFmtId="15" pivotButton="0" quotePrefix="0" xfId="0">
      <alignment horizontal="center"/>
    </xf>
    <xf applyAlignment="1" borderId="6" fillId="2" fontId="0" numFmtId="15" pivotButton="0" quotePrefix="0" xfId="0">
      <alignment horizontal="center"/>
    </xf>
    <xf applyAlignment="1" borderId="4" fillId="0" fontId="0" numFmtId="0" pivotButton="0" quotePrefix="0" xfId="0">
      <alignment horizontal="center"/>
    </xf>
    <xf applyAlignment="1" borderId="5" fillId="0" fontId="0" numFmtId="0" pivotButton="0" quotePrefix="0" xfId="0">
      <alignment horizontal="left" indent="1"/>
    </xf>
    <xf applyAlignment="1" borderId="5" fillId="0" fontId="0" numFmtId="15" pivotButton="0" quotePrefix="0" xfId="0">
      <alignment horizontal="center"/>
    </xf>
    <xf applyAlignment="1" borderId="6" fillId="0" fontId="0" numFmtId="15" pivotButton="0" quotePrefix="0" xfId="0">
      <alignment horizontal="center"/>
    </xf>
    <xf borderId="0" fillId="0" fontId="0" numFmtId="15" pivotButton="0" quotePrefix="0" xfId="0"/>
    <xf applyAlignment="1" borderId="4" fillId="3" fontId="0" numFmtId="0" pivotButton="0" quotePrefix="0" xfId="0">
      <alignment horizontal="center"/>
    </xf>
    <xf applyAlignment="1" borderId="5" fillId="3" fontId="2" numFmtId="0" pivotButton="0" quotePrefix="0" xfId="0">
      <alignment horizontal="left"/>
    </xf>
    <xf applyAlignment="1" borderId="5" fillId="3" fontId="0" numFmtId="15" pivotButton="0" quotePrefix="0" xfId="0">
      <alignment horizontal="center"/>
    </xf>
    <xf applyAlignment="1" borderId="6" fillId="3" fontId="0" numFmtId="15" pivotButton="0" quotePrefix="0" xfId="0">
      <alignment horizontal="center"/>
    </xf>
    <xf applyAlignment="1" borderId="4" fillId="4" fontId="0" numFmtId="0" pivotButton="0" quotePrefix="0" xfId="0">
      <alignment vertical="center"/>
    </xf>
    <xf applyAlignment="1" borderId="5" fillId="4" fontId="2" numFmtId="0" pivotButton="0" quotePrefix="0" xfId="0">
      <alignment horizontal="left" vertical="center"/>
    </xf>
    <xf applyAlignment="1" borderId="5" fillId="4" fontId="0" numFmtId="15" pivotButton="0" quotePrefix="0" xfId="0">
      <alignment horizontal="center" vertical="center"/>
    </xf>
    <xf applyAlignment="1" borderId="6" fillId="4" fontId="0" numFmtId="15" pivotButton="0" quotePrefix="0" xfId="0">
      <alignment horizontal="center" vertical="center"/>
    </xf>
    <xf borderId="7" fillId="0" fontId="0" numFmtId="0" pivotButton="0" quotePrefix="0" xfId="0"/>
    <xf borderId="0" fillId="0" fontId="0" numFmtId="14" pivotButton="0" quotePrefix="0" xfId="0"/>
    <xf borderId="4" fillId="5" fontId="0" numFmtId="0" pivotButton="0" quotePrefix="0" xfId="0"/>
    <xf applyAlignment="1" borderId="5" fillId="6" fontId="3" numFmtId="0" pivotButton="0" quotePrefix="0" xfId="0">
      <alignment horizontal="left"/>
    </xf>
    <xf applyAlignment="1" borderId="5" fillId="6" fontId="0" numFmtId="15" pivotButton="0" quotePrefix="0" xfId="0">
      <alignment horizontal="center"/>
    </xf>
    <xf applyAlignment="1" borderId="6" fillId="6" fontId="0" numFmtId="15" pivotButton="0" quotePrefix="0" xfId="0">
      <alignment horizontal="center"/>
    </xf>
    <xf borderId="5" fillId="0" fontId="0" numFmtId="0" pivotButton="0" quotePrefix="0" xfId="0"/>
    <xf applyAlignment="1" borderId="5" fillId="0" fontId="0" numFmtId="15" pivotButton="0" quotePrefix="0" xfId="0">
      <alignment horizontal="center" vertical="center"/>
    </xf>
    <xf applyAlignment="1" borderId="6" fillId="0" fontId="0" numFmtId="15" pivotButton="0" quotePrefix="0" xfId="0">
      <alignment horizontal="center" vertical="center"/>
    </xf>
    <xf applyAlignment="1" borderId="5" fillId="0" fontId="0" numFmtId="15" pivotButton="0" quotePrefix="0" xfId="0">
      <alignment horizontal="center" vertical="center"/>
    </xf>
    <xf applyAlignment="1" borderId="5" fillId="7" fontId="3" numFmtId="0" pivotButton="0" quotePrefix="0" xfId="0">
      <alignment horizontal="left"/>
    </xf>
    <xf applyAlignment="1" borderId="5" fillId="8" fontId="0" numFmtId="15" pivotButton="0" quotePrefix="0" xfId="0">
      <alignment horizontal="center"/>
    </xf>
    <xf applyAlignment="1" borderId="5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left" vertical="center"/>
    </xf>
    <xf applyAlignment="1" borderId="4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vertical="center"/>
    </xf>
    <xf applyAlignment="1" borderId="5" fillId="8" fontId="0" numFmtId="15" pivotButton="0" quotePrefix="0" xfId="0">
      <alignment horizontal="center" vertical="center"/>
    </xf>
    <xf applyAlignment="1" borderId="5" fillId="0" fontId="0" numFmtId="0" pivotButton="0" quotePrefix="0" xfId="0">
      <alignment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vertical="center"/>
    </xf>
    <xf borderId="8" fillId="5" fontId="0" numFmtId="0" pivotButton="0" quotePrefix="0" xfId="0"/>
    <xf applyAlignment="1" borderId="5" fillId="9" fontId="3" numFmtId="0" pivotButton="0" quotePrefix="0" xfId="0">
      <alignment horizontal="left"/>
    </xf>
    <xf applyAlignment="1" borderId="8" fillId="0" fontId="0" numFmtId="0" pivotButton="0" quotePrefix="0" xfId="0">
      <alignment horizontal="left" vertical="center"/>
    </xf>
    <xf applyAlignment="1" borderId="5" fillId="10" fontId="0" numFmtId="0" pivotButton="0" quotePrefix="0" xfId="0">
      <alignment vertical="center"/>
    </xf>
    <xf applyAlignment="1" borderId="9" fillId="0" fontId="0" numFmtId="0" pivotButton="0" quotePrefix="0" xfId="0">
      <alignment horizontal="left" vertical="center"/>
    </xf>
    <xf applyAlignment="1" borderId="5" fillId="11" fontId="0" numFmtId="0" pivotButton="0" quotePrefix="0" xfId="0">
      <alignment vertical="center"/>
    </xf>
    <xf applyAlignment="1" borderId="5" fillId="12" fontId="0" numFmtId="0" pivotButton="0" quotePrefix="0" xfId="0">
      <alignment vertical="center"/>
    </xf>
    <xf applyAlignment="1" borderId="5" fillId="13" fontId="3" numFmtId="0" pivotButton="0" quotePrefix="0" xfId="0">
      <alignment horizontal="left"/>
    </xf>
    <xf applyAlignment="1" borderId="5" fillId="13" fontId="0" numFmtId="15" pivotButton="0" quotePrefix="0" xfId="0">
      <alignment horizontal="center"/>
    </xf>
    <xf applyAlignment="1" borderId="6" fillId="13" fontId="0" numFmtId="15" pivotButton="0" quotePrefix="0" xfId="0">
      <alignment horizontal="center"/>
    </xf>
    <xf borderId="4" fillId="0" fontId="0" numFmtId="0" pivotButton="0" quotePrefix="0" xfId="0"/>
    <xf applyAlignment="1" borderId="10" fillId="0" fontId="0" numFmtId="0" pivotButton="0" quotePrefix="0" xfId="0">
      <alignment horizontal="left"/>
    </xf>
    <xf applyAlignment="1" borderId="4" fillId="0" fontId="0" numFmtId="0" pivotButton="0" quotePrefix="0" xfId="0">
      <alignment horizontal="left" vertical="center"/>
    </xf>
    <xf applyAlignment="1" borderId="7" fillId="0" fontId="0" numFmtId="0" pivotButton="0" quotePrefix="0" xfId="0">
      <alignment vertical="center"/>
    </xf>
    <xf borderId="11" fillId="0" fontId="0" numFmtId="0" pivotButton="0" quotePrefix="0" xfId="0"/>
    <xf applyAlignment="1" borderId="0" fillId="0" fontId="0" numFmtId="0" pivotButton="0" quotePrefix="0" xfId="0">
      <alignment horizontal="left"/>
    </xf>
    <xf borderId="10" fillId="0" fontId="0" numFmtId="0" pivotButton="0" quotePrefix="0" xfId="0"/>
    <xf applyAlignment="1" borderId="7" fillId="11" fontId="0" numFmtId="0" pivotButton="0" quotePrefix="0" xfId="0">
      <alignment vertical="center"/>
    </xf>
    <xf applyAlignment="1" borderId="6" fillId="11" fontId="0" numFmtId="15" pivotButton="0" quotePrefix="0" xfId="0">
      <alignment horizontal="center" vertical="center"/>
    </xf>
    <xf borderId="7" fillId="0" fontId="0" numFmtId="0" pivotButton="0" quotePrefix="0" xfId="0"/>
    <xf borderId="7" fillId="0" fontId="4" numFmtId="0" pivotButton="0" quotePrefix="0" xfId="0"/>
    <xf applyAlignment="1" borderId="12" fillId="0" fontId="0" numFmtId="15" pivotButton="0" quotePrefix="0" xfId="0">
      <alignment horizontal="center"/>
    </xf>
    <xf applyAlignment="1" borderId="13" fillId="0" fontId="0" numFmtId="15" pivotButton="0" quotePrefix="0" xfId="0">
      <alignment horizontal="center"/>
    </xf>
    <xf applyAlignment="1" borderId="5" fillId="14" fontId="3" numFmtId="0" pivotButton="0" quotePrefix="0" xfId="0">
      <alignment horizontal="left"/>
    </xf>
    <xf applyAlignment="1" borderId="2" fillId="9" fontId="0" numFmtId="15" pivotButton="0" quotePrefix="0" xfId="0">
      <alignment horizontal="center"/>
    </xf>
    <xf applyAlignment="1" borderId="3" fillId="9" fontId="0" numFmtId="15" pivotButton="0" quotePrefix="0" xfId="0">
      <alignment horizontal="center"/>
    </xf>
    <xf applyAlignment="1" borderId="6" fillId="0" fontId="0" numFmtId="15" pivotButton="0" quotePrefix="0" xfId="0">
      <alignment horizontal="center" vertical="center"/>
    </xf>
    <xf borderId="8" fillId="0" fontId="0" numFmtId="0" pivotButton="0" quotePrefix="0" xfId="0"/>
    <xf applyAlignment="1" borderId="4" fillId="0" fontId="0" numFmtId="0" pivotButton="0" quotePrefix="0" xfId="0">
      <alignment horizontal="left" vertical="center"/>
    </xf>
    <xf applyAlignment="1" borderId="5" fillId="0" fontId="0" numFmtId="0" pivotButton="0" quotePrefix="0" xfId="0">
      <alignment vertical="center"/>
    </xf>
    <xf borderId="4" fillId="0" fontId="0" numFmtId="0" pivotButton="0" quotePrefix="0" xfId="0"/>
    <xf applyAlignment="1" borderId="5" fillId="15" fontId="3" numFmtId="0" pivotButton="0" quotePrefix="0" xfId="0">
      <alignment horizontal="left"/>
    </xf>
    <xf applyAlignment="1" borderId="5" fillId="16" fontId="0" numFmtId="15" pivotButton="0" quotePrefix="0" xfId="0">
      <alignment horizontal="center"/>
    </xf>
    <xf applyAlignment="1" borderId="6" fillId="16" fontId="0" numFmtId="15" pivotButton="0" quotePrefix="0" xfId="0">
      <alignment horizontal="center"/>
    </xf>
    <xf borderId="14" fillId="0" fontId="0" numFmtId="0" pivotButton="0" quotePrefix="0" xfId="0"/>
    <xf borderId="15" fillId="0" fontId="0" numFmtId="0" pivotButton="0" quotePrefix="0" xfId="0"/>
    <xf borderId="5" fillId="0" fontId="0" numFmtId="0" pivotButton="0" quotePrefix="0" xfId="0"/>
    <xf applyAlignment="1" borderId="4" fillId="0" fontId="0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/>
    </xf>
    <xf applyAlignment="1" borderId="16" fillId="17" fontId="5" numFmtId="0" pivotButton="0" quotePrefix="0" xfId="0">
      <alignment horizontal="center" vertical="center"/>
    </xf>
    <xf applyAlignment="1" borderId="16" fillId="18" fontId="5" numFmtId="0" pivotButton="0" quotePrefix="0" xfId="0">
      <alignment horizontal="center" vertical="center"/>
    </xf>
    <xf borderId="17" fillId="0" fontId="0" numFmtId="0" pivotButton="0" quotePrefix="0" xfId="0"/>
    <xf applyAlignment="1" borderId="16" fillId="19" fontId="5" numFmtId="0" pivotButton="0" quotePrefix="0" xfId="0">
      <alignment horizontal="center" vertical="center"/>
    </xf>
    <xf applyAlignment="1" borderId="16" fillId="20" fontId="5" numFmtId="0" pivotButton="0" quotePrefix="0" xfId="0">
      <alignment horizontal="center" vertical="center"/>
    </xf>
    <xf applyAlignment="1" borderId="16" fillId="21" fontId="5" numFmtId="0" pivotButton="0" quotePrefix="0" xfId="0">
      <alignment horizontal="center" vertical="center"/>
    </xf>
    <xf applyAlignment="1" borderId="16" fillId="22" fontId="5" numFmtId="0" pivotButton="0" quotePrefix="0" xfId="0">
      <alignment horizontal="center" vertical="center"/>
    </xf>
    <xf applyAlignment="1" borderId="16" fillId="23" fontId="5" numFmtId="0" pivotButton="0" quotePrefix="0" xfId="0">
      <alignment horizontal="center" vertical="center"/>
    </xf>
    <xf applyAlignment="1" borderId="16" fillId="24" fontId="5" numFmtId="0" pivotButton="0" quotePrefix="0" xfId="0">
      <alignment horizontal="center" vertical="center"/>
    </xf>
    <xf applyAlignment="1" borderId="16" fillId="25" fontId="5" numFmtId="0" pivotButton="0" quotePrefix="0" xfId="0">
      <alignment horizontal="center" vertical="center"/>
    </xf>
    <xf borderId="20" fillId="0" fontId="0" numFmtId="0" pivotButton="0" quotePrefix="0" xfId="0"/>
    <xf applyAlignment="1" borderId="16" fillId="26" fontId="5" numFmtId="0" pivotButton="0" quotePrefix="0" xfId="0">
      <alignment horizontal="center" vertical="center"/>
    </xf>
    <xf applyAlignment="1" borderId="16" fillId="27" fontId="5" numFmtId="0" pivotButton="0" quotePrefix="0" xfId="0">
      <alignment horizontal="center" vertical="center"/>
    </xf>
    <xf applyAlignment="1" borderId="16" fillId="28" fontId="5" numFmtId="0" pivotButton="0" quotePrefix="0" xfId="0">
      <alignment horizontal="center" vertical="center"/>
    </xf>
    <xf applyAlignment="1" borderId="16" fillId="29" fontId="5" numFmtId="0" pivotButton="0" quotePrefix="0" xfId="0">
      <alignment horizontal="center" vertical="center"/>
    </xf>
    <xf applyAlignment="1" borderId="16" fillId="30" fontId="5" numFmtId="0" pivotButton="0" quotePrefix="0" xfId="0">
      <alignment horizontal="center" vertical="center"/>
    </xf>
    <xf applyAlignment="1" borderId="16" fillId="31" fontId="5" numFmtId="0" pivotButton="0" quotePrefix="0" xfId="0">
      <alignment horizontal="center" vertical="center"/>
    </xf>
    <xf applyAlignment="1" borderId="16" fillId="33" fontId="5" numFmtId="0" pivotButton="0" quotePrefix="0" xfId="0">
      <alignment horizontal="center" vertical="center"/>
    </xf>
    <xf applyAlignment="1" borderId="16" fillId="32" fontId="5" numFmtId="0" pivotButton="0" quotePrefix="0" xfId="0">
      <alignment horizontal="center" vertical="center"/>
    </xf>
    <xf applyAlignment="1" borderId="16" fillId="34" fontId="5" numFmtId="0" pivotButton="0" quotePrefix="0" xfId="0">
      <alignment horizontal="center" vertical="center"/>
    </xf>
    <xf applyAlignment="1" borderId="16" fillId="35" fontId="5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tabSelected="1" topLeftCell="A26" workbookViewId="0">
      <selection activeCell="D38" sqref="D38"/>
    </sheetView>
  </sheetViews>
  <sheetFormatPr baseColWidth="10" defaultColWidth="8.83203125" defaultRowHeight="15"/>
  <cols>
    <col customWidth="1" max="1" min="1" width="19"/>
    <col bestFit="1" customWidth="1" max="2" min="2" style="80" width="57.33203125"/>
    <col bestFit="1" customWidth="1" max="3" min="3" style="80" width="11.5"/>
    <col bestFit="1" customWidth="1" max="4" min="4" style="80" width="11.33203125"/>
    <col bestFit="1" customWidth="1" max="6" min="6" width="9.5"/>
    <col bestFit="1" customWidth="1" max="8" min="8" width="9.33203125"/>
  </cols>
  <sheetData>
    <row customHeight="1" ht="20" r="1">
      <c r="A1" s="1" t="n"/>
      <c r="B1" s="2" t="inlineStr">
        <is>
          <t>Activity Name</t>
        </is>
      </c>
      <c r="C1" s="2" t="inlineStr">
        <is>
          <t>Start</t>
        </is>
      </c>
      <c r="D1" s="3" t="inlineStr">
        <is>
          <t>Finish</t>
        </is>
      </c>
    </row>
    <row customHeight="1" ht="24" r="2">
      <c r="A2" s="4" t="n"/>
      <c r="B2" s="5" t="inlineStr">
        <is>
          <t xml:space="preserve">  Key Project Milestones</t>
        </is>
      </c>
      <c r="C2" s="6">
        <f>MIN(C3:C12)</f>
        <v/>
      </c>
      <c r="D2" s="7">
        <f>MAX(D3:D12)</f>
        <v/>
      </c>
    </row>
    <row r="3">
      <c r="A3" s="8" t="inlineStr">
        <is>
          <t>GW</t>
        </is>
      </c>
      <c r="B3" s="9" t="inlineStr">
        <is>
          <t>GW 1/2</t>
        </is>
      </c>
      <c r="C3" s="10" t="n">
        <v>43739</v>
      </c>
      <c r="D3" s="11">
        <f>C3+2</f>
        <v/>
      </c>
    </row>
    <row r="4">
      <c r="A4" s="8" t="inlineStr">
        <is>
          <t>QG</t>
        </is>
      </c>
      <c r="B4" s="9" t="inlineStr">
        <is>
          <t>Quality Gate 3</t>
        </is>
      </c>
      <c r="C4" s="10" t="n">
        <v>43893</v>
      </c>
      <c r="D4" s="11">
        <f>C4+2</f>
        <v/>
      </c>
    </row>
    <row r="5">
      <c r="A5" s="8" t="inlineStr">
        <is>
          <t>GW</t>
        </is>
      </c>
      <c r="B5" s="9" t="inlineStr">
        <is>
          <t>GW 3/4</t>
        </is>
      </c>
      <c r="C5" s="10" t="n">
        <v>43922</v>
      </c>
      <c r="D5" s="11">
        <f>C5+1</f>
        <v/>
      </c>
    </row>
    <row r="6">
      <c r="A6" s="8" t="inlineStr">
        <is>
          <t>GW</t>
        </is>
      </c>
      <c r="B6" s="9" t="inlineStr">
        <is>
          <t xml:space="preserve">Machine Ready for Field </t>
        </is>
      </c>
      <c r="C6" s="10">
        <f>D28</f>
        <v/>
      </c>
      <c r="D6" s="11">
        <f>C6+1</f>
        <v/>
      </c>
      <c r="F6" s="12" t="n"/>
    </row>
    <row r="7">
      <c r="A7" s="8" t="inlineStr">
        <is>
          <t>DF</t>
        </is>
      </c>
      <c r="B7" s="9" t="inlineStr">
        <is>
          <t>Pilot EDS Freeze</t>
        </is>
      </c>
      <c r="C7" s="10" t="n">
        <v>44077</v>
      </c>
      <c r="D7" s="11">
        <f>C7+2</f>
        <v/>
      </c>
    </row>
    <row r="8">
      <c r="A8" s="8" t="inlineStr">
        <is>
          <t>GW</t>
        </is>
      </c>
      <c r="B8" s="9" t="inlineStr">
        <is>
          <t>Endurance Complete</t>
        </is>
      </c>
      <c r="C8" s="10">
        <f>D108</f>
        <v/>
      </c>
      <c r="D8" s="11">
        <f>C8</f>
        <v/>
      </c>
    </row>
    <row r="9">
      <c r="A9" s="8" t="inlineStr">
        <is>
          <t>DF</t>
        </is>
      </c>
      <c r="B9" s="9" t="inlineStr">
        <is>
          <t>Production EDS Freeze</t>
        </is>
      </c>
      <c r="C9" s="10" t="n">
        <v>44531</v>
      </c>
      <c r="D9" s="11">
        <f>C9+2</f>
        <v/>
      </c>
    </row>
    <row r="10">
      <c r="A10" s="8" t="inlineStr">
        <is>
          <t>GW</t>
        </is>
      </c>
      <c r="B10" s="9" t="inlineStr">
        <is>
          <t>GW 5</t>
        </is>
      </c>
      <c r="C10" s="10" t="n">
        <v>44228</v>
      </c>
      <c r="D10" s="11">
        <f>C10+2</f>
        <v/>
      </c>
      <c r="F10" s="12" t="n"/>
    </row>
    <row r="11">
      <c r="A11" s="8" t="inlineStr">
        <is>
          <t>GW</t>
        </is>
      </c>
      <c r="B11" s="9" t="inlineStr">
        <is>
          <t>GW 5.5</t>
        </is>
      </c>
      <c r="C11" s="10" t="n">
        <v>44540</v>
      </c>
      <c r="D11" s="11">
        <f>C11+1</f>
        <v/>
      </c>
    </row>
    <row r="12">
      <c r="A12" s="8" t="inlineStr">
        <is>
          <t>GW</t>
        </is>
      </c>
      <c r="B12" s="9" t="inlineStr">
        <is>
          <t>GW 6</t>
        </is>
      </c>
      <c r="C12" s="10" t="n">
        <v>44682</v>
      </c>
      <c r="D12" s="11">
        <f>C12+3</f>
        <v/>
      </c>
    </row>
    <row customHeight="1" ht="24" r="13">
      <c r="A13" s="4" t="n"/>
      <c r="B13" s="5" t="inlineStr">
        <is>
          <t xml:space="preserve">  Key Validation reviews</t>
        </is>
      </c>
      <c r="C13" s="6">
        <f>MIN(C14:C16)</f>
        <v/>
      </c>
      <c r="D13" s="7">
        <f>MAX(D14:D16)</f>
        <v/>
      </c>
    </row>
    <row r="14">
      <c r="A14" s="8" t="inlineStr">
        <is>
          <t>VR</t>
        </is>
      </c>
      <c r="B14" s="9" t="inlineStr">
        <is>
          <t>Validation Review 3</t>
        </is>
      </c>
      <c r="C14" s="10">
        <f>C4</f>
        <v/>
      </c>
      <c r="D14" s="11">
        <f>C14+2</f>
        <v/>
      </c>
      <c r="G14" s="12">
        <f>MIN(C2,C13,C17,C27,C37,C42,C54,C89,C111,C127)</f>
        <v/>
      </c>
      <c r="H14" s="12">
        <f>MAX(D2,D13,D17,D27,D37,D42,D54,D89,D111,D127)</f>
        <v/>
      </c>
    </row>
    <row r="15">
      <c r="A15" s="8" t="inlineStr">
        <is>
          <t>VR</t>
        </is>
      </c>
      <c r="B15" s="9" t="inlineStr">
        <is>
          <t>Validation Review 4</t>
        </is>
      </c>
      <c r="C15" s="10" t="n">
        <v>44044</v>
      </c>
      <c r="D15" s="11">
        <f>C15</f>
        <v/>
      </c>
    </row>
    <row r="16">
      <c r="A16" s="8" t="inlineStr">
        <is>
          <t>VR</t>
        </is>
      </c>
      <c r="B16" s="9" t="inlineStr">
        <is>
          <t>Validation Review 5</t>
        </is>
      </c>
      <c r="C16" s="10" t="n">
        <v>44137</v>
      </c>
      <c r="D16" s="11">
        <f>C16</f>
        <v/>
      </c>
    </row>
    <row customHeight="1" ht="24" r="17">
      <c r="A17" s="13" t="n"/>
      <c r="B17" s="14" t="inlineStr">
        <is>
          <t xml:space="preserve">  Software Milestones</t>
        </is>
      </c>
      <c r="C17" s="15">
        <f>MIN(C18:C26)</f>
        <v/>
      </c>
      <c r="D17" s="16">
        <f>MAX(D18:D26)</f>
        <v/>
      </c>
    </row>
    <row r="18">
      <c r="A18" s="8" t="inlineStr">
        <is>
          <t>SW</t>
        </is>
      </c>
      <c r="B18" s="9" t="inlineStr">
        <is>
          <t>Receive V01 SW</t>
        </is>
      </c>
      <c r="C18" s="10" t="n">
        <v>43791</v>
      </c>
      <c r="D18" s="11">
        <f>C18+1</f>
        <v/>
      </c>
    </row>
    <row r="19">
      <c r="A19" s="8" t="inlineStr">
        <is>
          <t>SW</t>
        </is>
      </c>
      <c r="B19" s="9" t="inlineStr">
        <is>
          <t>V02 SW Content Freeze</t>
        </is>
      </c>
      <c r="C19" s="10" t="n">
        <v>43814</v>
      </c>
      <c r="D19" s="11">
        <f>C19+1</f>
        <v/>
      </c>
    </row>
    <row r="20">
      <c r="A20" s="8" t="inlineStr">
        <is>
          <t>SW</t>
        </is>
      </c>
      <c r="B20" s="9" t="inlineStr">
        <is>
          <t>Receive V02 SW</t>
        </is>
      </c>
      <c r="C20" s="10" t="n">
        <v>43882</v>
      </c>
      <c r="D20" s="11">
        <f>C20+1</f>
        <v/>
      </c>
    </row>
    <row r="21">
      <c r="A21" s="8" t="inlineStr">
        <is>
          <t>SW</t>
        </is>
      </c>
      <c r="B21" s="9" t="inlineStr">
        <is>
          <t>V03 SW Content Freeze</t>
        </is>
      </c>
      <c r="C21" s="10" t="n">
        <v>43891</v>
      </c>
      <c r="D21" s="11">
        <f>C21+1</f>
        <v/>
      </c>
    </row>
    <row r="22">
      <c r="A22" s="8" t="inlineStr">
        <is>
          <t>SW</t>
        </is>
      </c>
      <c r="B22" s="9" t="inlineStr">
        <is>
          <t>Receive V03 SW</t>
        </is>
      </c>
      <c r="C22" s="10" t="n">
        <v>43945</v>
      </c>
      <c r="D22" s="11">
        <f>C22+1</f>
        <v/>
      </c>
    </row>
    <row r="23">
      <c r="A23" s="8" t="inlineStr">
        <is>
          <t>SW</t>
        </is>
      </c>
      <c r="B23" s="9" t="inlineStr">
        <is>
          <t>V04 SW Content Freeze</t>
        </is>
      </c>
      <c r="C23" s="10" t="n">
        <v>43962</v>
      </c>
      <c r="D23" s="11">
        <f>C23+1</f>
        <v/>
      </c>
    </row>
    <row r="24">
      <c r="A24" s="8" t="inlineStr">
        <is>
          <t>SW</t>
        </is>
      </c>
      <c r="B24" s="9" t="inlineStr">
        <is>
          <t>Receive V04 SW (Pilot)</t>
        </is>
      </c>
      <c r="C24" s="10" t="n">
        <v>44001</v>
      </c>
      <c r="D24" s="11">
        <f>C24+1</f>
        <v/>
      </c>
    </row>
    <row r="25">
      <c r="A25" s="8" t="inlineStr">
        <is>
          <t>SW</t>
        </is>
      </c>
      <c r="B25" s="9" t="inlineStr">
        <is>
          <t>V05 SW Content Freeze</t>
        </is>
      </c>
      <c r="C25" s="10" t="n">
        <v>44010</v>
      </c>
      <c r="D25" s="11">
        <f>C25+1</f>
        <v/>
      </c>
    </row>
    <row r="26">
      <c r="A26" s="8" t="inlineStr">
        <is>
          <t>SW</t>
        </is>
      </c>
      <c r="B26" s="9" t="inlineStr">
        <is>
          <t>Receive V04 SW (Pilot)</t>
        </is>
      </c>
      <c r="C26" s="10" t="n">
        <v>44036</v>
      </c>
      <c r="D26" s="11">
        <f>C26</f>
        <v/>
      </c>
    </row>
    <row customHeight="1" ht="24" r="27">
      <c r="A27" s="17" t="n"/>
      <c r="B27" s="18" t="inlineStr">
        <is>
          <t>TIC Report Milestones</t>
        </is>
      </c>
      <c r="C27" s="19">
        <f>MIN(C30:C35)</f>
        <v/>
      </c>
      <c r="D27" s="20">
        <f>MAX(D30:D35)</f>
        <v/>
      </c>
    </row>
    <row r="28">
      <c r="A28" s="8" t="inlineStr">
        <is>
          <t>Pilot</t>
        </is>
      </c>
      <c r="B28" s="60" t="inlineStr">
        <is>
          <t>EMC-Pilot- Pilot</t>
        </is>
      </c>
      <c r="C28" s="10">
        <f>D101+23</f>
        <v/>
      </c>
      <c r="D28" s="11">
        <f>C28+1</f>
        <v/>
      </c>
    </row>
    <row r="29">
      <c r="A29" s="8" t="inlineStr">
        <is>
          <t>Pilot</t>
        </is>
      </c>
      <c r="B29" s="60" t="inlineStr">
        <is>
          <t>ISO 9533 Horn, Back-up Alarm EN474 HAWB- Pilot</t>
        </is>
      </c>
      <c r="C29" s="10">
        <f>D28+2</f>
        <v/>
      </c>
      <c r="D29" s="11">
        <f>C29+1</f>
        <v/>
      </c>
      <c r="H29" s="22" t="n"/>
      <c r="I29" s="22" t="n"/>
    </row>
    <row r="30">
      <c r="A30" s="8" t="inlineStr">
        <is>
          <t>Pilot</t>
        </is>
      </c>
      <c r="B30" s="60" t="inlineStr">
        <is>
          <t>ISO 5010 Steering Feasibility (Pilot)</t>
        </is>
      </c>
      <c r="C30" s="10" t="n">
        <v>44067</v>
      </c>
      <c r="D30" s="11">
        <f>C30+1</f>
        <v/>
      </c>
    </row>
    <row r="31">
      <c r="A31" s="8" t="inlineStr">
        <is>
          <t>Pilot</t>
        </is>
      </c>
      <c r="B31" s="60" t="inlineStr">
        <is>
          <t>ISO 3450 Brake Feasibility (Pilot)</t>
        </is>
      </c>
      <c r="C31" s="10" t="n">
        <v>44069</v>
      </c>
      <c r="D31" s="11">
        <f>C31+1</f>
        <v/>
      </c>
    </row>
    <row r="32">
      <c r="A32" s="8" t="inlineStr">
        <is>
          <t>Production</t>
        </is>
      </c>
      <c r="B32" s="60" t="inlineStr">
        <is>
          <t>Stg V EMC CERT</t>
        </is>
      </c>
      <c r="C32" s="10">
        <f>D123+60</f>
        <v/>
      </c>
      <c r="D32" s="11">
        <f>C32+1</f>
        <v/>
      </c>
    </row>
    <row r="33">
      <c r="A33" s="8" t="inlineStr">
        <is>
          <t>Production</t>
        </is>
      </c>
      <c r="B33" s="60" t="inlineStr">
        <is>
          <t>ISO 3450 Brake CERT</t>
        </is>
      </c>
      <c r="C33" s="10" t="n">
        <v>44311</v>
      </c>
      <c r="D33" s="11">
        <f>C33+2</f>
        <v/>
      </c>
    </row>
    <row r="34">
      <c r="A34" s="8" t="inlineStr">
        <is>
          <t>Production</t>
        </is>
      </c>
      <c r="B34" s="60" t="inlineStr">
        <is>
          <t>ISO 5010 Steering CERT</t>
        </is>
      </c>
      <c r="C34" s="10" t="n">
        <v>44332</v>
      </c>
      <c r="D34" s="11">
        <f>C34+1</f>
        <v/>
      </c>
    </row>
    <row r="35">
      <c r="A35" s="8" t="inlineStr">
        <is>
          <t>Production</t>
        </is>
      </c>
      <c r="B35" s="60" t="inlineStr">
        <is>
          <t>ISO 9533 Horn, Back-up Alarm HAWB CERT</t>
        </is>
      </c>
      <c r="C35" s="10" t="n">
        <v>44430</v>
      </c>
      <c r="D35" s="11">
        <f>C35+1</f>
        <v/>
      </c>
    </row>
    <row r="36">
      <c r="A36" s="8" t="inlineStr">
        <is>
          <t>Production</t>
        </is>
      </c>
      <c r="B36" s="60" t="inlineStr">
        <is>
          <t>ISO 10570-Articulation Lock CERT</t>
        </is>
      </c>
      <c r="C36" s="10" t="n">
        <v>44341</v>
      </c>
      <c r="D36" s="11">
        <f>C36+1</f>
        <v/>
      </c>
    </row>
    <row customHeight="1" ht="20" r="37">
      <c r="A37" s="23" t="n"/>
      <c r="B37" s="24" t="inlineStr">
        <is>
          <t>Tech Center ShakeTable</t>
        </is>
      </c>
      <c r="C37" s="25">
        <f>MIN(C38:C39)</f>
        <v/>
      </c>
      <c r="D37" s="26">
        <f>MAX(D38:D39)</f>
        <v/>
      </c>
    </row>
    <row r="38">
      <c r="A38" s="8" t="inlineStr">
        <is>
          <t>Parts</t>
        </is>
      </c>
      <c r="B38" s="77" t="inlineStr">
        <is>
          <t>Hood arrives at Tech Center, Peoria</t>
        </is>
      </c>
      <c r="C38" s="30" t="n">
        <v>43789</v>
      </c>
      <c r="D38" s="67" t="n">
        <v>43814</v>
      </c>
    </row>
    <row r="39">
      <c r="A39" s="8" t="inlineStr">
        <is>
          <t>Shake Table</t>
        </is>
      </c>
      <c r="B39" s="77" t="inlineStr">
        <is>
          <t>Stage V Shake Table # 1</t>
        </is>
      </c>
      <c r="C39" s="30" t="n">
        <v>43836</v>
      </c>
      <c r="D39" s="67" t="n">
        <v>43861</v>
      </c>
    </row>
    <row r="40">
      <c r="A40" s="8" t="inlineStr">
        <is>
          <t>Machine Build</t>
        </is>
      </c>
      <c r="B40" s="77" t="inlineStr">
        <is>
          <t>Machine Update for OMSA # 2</t>
        </is>
      </c>
      <c r="C40" s="30" t="n">
        <v>44053</v>
      </c>
      <c r="D40" s="30">
        <f>WORKDAY(C40,8)</f>
        <v/>
      </c>
    </row>
    <row r="41">
      <c r="A41" s="8" t="inlineStr">
        <is>
          <t>Shake Table</t>
        </is>
      </c>
      <c r="B41" s="77" t="inlineStr">
        <is>
          <t>Stage V Shake Table # 2 with OMSA Drive File (Post Machine OMSA)</t>
        </is>
      </c>
      <c r="C41" s="30" t="n">
        <v>44075</v>
      </c>
      <c r="D41" s="30">
        <f>WORKDAY(C41,40)</f>
        <v/>
      </c>
    </row>
    <row customHeight="1" ht="20" r="42">
      <c r="A42" s="23" t="n"/>
      <c r="B42" s="31" t="inlineStr">
        <is>
          <t>966GC T3 TB #3 (SGW00208)</t>
        </is>
      </c>
      <c r="C42" s="32">
        <f>MIN(C43:C53)</f>
        <v/>
      </c>
      <c r="D42" s="32">
        <f>MAX(D43:D53)</f>
        <v/>
      </c>
    </row>
    <row r="43">
      <c r="A43" s="33" t="inlineStr">
        <is>
          <t>Transmission</t>
        </is>
      </c>
      <c r="B43" s="34" t="inlineStr">
        <is>
          <t xml:space="preserve">Shift Dev </t>
        </is>
      </c>
      <c r="C43" s="30" t="n">
        <v>43804</v>
      </c>
      <c r="D43" s="30">
        <f>WORKDAY(C43,6)</f>
        <v/>
      </c>
    </row>
    <row r="44">
      <c r="A44" s="33" t="inlineStr">
        <is>
          <t>HVAC</t>
        </is>
      </c>
      <c r="B44" s="34" t="inlineStr">
        <is>
          <t>HVAC Perf Checkout</t>
        </is>
      </c>
      <c r="C44" s="30">
        <f>D43+3</f>
        <v/>
      </c>
      <c r="D44" s="30">
        <f>WORKDAY(C44,3)</f>
        <v/>
      </c>
    </row>
    <row customHeight="1" ht="16.25" r="45">
      <c r="A45" s="39" t="inlineStr">
        <is>
          <t>Cooling2</t>
        </is>
      </c>
      <c r="B45" s="54" t="inlineStr">
        <is>
          <t>Water system/ With Prod Rad Fixes</t>
        </is>
      </c>
      <c r="C45" s="37" t="n">
        <v>43836</v>
      </c>
      <c r="D45" s="30">
        <f>WORKDAY(C45,6)</f>
        <v/>
      </c>
    </row>
    <row customHeight="1" ht="16.25" r="46">
      <c r="A46" s="39" t="inlineStr">
        <is>
          <t>Performance</t>
        </is>
      </c>
      <c r="B46" s="54" t="inlineStr">
        <is>
          <t>L5 Tuning</t>
        </is>
      </c>
      <c r="C46" s="30">
        <f>WORKDAY(D44,19)</f>
        <v/>
      </c>
      <c r="D46" s="30">
        <f>WORKDAY(C46,7)</f>
        <v/>
      </c>
    </row>
    <row customHeight="1" ht="16.25" r="47">
      <c r="A47" s="39" t="inlineStr">
        <is>
          <t>Opr Eval</t>
        </is>
      </c>
      <c r="B47" s="54" t="inlineStr">
        <is>
          <t>Operator Eval</t>
        </is>
      </c>
      <c r="C47" s="30">
        <f>WORKDAY(D46,1)</f>
        <v/>
      </c>
      <c r="D47" s="30">
        <f>WORKDAY(C47,2)</f>
        <v/>
      </c>
    </row>
    <row customHeight="1" ht="16.25" r="48">
      <c r="A48" s="39" t="inlineStr">
        <is>
          <t>Endurance</t>
        </is>
      </c>
      <c r="B48" s="54" t="inlineStr">
        <is>
          <t>Endurance-250 hrs</t>
        </is>
      </c>
      <c r="C48" s="30">
        <f>WORKDAY(D47,1)</f>
        <v/>
      </c>
      <c r="D48" s="30">
        <f>WORKDAY(C48,8)</f>
        <v/>
      </c>
    </row>
    <row customHeight="1" ht="16.25" r="49">
      <c r="A49" s="39" t="inlineStr">
        <is>
          <t>Inspection</t>
        </is>
      </c>
      <c r="B49" s="54" t="inlineStr">
        <is>
          <t>Final Inspection</t>
        </is>
      </c>
      <c r="C49" s="30">
        <f>D48+1</f>
        <v/>
      </c>
      <c r="D49" s="30">
        <f>C49+6</f>
        <v/>
      </c>
    </row>
    <row r="50">
      <c r="A50" s="39" t="inlineStr">
        <is>
          <t>Machine Build</t>
        </is>
      </c>
      <c r="B50" s="70" t="inlineStr">
        <is>
          <t>Machine Update</t>
        </is>
      </c>
      <c r="C50" s="30">
        <f>WORKDAY(D49,1)</f>
        <v/>
      </c>
      <c r="D50" s="30">
        <f>WORKDAY(C50,10)</f>
        <v/>
      </c>
    </row>
    <row r="51">
      <c r="A51" s="39" t="inlineStr">
        <is>
          <t>Light Structures</t>
        </is>
      </c>
      <c r="B51" s="70" t="inlineStr">
        <is>
          <t>Light Structures (Stg V Hood) OMSA #1 (Contingency)</t>
        </is>
      </c>
      <c r="C51" s="30">
        <f>WORKDAY(D50,1)</f>
        <v/>
      </c>
      <c r="D51" s="67">
        <f>C51+63</f>
        <v/>
      </c>
    </row>
    <row r="52">
      <c r="A52" s="39" t="inlineStr">
        <is>
          <t>Machine Build</t>
        </is>
      </c>
      <c r="B52" s="70" t="inlineStr">
        <is>
          <t>Machine Update</t>
        </is>
      </c>
      <c r="C52" s="30">
        <f>WORKDAY(D51,50)</f>
        <v/>
      </c>
      <c r="D52" s="30">
        <f>WORKDAY(C52,10)</f>
        <v/>
      </c>
    </row>
    <row r="53">
      <c r="A53" s="39" t="inlineStr">
        <is>
          <t>Light Structures</t>
        </is>
      </c>
      <c r="B53" s="70" t="inlineStr">
        <is>
          <t xml:space="preserve">Light Structures (Stg V Hood) OMSA #2 (Likely Path) </t>
        </is>
      </c>
      <c r="C53" s="30" t="n">
        <v>44046</v>
      </c>
      <c r="D53" s="30">
        <f>WORKDAY(C53,40)</f>
        <v/>
      </c>
    </row>
    <row customHeight="1" ht="20" r="54">
      <c r="A54" s="41" t="n"/>
      <c r="B54" s="42" t="inlineStr">
        <is>
          <t>966GC Stage V TB #1 (SGW00201)</t>
        </is>
      </c>
      <c r="C54" s="32">
        <f>MIN(C55:C88)</f>
        <v/>
      </c>
      <c r="D54" s="32">
        <f>MAX(D55:D88)</f>
        <v/>
      </c>
    </row>
    <row r="55">
      <c r="A55" s="43" t="inlineStr">
        <is>
          <t>Machine Ship</t>
        </is>
      </c>
      <c r="B55" s="44" t="inlineStr">
        <is>
          <t>Ship Machine Aurora MDC</t>
        </is>
      </c>
      <c r="C55" s="30" t="n">
        <v>43836</v>
      </c>
      <c r="D55" s="30">
        <f>WORKDAY(C55,2)</f>
        <v/>
      </c>
    </row>
    <row r="56">
      <c r="A56" s="43" t="inlineStr">
        <is>
          <t>Machine Build</t>
        </is>
      </c>
      <c r="B56" s="44" t="inlineStr">
        <is>
          <t>Machine Build (Teardown and start build Jan 26)</t>
        </is>
      </c>
      <c r="C56" s="30">
        <f>WORKDAY(D55,3)</f>
        <v/>
      </c>
      <c r="D56" s="30">
        <f>WORKDAY(C56,30)</f>
        <v/>
      </c>
    </row>
    <row r="57">
      <c r="A57" s="43" t="inlineStr">
        <is>
          <t>Machine Build</t>
        </is>
      </c>
      <c r="B57" s="44" t="inlineStr">
        <is>
          <t xml:space="preserve">Build Issue resolution </t>
        </is>
      </c>
      <c r="C57" s="30">
        <f>WORKDAY(D56,1)</f>
        <v/>
      </c>
      <c r="D57" s="30">
        <f>WORKDAY(C57,3)</f>
        <v/>
      </c>
    </row>
    <row r="58">
      <c r="A58" s="43" t="inlineStr">
        <is>
          <t>Machine Ship</t>
        </is>
      </c>
      <c r="B58" s="44" t="inlineStr">
        <is>
          <t>Ship Machine PPG</t>
        </is>
      </c>
      <c r="C58" s="30">
        <f>WORKDAY(D57,2)</f>
        <v/>
      </c>
      <c r="D58" s="30">
        <f>WORKDAY(C58,1)</f>
        <v/>
      </c>
    </row>
    <row r="59">
      <c r="A59" s="43" t="inlineStr">
        <is>
          <t>Machine Check</t>
        </is>
      </c>
      <c r="B59" s="70" t="inlineStr">
        <is>
          <t>Machine Checkout STP-64</t>
        </is>
      </c>
      <c r="C59" s="30">
        <f>WORKDAY(D58,1)</f>
        <v/>
      </c>
      <c r="D59" s="30">
        <f>WORKDAY(C59,4)</f>
        <v/>
      </c>
    </row>
    <row r="60">
      <c r="A60" s="43" t="inlineStr">
        <is>
          <t>SW</t>
        </is>
      </c>
      <c r="B60" s="70" t="inlineStr">
        <is>
          <t>Ver 01 SW (STP 230/289) (Steering, L5, XSMN)</t>
        </is>
      </c>
      <c r="C60" s="30">
        <f>WORKDAY(D59,1)</f>
        <v/>
      </c>
      <c r="D60" s="30">
        <f>WORKDAY(C60,11)</f>
        <v/>
      </c>
    </row>
    <row r="61">
      <c r="A61" s="43" t="inlineStr">
        <is>
          <t>NVH</t>
        </is>
      </c>
      <c r="B61" s="70" t="inlineStr">
        <is>
          <t>Sound Development (Machine, Cab Sound)</t>
        </is>
      </c>
      <c r="C61" s="30">
        <f>WORKDAY(D60,1)</f>
        <v/>
      </c>
      <c r="D61" s="30">
        <f>WORKDAY(C61,4)</f>
        <v/>
      </c>
    </row>
    <row r="62">
      <c r="A62" s="43" t="inlineStr">
        <is>
          <t>Performance</t>
        </is>
      </c>
      <c r="B62" s="70" t="inlineStr">
        <is>
          <t>L5 Performance Check (Include Thermal Mgmt Valve)</t>
        </is>
      </c>
      <c r="C62" s="30">
        <f>WORKDAY(D61,1)</f>
        <v/>
      </c>
      <c r="D62" s="30">
        <f>WORKDAY(C62,7)</f>
        <v/>
      </c>
    </row>
    <row r="63">
      <c r="A63" s="45" t="inlineStr">
        <is>
          <t>Engine</t>
        </is>
      </c>
      <c r="B63" s="70" t="inlineStr">
        <is>
          <t>C9.3B Stage V Engine Performance</t>
        </is>
      </c>
      <c r="C63" s="30">
        <f>WORKDAY(D62,1)</f>
        <v/>
      </c>
      <c r="D63" s="30">
        <f>WORKDAY(C63,1)</f>
        <v/>
      </c>
    </row>
    <row r="64">
      <c r="A64" s="45" t="inlineStr">
        <is>
          <t>Transmission</t>
        </is>
      </c>
      <c r="B64" s="70" t="inlineStr">
        <is>
          <t>Trans Tuning</t>
        </is>
      </c>
      <c r="C64" s="30">
        <f>WORKDAY(D63,1)</f>
        <v/>
      </c>
      <c r="D64" s="30">
        <f>WORKDAY(C64,4)</f>
        <v/>
      </c>
    </row>
    <row r="65">
      <c r="A65" s="45" t="inlineStr">
        <is>
          <t>Performance</t>
        </is>
      </c>
      <c r="B65" s="70" t="inlineStr">
        <is>
          <t>L5 Tuning # 1</t>
        </is>
      </c>
      <c r="C65" s="30">
        <f>WORKDAY(D64,1)</f>
        <v/>
      </c>
      <c r="D65" s="30">
        <f>WORKDAY(C65,3)</f>
        <v/>
      </c>
    </row>
    <row r="66">
      <c r="A66" s="43" t="inlineStr">
        <is>
          <t>Performance</t>
        </is>
      </c>
      <c r="B66" s="70" t="inlineStr">
        <is>
          <t xml:space="preserve">Operator Eval </t>
        </is>
      </c>
      <c r="C66" s="30">
        <f>WORKDAY(D65,1)</f>
        <v/>
      </c>
      <c r="D66" s="30">
        <f>WORKDAY(C66,0)</f>
        <v/>
      </c>
    </row>
    <row r="67">
      <c r="A67" s="43" t="inlineStr">
        <is>
          <t>Performance</t>
        </is>
      </c>
      <c r="B67" s="46" t="inlineStr">
        <is>
          <t>Rimpull/Response</t>
        </is>
      </c>
      <c r="C67" s="30">
        <f>WORKDAY(D66,1)</f>
        <v/>
      </c>
      <c r="D67" s="30">
        <f>WORKDAY(C67,13)</f>
        <v/>
      </c>
    </row>
    <row r="68">
      <c r="A68" s="43" t="inlineStr">
        <is>
          <t>HVAC</t>
        </is>
      </c>
      <c r="B68" s="70" t="inlineStr">
        <is>
          <t>HVAC Perf Checkout</t>
        </is>
      </c>
      <c r="C68" s="30">
        <f>WORKDAY(D67,1)</f>
        <v/>
      </c>
      <c r="D68" s="30">
        <f>WORKDAY(C68,2)</f>
        <v/>
      </c>
    </row>
    <row r="69">
      <c r="A69" s="43" t="inlineStr">
        <is>
          <t>Issue</t>
        </is>
      </c>
      <c r="B69" s="70" t="inlineStr">
        <is>
          <t>Issue Resolution # 1</t>
        </is>
      </c>
      <c r="C69" s="30">
        <f>WORKDAY(D68,1)</f>
        <v/>
      </c>
      <c r="D69" s="30">
        <f>WORKDAY(C69,6)</f>
        <v/>
      </c>
    </row>
    <row r="70">
      <c r="A70" s="43" t="inlineStr">
        <is>
          <t>SW</t>
        </is>
      </c>
      <c r="B70" s="70" t="inlineStr">
        <is>
          <t>Ver 02 SW (STP 230/289) (Steering, L5, XSMN)</t>
        </is>
      </c>
      <c r="C70" s="30">
        <f>WORKDAY(D69,1)</f>
        <v/>
      </c>
      <c r="D70" s="30">
        <f>WORKDAY(C70,1)</f>
        <v/>
      </c>
    </row>
    <row r="71">
      <c r="A71" s="43" t="inlineStr">
        <is>
          <t>Audit</t>
        </is>
      </c>
      <c r="B71" s="70" t="inlineStr">
        <is>
          <t>Safety/Serviceability audit</t>
        </is>
      </c>
      <c r="C71" s="30">
        <f>WORKDAY(D70,1)</f>
        <v/>
      </c>
      <c r="D71" s="30">
        <f>WORKDAY(C71,1)</f>
        <v/>
      </c>
    </row>
    <row r="72">
      <c r="A72" s="43" t="inlineStr">
        <is>
          <t>Cooling 2</t>
        </is>
      </c>
      <c r="B72" s="70" t="inlineStr">
        <is>
          <t xml:space="preserve">Water Flow and Water System </t>
        </is>
      </c>
      <c r="C72" s="30">
        <f>WORKDAY(D71,2)</f>
        <v/>
      </c>
      <c r="D72" s="30">
        <f>WORKDAY(C72,8)</f>
        <v/>
      </c>
    </row>
    <row r="73">
      <c r="A73" s="43" t="inlineStr">
        <is>
          <t>Cooling 3</t>
        </is>
      </c>
      <c r="B73" s="47" t="inlineStr">
        <is>
          <t>Stg V Ambient Capability and UHT (Include AOC Channels)</t>
        </is>
      </c>
      <c r="C73" s="30">
        <f>WORKDAY(D72,1)</f>
        <v/>
      </c>
      <c r="D73" s="30">
        <f>WORKDAY(C73,38)</f>
        <v/>
      </c>
    </row>
    <row r="74">
      <c r="A74" s="43" t="inlineStr">
        <is>
          <t>EIC</t>
        </is>
      </c>
      <c r="B74" s="70" t="inlineStr">
        <is>
          <t>Dust Ejector Measurement</t>
        </is>
      </c>
      <c r="C74" s="30">
        <f>WORKDAY(D73,1)</f>
        <v/>
      </c>
      <c r="D74" s="30">
        <f>WORKDAY(C74,3)</f>
        <v/>
      </c>
    </row>
    <row r="75">
      <c r="A75" s="43" t="inlineStr">
        <is>
          <t>Engine</t>
        </is>
      </c>
      <c r="B75" s="70" t="inlineStr">
        <is>
          <t>STP 401 Engine Install Audit</t>
        </is>
      </c>
      <c r="C75" s="30">
        <f>WORKDAY(D74,1)</f>
        <v/>
      </c>
      <c r="D75" s="30">
        <f>WORKDAY(C75,1)</f>
        <v/>
      </c>
    </row>
    <row r="76">
      <c r="A76" s="43" t="inlineStr">
        <is>
          <t>Engine</t>
        </is>
      </c>
      <c r="B76" s="70" t="inlineStr">
        <is>
          <t>DEF and Fuel Tank Calibration</t>
        </is>
      </c>
      <c r="C76" s="30">
        <f>WORKDAY(D75,1)</f>
        <v/>
      </c>
      <c r="D76" s="30">
        <f>WORKDAY(C76,1)</f>
        <v/>
      </c>
    </row>
    <row r="77">
      <c r="A77" s="43" t="inlineStr">
        <is>
          <t>SW</t>
        </is>
      </c>
      <c r="B77" s="70" t="inlineStr">
        <is>
          <t>Ver 03 SW (STP 230/289) (L5, XSMN, Engine)</t>
        </is>
      </c>
      <c r="C77" s="30">
        <f>WORKDAY(D76,1)</f>
        <v/>
      </c>
      <c r="D77" s="30">
        <f>WORKDAY(C77,1)</f>
        <v/>
      </c>
    </row>
    <row r="78">
      <c r="A78" s="43" t="inlineStr">
        <is>
          <t>Structures2</t>
        </is>
      </c>
      <c r="B78" s="70" t="inlineStr">
        <is>
          <t>Limited Slip Differential Development Driveline Signature</t>
        </is>
      </c>
      <c r="C78" s="30">
        <f>WORKDAY(D77,1)</f>
        <v/>
      </c>
      <c r="D78" s="30">
        <f>WORKDAY(C78,35)</f>
        <v/>
      </c>
    </row>
    <row r="79">
      <c r="A79" s="43" t="inlineStr">
        <is>
          <t>Issue</t>
        </is>
      </c>
      <c r="B79" s="70" t="inlineStr">
        <is>
          <t>Issue Resolution # 2</t>
        </is>
      </c>
      <c r="C79" s="30">
        <f>WORKDAY(D78,1)</f>
        <v/>
      </c>
      <c r="D79" s="30">
        <f>WORKDAY(C79,6)</f>
        <v/>
      </c>
    </row>
    <row r="80">
      <c r="A80" s="43" t="inlineStr">
        <is>
          <t>Product Support</t>
        </is>
      </c>
      <c r="B80" s="70" t="inlineStr">
        <is>
          <t>Dealer Service Training</t>
        </is>
      </c>
      <c r="C80" s="30">
        <f>WORKDAY(D79,1)</f>
        <v/>
      </c>
      <c r="D80" s="30">
        <f>WORKDAY(C80,1)</f>
        <v/>
      </c>
    </row>
    <row r="81">
      <c r="A81" s="43" t="inlineStr">
        <is>
          <t>Performance</t>
        </is>
      </c>
      <c r="B81" s="70" t="inlineStr">
        <is>
          <t>L5 Tuning and Performance Check # 2</t>
        </is>
      </c>
      <c r="C81" s="30">
        <f>WORKDAY(D80,1)</f>
        <v/>
      </c>
      <c r="D81" s="30">
        <f>WORKDAY(C81,5)</f>
        <v/>
      </c>
    </row>
    <row r="82">
      <c r="A82" s="43" t="inlineStr">
        <is>
          <t>SW</t>
        </is>
      </c>
      <c r="B82" s="70" t="inlineStr">
        <is>
          <t>Ver 04 SW (STP 230/289) (Steering, L5, XSMN, Engine) BOB</t>
        </is>
      </c>
      <c r="C82" s="30">
        <f>WORKDAY(D81,1)</f>
        <v/>
      </c>
      <c r="D82" s="30">
        <f>WORKDAY(C82,12)</f>
        <v/>
      </c>
    </row>
    <row r="83">
      <c r="A83" s="43" t="inlineStr">
        <is>
          <t>Engine</t>
        </is>
      </c>
      <c r="B83" s="70" t="inlineStr">
        <is>
          <t>Thermal Mgmt</t>
        </is>
      </c>
      <c r="C83" s="30">
        <f>WORKDAY(D82,2)</f>
        <v/>
      </c>
      <c r="D83" s="30">
        <f>WORKDAY(C83,1)</f>
        <v/>
      </c>
    </row>
    <row r="84">
      <c r="A84" s="43" t="inlineStr">
        <is>
          <t>SW</t>
        </is>
      </c>
      <c r="B84" s="70" t="inlineStr">
        <is>
          <t>Ver 05 SW (STP 230/289) (L5, XSMN)</t>
        </is>
      </c>
      <c r="C84" s="30">
        <f>WORKDAY(D83,1)</f>
        <v/>
      </c>
      <c r="D84" s="30">
        <f>WORKDAY(C84,6)</f>
        <v/>
      </c>
    </row>
    <row r="85">
      <c r="A85" s="43" t="inlineStr">
        <is>
          <t>Engine</t>
        </is>
      </c>
      <c r="B85" s="70" t="inlineStr">
        <is>
          <t>Thermal Mgmt endurance</t>
        </is>
      </c>
      <c r="C85" s="30">
        <f>WORKDAY(D84,1)</f>
        <v/>
      </c>
      <c r="D85" s="30">
        <f>C85+14</f>
        <v/>
      </c>
    </row>
    <row r="86">
      <c r="A86" s="43" t="inlineStr">
        <is>
          <t>Endurance#1</t>
        </is>
      </c>
      <c r="B86" s="70" t="inlineStr">
        <is>
          <t>Endurance 0-500 hrs+ Service/Inspect (Cold Ambient)</t>
        </is>
      </c>
      <c r="C86" s="30">
        <f>D85+1</f>
        <v/>
      </c>
      <c r="D86" s="30">
        <f>C86+28</f>
        <v/>
      </c>
    </row>
    <row customHeight="1" ht="22.25" r="87">
      <c r="A87" s="43" t="inlineStr">
        <is>
          <t>Issue</t>
        </is>
      </c>
      <c r="B87" s="70" t="inlineStr">
        <is>
          <t>Issue Resolution # 3</t>
        </is>
      </c>
      <c r="C87" s="30">
        <f>WORKDAY(D86,5)</f>
        <v/>
      </c>
      <c r="D87" s="30">
        <f>WORKDAY(C87,13)</f>
        <v/>
      </c>
    </row>
    <row customHeight="1" ht="15" r="88">
      <c r="A88" s="43" t="inlineStr">
        <is>
          <t>Performance</t>
        </is>
      </c>
      <c r="B88" s="46" t="inlineStr">
        <is>
          <t>Stage V Engine Cold Room (TC-L)</t>
        </is>
      </c>
      <c r="C88" s="30">
        <f>WORKDAY(D87,6)</f>
        <v/>
      </c>
      <c r="D88" s="30">
        <f>WORKDAY(C88,30)</f>
        <v/>
      </c>
    </row>
    <row customHeight="1" ht="18.75" r="89">
      <c r="A89" s="23" t="n"/>
      <c r="B89" s="48" t="inlineStr">
        <is>
          <t>QPG 966GC CNR4 TB#2 (SGW00202)</t>
        </is>
      </c>
      <c r="C89" s="49">
        <f>MIN(C90:C110)</f>
        <v/>
      </c>
      <c r="D89" s="50">
        <f>MAX(D90:D110)</f>
        <v/>
      </c>
    </row>
    <row r="90">
      <c r="A90" s="71" t="inlineStr">
        <is>
          <t>Machine Build</t>
        </is>
      </c>
      <c r="B90" s="52" t="inlineStr">
        <is>
          <t>Machine Build + Issue Resolution</t>
        </is>
      </c>
      <c r="C90" s="10" t="n">
        <v>43814</v>
      </c>
      <c r="D90" s="10">
        <f>C90+28</f>
        <v/>
      </c>
    </row>
    <row r="91">
      <c r="A91" s="69" t="inlineStr">
        <is>
          <t xml:space="preserve">Holiday </t>
        </is>
      </c>
      <c r="B91" s="54" t="inlineStr">
        <is>
          <t>China New Year</t>
        </is>
      </c>
      <c r="C91" s="30" t="n">
        <v>43854</v>
      </c>
      <c r="D91" s="30">
        <f>WORKDAY(C91,5)</f>
        <v/>
      </c>
    </row>
    <row r="92">
      <c r="A92" s="71" t="inlineStr">
        <is>
          <t>Machine Check</t>
        </is>
      </c>
      <c r="B92" s="52" t="inlineStr">
        <is>
          <t>Machine Checkout STP-64</t>
        </is>
      </c>
      <c r="C92" s="10">
        <f>D91+3</f>
        <v/>
      </c>
      <c r="D92" s="10">
        <f>WORKDAY(C92,12)</f>
        <v/>
      </c>
    </row>
    <row r="93">
      <c r="A93" s="71" t="inlineStr">
        <is>
          <t>SW</t>
        </is>
      </c>
      <c r="B93" s="52" t="inlineStr">
        <is>
          <t>CNR4 SW Checkout-250 hrs</t>
        </is>
      </c>
      <c r="C93" s="10">
        <f>D92+1</f>
        <v/>
      </c>
      <c r="D93" s="10">
        <f>WORKDAY(C93,8)</f>
        <v/>
      </c>
    </row>
    <row r="94">
      <c r="A94" s="71" t="inlineStr">
        <is>
          <t>Endurance #2</t>
        </is>
      </c>
      <c r="B94" s="60" t="inlineStr">
        <is>
          <t>Sound Test (including cab glass) ISO 9533, HAWB</t>
        </is>
      </c>
      <c r="C94" s="10">
        <f>D93+1</f>
        <v/>
      </c>
      <c r="D94" s="11">
        <f>WORKDAY(C94, 5)</f>
        <v/>
      </c>
    </row>
    <row r="95">
      <c r="A95" s="55" t="inlineStr">
        <is>
          <t>EIC</t>
        </is>
      </c>
      <c r="B95" s="56" t="inlineStr">
        <is>
          <t>Engine Installation Audit</t>
        </is>
      </c>
      <c r="C95" s="10">
        <f>WORKDAY(D94,1)</f>
        <v/>
      </c>
      <c r="D95" s="10">
        <f>WORKDAY(C95,11)</f>
        <v/>
      </c>
    </row>
    <row r="96">
      <c r="A96" s="69" t="inlineStr">
        <is>
          <t>Issue</t>
        </is>
      </c>
      <c r="B96" s="70" t="inlineStr">
        <is>
          <t>Issue Resolution # 1</t>
        </is>
      </c>
      <c r="C96" s="30">
        <f>WORKDAY(D95,1)</f>
        <v/>
      </c>
      <c r="D96" s="30">
        <f>WORKDAY(C96,4)</f>
        <v/>
      </c>
    </row>
    <row r="97">
      <c r="A97" s="69" t="inlineStr">
        <is>
          <t>Hydraulics#1</t>
        </is>
      </c>
      <c r="B97" s="54" t="inlineStr">
        <is>
          <t>Hydraulic checkout</t>
        </is>
      </c>
      <c r="C97" s="30">
        <f>WORKDAY(D96,1)</f>
        <v/>
      </c>
      <c r="D97" s="30">
        <f>WORKDAY(C97,3)</f>
        <v/>
      </c>
    </row>
    <row r="98">
      <c r="A98" s="71" t="inlineStr">
        <is>
          <t>Performance</t>
        </is>
      </c>
      <c r="B98" s="54" t="inlineStr">
        <is>
          <t>L5 Checkout</t>
        </is>
      </c>
      <c r="C98" s="10">
        <f>WORKDAY(D97,2)</f>
        <v/>
      </c>
      <c r="D98" s="10">
        <f>WORKDAY(C98,2)</f>
        <v/>
      </c>
    </row>
    <row r="99">
      <c r="A99" s="71" t="inlineStr">
        <is>
          <t>Endurance#1</t>
        </is>
      </c>
      <c r="B99" s="57" t="inlineStr">
        <is>
          <t>CNR4 SW Endurance- 250 hrs</t>
        </is>
      </c>
      <c r="C99" s="10">
        <f>WORKDAY(D98,1)</f>
        <v/>
      </c>
      <c r="D99" s="10">
        <f>WORKDAY(C99,23)</f>
        <v/>
      </c>
    </row>
    <row r="100">
      <c r="A100" s="71" t="inlineStr">
        <is>
          <t>Inspection</t>
        </is>
      </c>
      <c r="B100" s="60" t="inlineStr">
        <is>
          <t>Endurance Inspection</t>
        </is>
      </c>
      <c r="C100" s="10">
        <f>D99+1</f>
        <v/>
      </c>
      <c r="D100" s="10">
        <f>WORKDAY(C100,11)</f>
        <v/>
      </c>
    </row>
    <row r="101">
      <c r="A101" s="69" t="inlineStr">
        <is>
          <t>Safety</t>
        </is>
      </c>
      <c r="B101" s="58" t="inlineStr">
        <is>
          <t>EMC Feasibility</t>
        </is>
      </c>
      <c r="C101" s="10">
        <f>D100+1</f>
        <v/>
      </c>
      <c r="D101" s="59">
        <f>C101+19</f>
        <v/>
      </c>
    </row>
    <row r="102">
      <c r="A102" s="71" t="inlineStr">
        <is>
          <t>SW</t>
        </is>
      </c>
      <c r="B102" s="54" t="inlineStr">
        <is>
          <t>Stg V Ver 02 SW (STP 230)</t>
        </is>
      </c>
      <c r="C102" s="10">
        <f>D101+1</f>
        <v/>
      </c>
      <c r="D102" s="11">
        <f>C102+5</f>
        <v/>
      </c>
    </row>
    <row r="103">
      <c r="A103" s="71" t="inlineStr">
        <is>
          <t>Performance</t>
        </is>
      </c>
      <c r="B103" s="54" t="inlineStr">
        <is>
          <t>L5 Checkout- Stg V</t>
        </is>
      </c>
      <c r="C103" s="10">
        <f>D102+1</f>
        <v/>
      </c>
      <c r="D103" s="11">
        <f>C103+3</f>
        <v/>
      </c>
    </row>
    <row r="104">
      <c r="A104" s="69" t="inlineStr">
        <is>
          <t>Audit</t>
        </is>
      </c>
      <c r="B104" s="54" t="inlineStr">
        <is>
          <t>Safety/Serviceability audit</t>
        </is>
      </c>
      <c r="C104" s="30">
        <f>WORKDAY(D103,1)</f>
        <v/>
      </c>
      <c r="D104" s="30">
        <f>WORKDAY(C104,0)</f>
        <v/>
      </c>
    </row>
    <row r="105">
      <c r="A105" s="71" t="inlineStr">
        <is>
          <t>Safety</t>
        </is>
      </c>
      <c r="B105" s="70" t="inlineStr">
        <is>
          <t>ISO 3450 Brake Feasibility (Optional)</t>
        </is>
      </c>
      <c r="C105" s="30">
        <f>WORKDAY(D104,1)</f>
        <v/>
      </c>
      <c r="D105" s="30">
        <f>WORKDAY(C105,15)</f>
        <v/>
      </c>
    </row>
    <row r="106">
      <c r="A106" s="71" t="inlineStr">
        <is>
          <t>Safety</t>
        </is>
      </c>
      <c r="B106" s="60" t="inlineStr">
        <is>
          <t>ISO 5010 Steering Feasibility (Include Secondary Steering)</t>
        </is>
      </c>
      <c r="C106" s="30">
        <f>WORKDAY(D105,1)</f>
        <v/>
      </c>
      <c r="D106" s="30">
        <f>WORKDAY(C106,13)</f>
        <v/>
      </c>
    </row>
    <row r="107">
      <c r="A107" s="71" t="inlineStr">
        <is>
          <t>SW</t>
        </is>
      </c>
      <c r="B107" s="54" t="inlineStr">
        <is>
          <t>Stg V Ver 03 SW (STP 230)</t>
        </is>
      </c>
      <c r="C107" s="30">
        <f>WORKDAY(D106,1)</f>
        <v/>
      </c>
      <c r="D107" s="30">
        <f>WORKDAY(C107,1)</f>
        <v/>
      </c>
    </row>
    <row r="108">
      <c r="A108" s="55" t="inlineStr">
        <is>
          <t>Endurance # 1</t>
        </is>
      </c>
      <c r="B108" s="61" t="inlineStr">
        <is>
          <t>Endurance 250-750 hrs</t>
        </is>
      </c>
      <c r="C108" s="10">
        <f>D107+1</f>
        <v/>
      </c>
      <c r="D108" s="30">
        <f>WORKDAY(C108,50)</f>
        <v/>
      </c>
    </row>
    <row r="109">
      <c r="A109" s="71" t="inlineStr">
        <is>
          <t>Inspection</t>
        </is>
      </c>
      <c r="B109" s="60" t="inlineStr">
        <is>
          <t>Endurance Inspection</t>
        </is>
      </c>
      <c r="C109" s="10">
        <f>D108+1</f>
        <v/>
      </c>
      <c r="D109" s="11">
        <f>C109+14</f>
        <v/>
      </c>
    </row>
    <row customHeight="1" ht="16" r="110" thickBot="1">
      <c r="A110" s="71" t="inlineStr">
        <is>
          <t>SW</t>
        </is>
      </c>
      <c r="B110" s="54" t="inlineStr">
        <is>
          <t>Stage V Ver 04 SW (STP 230)</t>
        </is>
      </c>
      <c r="C110" s="62">
        <f>D109+30</f>
        <v/>
      </c>
      <c r="D110" s="63">
        <f>C110+3</f>
        <v/>
      </c>
    </row>
    <row customHeight="1" ht="20" r="111">
      <c r="A111" s="23" t="n"/>
      <c r="B111" s="64" t="inlineStr">
        <is>
          <t>PPG 966GC Stage V Pilot #1 (SN)</t>
        </is>
      </c>
      <c r="C111" s="65">
        <f>MIN(C112:C126)</f>
        <v/>
      </c>
      <c r="D111" s="66">
        <f>MAX(D112:D126)</f>
        <v/>
      </c>
    </row>
    <row r="112">
      <c r="A112" s="71" t="inlineStr">
        <is>
          <t>Machine Build</t>
        </is>
      </c>
      <c r="B112" s="70" t="inlineStr">
        <is>
          <t>Machine Build</t>
        </is>
      </c>
      <c r="C112" s="30" t="n">
        <v>44228</v>
      </c>
      <c r="D112" s="67">
        <f>C112+9</f>
        <v/>
      </c>
    </row>
    <row r="113">
      <c r="A113" s="71" t="inlineStr">
        <is>
          <t xml:space="preserve">Holiday </t>
        </is>
      </c>
      <c r="B113" s="54" t="inlineStr">
        <is>
          <t>China New Year</t>
        </is>
      </c>
      <c r="C113" s="30" t="n">
        <v>44238</v>
      </c>
      <c r="D113" s="67">
        <f>C113+7</f>
        <v/>
      </c>
    </row>
    <row r="114">
      <c r="A114" s="71" t="inlineStr">
        <is>
          <t>Machine Build</t>
        </is>
      </c>
      <c r="B114" s="70" t="inlineStr">
        <is>
          <t>Machine Build</t>
        </is>
      </c>
      <c r="C114" s="30">
        <f>WORKDAY(D113,1)</f>
        <v/>
      </c>
      <c r="D114" s="67">
        <f>WORKDAY(C114,15)</f>
        <v/>
      </c>
    </row>
    <row r="115">
      <c r="A115" s="71" t="inlineStr">
        <is>
          <t>Machine Ship</t>
        </is>
      </c>
      <c r="B115" s="70" t="inlineStr">
        <is>
          <t>Machine Ship</t>
        </is>
      </c>
      <c r="C115" s="30">
        <f>D113+25</f>
        <v/>
      </c>
      <c r="D115" s="67">
        <f>C115+70</f>
        <v/>
      </c>
    </row>
    <row r="116">
      <c r="A116" s="71" t="inlineStr">
        <is>
          <t>Machine Check</t>
        </is>
      </c>
      <c r="B116" s="70" t="inlineStr">
        <is>
          <t>Machine Checkout STP-64</t>
        </is>
      </c>
      <c r="C116" s="30">
        <f>WORKDAY(D115,2)</f>
        <v/>
      </c>
      <c r="D116" s="67">
        <f>WORKDAY(C116,4)</f>
        <v/>
      </c>
    </row>
    <row r="117">
      <c r="A117" s="68" t="inlineStr">
        <is>
          <t>SW</t>
        </is>
      </c>
      <c r="B117" s="70" t="inlineStr">
        <is>
          <t>SW Checkout # Pilot V01</t>
        </is>
      </c>
      <c r="C117" s="30">
        <f>WORKDAY(D116,1)</f>
        <v/>
      </c>
      <c r="D117" s="67">
        <f>WORKDAY(C117,1)</f>
        <v/>
      </c>
    </row>
    <row r="118">
      <c r="A118" s="68" t="inlineStr">
        <is>
          <t>Engine</t>
        </is>
      </c>
      <c r="B118" s="70" t="inlineStr">
        <is>
          <t>C9.3B Stage V Engine Performance</t>
        </is>
      </c>
      <c r="C118" s="30">
        <f>WORKDAY(D117,1)</f>
        <v/>
      </c>
      <c r="D118" s="67">
        <f>WORKDAY(C118,1)</f>
        <v/>
      </c>
    </row>
    <row r="119">
      <c r="A119" s="68" t="inlineStr">
        <is>
          <t>Performance</t>
        </is>
      </c>
      <c r="B119" s="70" t="inlineStr">
        <is>
          <t>L5 Performance Check</t>
        </is>
      </c>
      <c r="C119" s="30">
        <f>WORKDAY(D118,1)</f>
        <v/>
      </c>
      <c r="D119" s="67">
        <f>WORKDAY(C119,3)</f>
        <v/>
      </c>
    </row>
    <row r="120">
      <c r="A120" s="68" t="inlineStr">
        <is>
          <t>Endurance #1</t>
        </is>
      </c>
      <c r="B120" s="70" t="inlineStr">
        <is>
          <t>Machine Endurance- 100 hrs</t>
        </is>
      </c>
      <c r="C120" s="30">
        <f>WORKDAY(D119,1)</f>
        <v/>
      </c>
      <c r="D120" s="67">
        <f>WORKDAY(C120,4)</f>
        <v/>
      </c>
    </row>
    <row r="121">
      <c r="A121" s="69" t="inlineStr">
        <is>
          <t>Light Structures</t>
        </is>
      </c>
      <c r="B121" s="70" t="inlineStr">
        <is>
          <t>Light Structures (Stg V Hood) OMSA # 3</t>
        </is>
      </c>
      <c r="C121" s="30">
        <f>WORKDAY(D120,1)</f>
        <v/>
      </c>
      <c r="D121" s="67">
        <f>WORKDAY(C121,32)</f>
        <v/>
      </c>
    </row>
    <row r="122">
      <c r="A122" s="68" t="inlineStr">
        <is>
          <t>NVH</t>
        </is>
      </c>
      <c r="B122" s="70" t="inlineStr">
        <is>
          <t>Stg V Alarm, FWD Horn, HAWB CERT</t>
        </is>
      </c>
      <c r="C122" s="30">
        <f>WORKDAY(D121,1)</f>
        <v/>
      </c>
      <c r="D122" s="67">
        <f>WORKDAY(C122,1)</f>
        <v/>
      </c>
    </row>
    <row r="123">
      <c r="A123" s="68" t="inlineStr">
        <is>
          <t>Safety</t>
        </is>
      </c>
      <c r="B123" s="77" t="inlineStr">
        <is>
          <t>Stage V EMC Test</t>
        </is>
      </c>
      <c r="C123" s="30">
        <f>WORKDAY(D122,1)</f>
        <v/>
      </c>
      <c r="D123" s="11">
        <f>C123+6</f>
        <v/>
      </c>
    </row>
    <row r="124">
      <c r="A124" s="71" t="inlineStr">
        <is>
          <t>Endurance #1</t>
        </is>
      </c>
      <c r="B124" s="77" t="inlineStr">
        <is>
          <t>Endurance 0-250 hrs+ Service/Inspect</t>
        </is>
      </c>
      <c r="C124" s="10">
        <f>D123+1</f>
        <v/>
      </c>
      <c r="D124" s="11">
        <f>C124+14</f>
        <v/>
      </c>
    </row>
    <row r="125">
      <c r="A125" s="71" t="inlineStr">
        <is>
          <t>Endurance #2</t>
        </is>
      </c>
      <c r="B125" s="77" t="inlineStr">
        <is>
          <t>Endurance 251-500 hrs+ Service/Inspect</t>
        </is>
      </c>
      <c r="C125" s="10">
        <f>D124+1</f>
        <v/>
      </c>
      <c r="D125" s="11">
        <f>C125+14</f>
        <v/>
      </c>
    </row>
    <row r="126">
      <c r="A126" s="69" t="inlineStr">
        <is>
          <t>Performance</t>
        </is>
      </c>
      <c r="B126" s="54" t="inlineStr">
        <is>
          <t>Productivity</t>
        </is>
      </c>
      <c r="C126" s="30">
        <f>D125+1</f>
        <v/>
      </c>
      <c r="D126" s="67">
        <f>C126+14</f>
        <v/>
      </c>
    </row>
    <row customHeight="1" ht="20" r="127">
      <c r="A127" s="23" t="n"/>
      <c r="B127" s="72" t="inlineStr">
        <is>
          <t>QPG 966GC CNR4/ Stg V Pilot #2 (SN)</t>
        </is>
      </c>
      <c r="C127" s="73">
        <f>MIN(C128:C147)</f>
        <v/>
      </c>
      <c r="D127" s="74">
        <f>MAX(D128:D147)</f>
        <v/>
      </c>
    </row>
    <row r="128">
      <c r="A128" s="71" t="inlineStr">
        <is>
          <t>Machine Build</t>
        </is>
      </c>
      <c r="B128" s="60" t="inlineStr">
        <is>
          <t>Machine Build</t>
        </is>
      </c>
      <c r="C128" s="30" t="n">
        <v>44228</v>
      </c>
      <c r="D128" s="67">
        <f>C128+9</f>
        <v/>
      </c>
    </row>
    <row r="129">
      <c r="A129" s="71" t="inlineStr">
        <is>
          <t>Machine Check</t>
        </is>
      </c>
      <c r="B129" s="54" t="inlineStr">
        <is>
          <t>China New Year</t>
        </is>
      </c>
      <c r="C129" s="30" t="n">
        <v>44238</v>
      </c>
      <c r="D129" s="67">
        <f>C129+7</f>
        <v/>
      </c>
    </row>
    <row r="130">
      <c r="A130" s="71" t="inlineStr">
        <is>
          <t>Machine Ship</t>
        </is>
      </c>
      <c r="B130" s="60" t="inlineStr">
        <is>
          <t>Machine Checkout STP-64</t>
        </is>
      </c>
      <c r="C130" s="30">
        <f>WORKDAY(D129,2)</f>
        <v/>
      </c>
      <c r="D130" s="67">
        <f>WORKDAY(C130,12)</f>
        <v/>
      </c>
    </row>
    <row r="131">
      <c r="A131" s="69" t="inlineStr">
        <is>
          <t>Audit</t>
        </is>
      </c>
      <c r="B131" s="54" t="inlineStr">
        <is>
          <t>Safety/Serviceability audit</t>
        </is>
      </c>
      <c r="C131" s="30">
        <f>WORKDAY(D130,1)</f>
        <v/>
      </c>
      <c r="D131" s="30">
        <f>WORKDAY(C131,0)</f>
        <v/>
      </c>
    </row>
    <row r="132">
      <c r="A132" s="71" t="inlineStr">
        <is>
          <t>SW</t>
        </is>
      </c>
      <c r="B132" s="60" t="inlineStr">
        <is>
          <t>SW Checkout # 1</t>
        </is>
      </c>
      <c r="C132" s="10">
        <f>D131+1</f>
        <v/>
      </c>
      <c r="D132" s="30">
        <f>WORKDAY(C132,7)</f>
        <v/>
      </c>
    </row>
    <row r="133">
      <c r="A133" s="75" t="inlineStr">
        <is>
          <t>Safety</t>
        </is>
      </c>
      <c r="B133" s="76" t="inlineStr">
        <is>
          <t>MLIT Practice</t>
        </is>
      </c>
      <c r="C133" s="30">
        <f>WORKDAY(D132,1)</f>
        <v/>
      </c>
      <c r="D133" s="67">
        <f>WORKDAY(C133,25)</f>
        <v/>
      </c>
    </row>
    <row r="134">
      <c r="A134" s="75" t="inlineStr">
        <is>
          <t>Safety</t>
        </is>
      </c>
      <c r="B134" s="76" t="inlineStr">
        <is>
          <t>MLIT Witness (Is witness test 12 weeks after MLIT practice?)</t>
        </is>
      </c>
      <c r="C134" s="30">
        <f>WORKDAY(D133,1)</f>
        <v/>
      </c>
      <c r="D134" s="67">
        <f>WORKDAY(C134,9)</f>
        <v/>
      </c>
    </row>
    <row r="135">
      <c r="A135" s="71" t="inlineStr">
        <is>
          <t>NVH</t>
        </is>
      </c>
      <c r="B135" s="60" t="inlineStr">
        <is>
          <t>Sound Test</t>
        </is>
      </c>
      <c r="C135" s="10">
        <f>D134+1</f>
        <v/>
      </c>
      <c r="D135" s="67">
        <f>WORKDAY(C135,3)</f>
        <v/>
      </c>
    </row>
    <row r="136">
      <c r="A136" s="71" t="inlineStr">
        <is>
          <t>Safety</t>
        </is>
      </c>
      <c r="B136" s="60" t="inlineStr">
        <is>
          <t>ISO 3450- Brake CERT</t>
        </is>
      </c>
      <c r="C136" s="30">
        <f>WORKDAY(D135,1)</f>
        <v/>
      </c>
      <c r="D136" s="67">
        <f>WORKDAY(C136,15)</f>
        <v/>
      </c>
    </row>
    <row r="137">
      <c r="A137" s="71" t="inlineStr">
        <is>
          <t>Safety</t>
        </is>
      </c>
      <c r="B137" s="60" t="inlineStr">
        <is>
          <t>ISO 5010- Steering CERT</t>
        </is>
      </c>
      <c r="C137" s="30">
        <f>WORKDAY(D136,1)</f>
        <v/>
      </c>
      <c r="D137" s="67">
        <f>WORKDAY(C137,13)</f>
        <v/>
      </c>
    </row>
    <row r="138">
      <c r="A138" s="75" t="inlineStr">
        <is>
          <t>Safety</t>
        </is>
      </c>
      <c r="B138" s="76" t="inlineStr">
        <is>
          <t>ISO 10570-Articulation Lock CERT</t>
        </is>
      </c>
      <c r="C138" s="30">
        <f>WORKDAY(D137,1)</f>
        <v/>
      </c>
      <c r="D138" s="67">
        <f>WORKDAY(C138,6)</f>
        <v/>
      </c>
    </row>
    <row r="139">
      <c r="A139" s="71" t="inlineStr">
        <is>
          <t>Endurance #1</t>
        </is>
      </c>
      <c r="B139" s="77" t="inlineStr">
        <is>
          <t>Endurance 0-250 hrs</t>
        </is>
      </c>
      <c r="C139" s="30">
        <f>WORKDAY(D138,1)</f>
        <v/>
      </c>
      <c r="D139" s="11">
        <f>C139+32</f>
        <v/>
      </c>
    </row>
    <row customFormat="1" customHeight="1" ht="18" r="140" s="79">
      <c r="A140" s="78" t="inlineStr">
        <is>
          <t>Service</t>
        </is>
      </c>
      <c r="B140" s="70" t="inlineStr">
        <is>
          <t>Service/Inspect</t>
        </is>
      </c>
      <c r="C140" s="30">
        <f>D139+1</f>
        <v/>
      </c>
      <c r="D140" s="67">
        <f>C140+15</f>
        <v/>
      </c>
    </row>
    <row customFormat="1" r="141" s="79">
      <c r="A141" s="78" t="inlineStr">
        <is>
          <t>Endurance #2</t>
        </is>
      </c>
      <c r="B141" s="70" t="inlineStr">
        <is>
          <t>Endurance 251-500 hrs</t>
        </is>
      </c>
      <c r="C141" s="30">
        <f>D140+1</f>
        <v/>
      </c>
      <c r="D141" s="67">
        <f>C141+32</f>
        <v/>
      </c>
    </row>
    <row customFormat="1" r="142" s="79">
      <c r="A142" s="78" t="inlineStr">
        <is>
          <t xml:space="preserve">Holiday </t>
        </is>
      </c>
      <c r="B142" s="70" t="inlineStr">
        <is>
          <t>China National Day</t>
        </is>
      </c>
      <c r="C142" s="30" t="n">
        <v>44470</v>
      </c>
      <c r="D142" s="67">
        <f>C142+8</f>
        <v/>
      </c>
    </row>
    <row customFormat="1" customHeight="1" ht="18" r="143" s="79">
      <c r="A143" s="78" t="inlineStr">
        <is>
          <t>Service</t>
        </is>
      </c>
      <c r="B143" s="70" t="inlineStr">
        <is>
          <t>Service/Inspect</t>
        </is>
      </c>
      <c r="C143" s="30">
        <f>D142+1</f>
        <v/>
      </c>
      <c r="D143" s="67">
        <f>C143+15</f>
        <v/>
      </c>
    </row>
    <row customFormat="1" r="144" s="79">
      <c r="A144" s="78" t="inlineStr">
        <is>
          <t>Endurance #3</t>
        </is>
      </c>
      <c r="B144" s="70" t="inlineStr">
        <is>
          <t>Endurance 501-750 hrs</t>
        </is>
      </c>
      <c r="C144" s="30">
        <f>D143+1</f>
        <v/>
      </c>
      <c r="D144" s="67">
        <f>C144+32</f>
        <v/>
      </c>
    </row>
    <row customFormat="1" r="145" s="79">
      <c r="A145" s="78" t="inlineStr">
        <is>
          <t>Service</t>
        </is>
      </c>
      <c r="B145" s="70" t="inlineStr">
        <is>
          <t>Service/Inspect</t>
        </is>
      </c>
      <c r="C145" s="30">
        <f>D144+1</f>
        <v/>
      </c>
      <c r="D145" s="67">
        <f>C145+15</f>
        <v/>
      </c>
    </row>
    <row customFormat="1" customHeight="1" ht="19.25" r="146" s="79">
      <c r="A146" s="78" t="inlineStr">
        <is>
          <t>Endurance #4</t>
        </is>
      </c>
      <c r="B146" s="70" t="inlineStr">
        <is>
          <t>Endurance 750-1000 hrs</t>
        </is>
      </c>
      <c r="C146" s="30">
        <f>WORKDAY(D145,1)</f>
        <v/>
      </c>
      <c r="D146" s="67">
        <f>C146+32</f>
        <v/>
      </c>
    </row>
    <row customFormat="1" r="147" s="79">
      <c r="A147" s="78" t="inlineStr">
        <is>
          <t>Service</t>
        </is>
      </c>
      <c r="B147" s="70" t="inlineStr">
        <is>
          <t>Service/Inspect</t>
        </is>
      </c>
      <c r="C147" s="30">
        <f>D146+1</f>
        <v/>
      </c>
      <c r="D147" s="67">
        <f>C147+12</f>
        <v/>
      </c>
    </row>
  </sheetData>
  <pageMargins bottom="0.75" footer="0.3" header="0.3" left="0.7" right="0.7" top="0.75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W12"/>
  <sheetViews>
    <sheetView workbookViewId="0">
      <selection activeCell="A1" sqref="A1"/>
    </sheetView>
  </sheetViews>
  <sheetFormatPr baseColWidth="8" defaultRowHeight="15"/>
  <cols>
    <col customWidth="1" max="1" min="1" width="37"/>
    <col customWidth="1" max="2" min="2" width="54"/>
  </cols>
  <sheetData>
    <row customHeight="1" ht="50" r="1">
      <c r="A1" s="81" t="inlineStr">
        <is>
          <t>Machine S/N</t>
        </is>
      </c>
      <c r="B1" s="81" t="inlineStr">
        <is>
          <t>Phase</t>
        </is>
      </c>
      <c r="C1" s="82" t="inlineStr">
        <is>
          <t>8/1/2019</t>
        </is>
      </c>
      <c r="D1" s="83" t="n"/>
      <c r="E1" s="83" t="n"/>
      <c r="F1" s="83" t="n"/>
      <c r="G1" s="83" t="n"/>
      <c r="H1" s="83" t="n"/>
      <c r="I1" s="91" t="n"/>
      <c r="J1" s="82" t="inlineStr">
        <is>
          <t>8/8/2019</t>
        </is>
      </c>
      <c r="K1" s="83" t="n"/>
      <c r="L1" s="83" t="n"/>
      <c r="M1" s="83" t="n"/>
      <c r="N1" s="83" t="n"/>
      <c r="O1" s="83" t="n"/>
      <c r="P1" s="91" t="n"/>
      <c r="Q1" s="82" t="inlineStr">
        <is>
          <t>8/15/2019</t>
        </is>
      </c>
      <c r="R1" s="83" t="n"/>
      <c r="S1" s="83" t="n"/>
      <c r="T1" s="83" t="n"/>
      <c r="U1" s="83" t="n"/>
      <c r="V1" s="83" t="n"/>
      <c r="W1" s="91" t="n"/>
      <c r="X1" s="82" t="inlineStr">
        <is>
          <t>8/22/2019</t>
        </is>
      </c>
      <c r="Y1" s="83" t="n"/>
      <c r="Z1" s="83" t="n"/>
      <c r="AA1" s="83" t="n"/>
      <c r="AB1" s="83" t="n"/>
      <c r="AC1" s="83" t="n"/>
      <c r="AD1" s="91" t="n"/>
      <c r="AE1" s="82" t="inlineStr">
        <is>
          <t>8/29/2019</t>
        </is>
      </c>
      <c r="AF1" s="83" t="n"/>
      <c r="AG1" s="83" t="n"/>
      <c r="AH1" s="83" t="n"/>
      <c r="AI1" s="83" t="n"/>
      <c r="AJ1" s="83" t="n"/>
      <c r="AK1" s="91" t="n"/>
      <c r="AL1" s="82" t="inlineStr">
        <is>
          <t>9/5/2019</t>
        </is>
      </c>
      <c r="AM1" s="83" t="n"/>
      <c r="AN1" s="83" t="n"/>
      <c r="AO1" s="83" t="n"/>
      <c r="AP1" s="83" t="n"/>
      <c r="AQ1" s="83" t="n"/>
      <c r="AR1" s="91" t="n"/>
      <c r="AS1" s="82" t="inlineStr">
        <is>
          <t>9/12/2019</t>
        </is>
      </c>
      <c r="AT1" s="83" t="n"/>
      <c r="AU1" s="83" t="n"/>
      <c r="AV1" s="83" t="n"/>
      <c r="AW1" s="83" t="n"/>
      <c r="AX1" s="83" t="n"/>
      <c r="AY1" s="91" t="n"/>
      <c r="AZ1" s="82" t="inlineStr">
        <is>
          <t>9/19/2019</t>
        </is>
      </c>
      <c r="BA1" s="83" t="n"/>
      <c r="BB1" s="83" t="n"/>
      <c r="BC1" s="83" t="n"/>
      <c r="BD1" s="83" t="n"/>
      <c r="BE1" s="83" t="n"/>
      <c r="BF1" s="91" t="n"/>
      <c r="BG1" s="82" t="inlineStr">
        <is>
          <t>9/26/2019</t>
        </is>
      </c>
      <c r="BH1" s="83" t="n"/>
      <c r="BI1" s="83" t="n"/>
      <c r="BJ1" s="83" t="n"/>
      <c r="BK1" s="83" t="n"/>
      <c r="BL1" s="83" t="n"/>
      <c r="BM1" s="91" t="n"/>
      <c r="BN1" s="82" t="inlineStr">
        <is>
          <t>10/3/2019</t>
        </is>
      </c>
      <c r="BO1" s="83" t="n"/>
      <c r="BP1" s="83" t="n"/>
      <c r="BQ1" s="83" t="n"/>
      <c r="BR1" s="83" t="n"/>
      <c r="BS1" s="83" t="n"/>
      <c r="BT1" s="91" t="n"/>
      <c r="BU1" s="82" t="inlineStr">
        <is>
          <t>10/10/2019</t>
        </is>
      </c>
      <c r="BV1" s="83" t="n"/>
      <c r="BW1" s="83" t="n"/>
      <c r="BX1" s="83" t="n"/>
      <c r="BY1" s="83" t="n"/>
      <c r="BZ1" s="83" t="n"/>
      <c r="CA1" s="91" t="n"/>
      <c r="CB1" s="82" t="inlineStr">
        <is>
          <t>10/17/2019</t>
        </is>
      </c>
      <c r="CC1" s="83" t="n"/>
      <c r="CD1" s="83" t="n"/>
      <c r="CE1" s="83" t="n"/>
      <c r="CF1" s="83" t="n"/>
      <c r="CG1" s="83" t="n"/>
      <c r="CH1" s="91" t="n"/>
      <c r="CI1" s="82" t="inlineStr">
        <is>
          <t>10/24/2019</t>
        </is>
      </c>
      <c r="CJ1" s="83" t="n"/>
      <c r="CK1" s="83" t="n"/>
      <c r="CL1" s="83" t="n"/>
      <c r="CM1" s="83" t="n"/>
      <c r="CN1" s="83" t="n"/>
      <c r="CO1" s="91" t="n"/>
      <c r="CP1" s="82" t="inlineStr">
        <is>
          <t>10/31/2019</t>
        </is>
      </c>
      <c r="CQ1" s="83" t="n"/>
      <c r="CR1" s="83" t="n"/>
      <c r="CS1" s="83" t="n"/>
      <c r="CT1" s="83" t="n"/>
      <c r="CU1" s="83" t="n"/>
      <c r="CV1" s="91" t="n"/>
      <c r="CW1" s="82" t="inlineStr">
        <is>
          <t>11/7/2019</t>
        </is>
      </c>
      <c r="CX1" s="83" t="n"/>
      <c r="CY1" s="83" t="n"/>
      <c r="CZ1" s="83" t="n"/>
      <c r="DA1" s="83" t="n"/>
      <c r="DB1" s="83" t="n"/>
      <c r="DC1" s="91" t="n"/>
      <c r="DD1" s="82" t="inlineStr">
        <is>
          <t>11/14/2019</t>
        </is>
      </c>
      <c r="DE1" s="83" t="n"/>
      <c r="DF1" s="83" t="n"/>
      <c r="DG1" s="83" t="n"/>
      <c r="DH1" s="83" t="n"/>
      <c r="DI1" s="83" t="n"/>
      <c r="DJ1" s="91" t="n"/>
      <c r="DK1" s="82" t="inlineStr">
        <is>
          <t>11/21/2019</t>
        </is>
      </c>
      <c r="DL1" s="83" t="n"/>
      <c r="DM1" s="83" t="n"/>
      <c r="DN1" s="83" t="n"/>
      <c r="DO1" s="83" t="n"/>
      <c r="DP1" s="83" t="n"/>
      <c r="DQ1" s="91" t="n"/>
      <c r="DR1" s="82" t="inlineStr">
        <is>
          <t>11/28/2019</t>
        </is>
      </c>
      <c r="DS1" s="83" t="n"/>
      <c r="DT1" s="83" t="n"/>
      <c r="DU1" s="83" t="n"/>
      <c r="DV1" s="83" t="n"/>
      <c r="DW1" s="83" t="n"/>
      <c r="DX1" s="91" t="n"/>
      <c r="DY1" s="82" t="inlineStr">
        <is>
          <t>12/5/2019</t>
        </is>
      </c>
      <c r="DZ1" s="83" t="n"/>
      <c r="EA1" s="83" t="n"/>
      <c r="EB1" s="83" t="n"/>
      <c r="EC1" s="83" t="n"/>
      <c r="ED1" s="83" t="n"/>
      <c r="EE1" s="91" t="n"/>
      <c r="EF1" s="82" t="inlineStr">
        <is>
          <t>12/12/2019</t>
        </is>
      </c>
      <c r="EG1" s="83" t="n"/>
      <c r="EH1" s="83" t="n"/>
      <c r="EI1" s="83" t="n"/>
      <c r="EJ1" s="83" t="n"/>
      <c r="EK1" s="83" t="n"/>
      <c r="EL1" s="91" t="n"/>
      <c r="EM1" s="82" t="inlineStr">
        <is>
          <t>12/19/2019</t>
        </is>
      </c>
      <c r="EN1" s="83" t="n"/>
      <c r="EO1" s="83" t="n"/>
      <c r="EP1" s="83" t="n"/>
      <c r="EQ1" s="83" t="n"/>
      <c r="ER1" s="83" t="n"/>
      <c r="ES1" s="91" t="n"/>
      <c r="ET1" s="82" t="inlineStr">
        <is>
          <t>12/26/2019</t>
        </is>
      </c>
      <c r="EU1" s="83" t="n"/>
      <c r="EV1" s="83" t="n"/>
      <c r="EW1" s="83" t="n"/>
      <c r="EX1" s="83" t="n"/>
      <c r="EY1" s="83" t="n"/>
      <c r="EZ1" s="91" t="n"/>
      <c r="FA1" s="82" t="inlineStr">
        <is>
          <t>1/2/2020</t>
        </is>
      </c>
      <c r="FB1" s="83" t="n"/>
      <c r="FC1" s="83" t="n"/>
      <c r="FD1" s="83" t="n"/>
      <c r="FE1" s="83" t="n"/>
      <c r="FF1" s="83" t="n"/>
      <c r="FG1" s="91" t="n"/>
      <c r="FH1" s="82" t="inlineStr">
        <is>
          <t>1/9/2020</t>
        </is>
      </c>
      <c r="FI1" s="83" t="n"/>
      <c r="FJ1" s="83" t="n"/>
      <c r="FK1" s="83" t="n"/>
      <c r="FL1" s="83" t="n"/>
      <c r="FM1" s="83" t="n"/>
      <c r="FN1" s="91" t="n"/>
      <c r="FO1" s="82" t="inlineStr">
        <is>
          <t>1/16/2020</t>
        </is>
      </c>
      <c r="FP1" s="83" t="n"/>
      <c r="FQ1" s="83" t="n"/>
      <c r="FR1" s="83" t="n"/>
      <c r="FS1" s="83" t="n"/>
      <c r="FT1" s="83" t="n"/>
      <c r="FU1" s="91" t="n"/>
      <c r="FV1" s="82" t="inlineStr">
        <is>
          <t>1/23/2020</t>
        </is>
      </c>
      <c r="FW1" s="83" t="n"/>
      <c r="FX1" s="83" t="n"/>
      <c r="FY1" s="83" t="n"/>
      <c r="FZ1" s="83" t="n"/>
      <c r="GA1" s="83" t="n"/>
      <c r="GB1" s="91" t="n"/>
      <c r="GC1" s="82" t="inlineStr">
        <is>
          <t>1/30/2020</t>
        </is>
      </c>
      <c r="GD1" s="83" t="n"/>
      <c r="GE1" s="83" t="n"/>
      <c r="GF1" s="83" t="n"/>
      <c r="GG1" s="83" t="n"/>
      <c r="GH1" s="83" t="n"/>
      <c r="GI1" s="91" t="n"/>
      <c r="GJ1" s="82" t="inlineStr">
        <is>
          <t>2/6/2020</t>
        </is>
      </c>
      <c r="GK1" s="83" t="n"/>
      <c r="GL1" s="83" t="n"/>
      <c r="GM1" s="83" t="n"/>
      <c r="GN1" s="83" t="n"/>
      <c r="GO1" s="83" t="n"/>
      <c r="GP1" s="91" t="n"/>
      <c r="GQ1" s="82" t="inlineStr">
        <is>
          <t>2/13/2020</t>
        </is>
      </c>
      <c r="GR1" s="83" t="n"/>
      <c r="GS1" s="83" t="n"/>
      <c r="GT1" s="83" t="n"/>
      <c r="GU1" s="83" t="n"/>
      <c r="GV1" s="83" t="n"/>
      <c r="GW1" s="91" t="n"/>
      <c r="GX1" s="82" t="inlineStr">
        <is>
          <t>2/20/2020</t>
        </is>
      </c>
      <c r="GY1" s="83" t="n"/>
      <c r="GZ1" s="83" t="n"/>
      <c r="HA1" s="83" t="n"/>
      <c r="HB1" s="83" t="n"/>
      <c r="HC1" s="83" t="n"/>
      <c r="HD1" s="91" t="n"/>
      <c r="HE1" s="82" t="inlineStr">
        <is>
          <t>2/27/2020</t>
        </is>
      </c>
      <c r="HF1" s="83" t="n"/>
      <c r="HG1" s="83" t="n"/>
      <c r="HH1" s="83" t="n"/>
      <c r="HI1" s="83" t="n"/>
      <c r="HJ1" s="83" t="n"/>
      <c r="HK1" s="91" t="n"/>
      <c r="HL1" s="82" t="inlineStr">
        <is>
          <t>3/5/2020</t>
        </is>
      </c>
      <c r="HM1" s="83" t="n"/>
      <c r="HN1" s="83" t="n"/>
      <c r="HO1" s="83" t="n"/>
      <c r="HP1" s="83" t="n"/>
      <c r="HQ1" s="83" t="n"/>
      <c r="HR1" s="91" t="n"/>
      <c r="HS1" s="82" t="inlineStr">
        <is>
          <t>3/12/2020</t>
        </is>
      </c>
      <c r="HT1" s="83" t="n"/>
      <c r="HU1" s="83" t="n"/>
      <c r="HV1" s="83" t="n"/>
      <c r="HW1" s="83" t="n"/>
      <c r="HX1" s="83" t="n"/>
      <c r="HY1" s="91" t="n"/>
      <c r="HZ1" s="82" t="inlineStr">
        <is>
          <t>3/19/2020</t>
        </is>
      </c>
      <c r="IA1" s="83" t="n"/>
      <c r="IB1" s="83" t="n"/>
      <c r="IC1" s="83" t="n"/>
      <c r="ID1" s="83" t="n"/>
      <c r="IE1" s="83" t="n"/>
      <c r="IF1" s="91" t="n"/>
      <c r="IG1" s="82" t="inlineStr">
        <is>
          <t>3/26/2020</t>
        </is>
      </c>
      <c r="IH1" s="83" t="n"/>
      <c r="II1" s="83" t="n"/>
      <c r="IJ1" s="83" t="n"/>
      <c r="IK1" s="83" t="n"/>
      <c r="IL1" s="83" t="n"/>
      <c r="IM1" s="91" t="n"/>
      <c r="IN1" s="82" t="inlineStr">
        <is>
          <t>4/2/2020</t>
        </is>
      </c>
      <c r="IO1" s="83" t="n"/>
      <c r="IP1" s="83" t="n"/>
      <c r="IQ1" s="83" t="n"/>
      <c r="IR1" s="83" t="n"/>
      <c r="IS1" s="83" t="n"/>
      <c r="IT1" s="91" t="n"/>
      <c r="IU1" s="82" t="inlineStr">
        <is>
          <t>4/9/2020</t>
        </is>
      </c>
      <c r="IV1" s="83" t="n"/>
      <c r="IW1" s="83" t="n"/>
      <c r="IX1" s="83" t="n"/>
      <c r="IY1" s="83" t="n"/>
      <c r="IZ1" s="83" t="n"/>
      <c r="JA1" s="91" t="n"/>
      <c r="JB1" s="82" t="inlineStr">
        <is>
          <t>4/16/2020</t>
        </is>
      </c>
      <c r="JC1" s="83" t="n"/>
      <c r="JD1" s="83" t="n"/>
      <c r="JE1" s="83" t="n"/>
      <c r="JF1" s="83" t="n"/>
      <c r="JG1" s="83" t="n"/>
      <c r="JH1" s="91" t="n"/>
      <c r="JI1" s="82" t="inlineStr">
        <is>
          <t>4/23/2020</t>
        </is>
      </c>
      <c r="JJ1" s="83" t="n"/>
      <c r="JK1" s="83" t="n"/>
      <c r="JL1" s="83" t="n"/>
      <c r="JM1" s="83" t="n"/>
      <c r="JN1" s="83" t="n"/>
      <c r="JO1" s="91" t="n"/>
      <c r="JP1" s="82" t="inlineStr">
        <is>
          <t>4/30/2020</t>
        </is>
      </c>
      <c r="JQ1" s="83" t="n"/>
      <c r="JR1" s="83" t="n"/>
      <c r="JS1" s="83" t="n"/>
      <c r="JT1" s="83" t="n"/>
      <c r="JU1" s="83" t="n"/>
      <c r="JV1" s="91" t="n"/>
      <c r="JW1" s="82" t="inlineStr">
        <is>
          <t>5/7/2020</t>
        </is>
      </c>
      <c r="JX1" s="83" t="n"/>
      <c r="JY1" s="83" t="n"/>
      <c r="JZ1" s="83" t="n"/>
      <c r="KA1" s="83" t="n"/>
      <c r="KB1" s="83" t="n"/>
      <c r="KC1" s="91" t="n"/>
      <c r="KD1" s="82" t="inlineStr">
        <is>
          <t>5/14/2020</t>
        </is>
      </c>
      <c r="KE1" s="83" t="n"/>
      <c r="KF1" s="83" t="n"/>
      <c r="KG1" s="83" t="n"/>
      <c r="KH1" s="83" t="n"/>
      <c r="KI1" s="83" t="n"/>
      <c r="KJ1" s="91" t="n"/>
      <c r="KK1" s="82" t="inlineStr">
        <is>
          <t>5/21/2020</t>
        </is>
      </c>
      <c r="KL1" s="83" t="n"/>
      <c r="KM1" s="83" t="n"/>
      <c r="KN1" s="83" t="n"/>
      <c r="KO1" s="83" t="n"/>
      <c r="KP1" s="83" t="n"/>
      <c r="KQ1" s="91" t="n"/>
      <c r="KR1" s="82" t="inlineStr">
        <is>
          <t>5/28/2020</t>
        </is>
      </c>
      <c r="KS1" s="83" t="n"/>
      <c r="KT1" s="83" t="n"/>
      <c r="KU1" s="83" t="n"/>
      <c r="KV1" s="83" t="n"/>
      <c r="KW1" s="83" t="n"/>
      <c r="KX1" s="91" t="n"/>
      <c r="KY1" s="82" t="inlineStr">
        <is>
          <t>6/4/2020</t>
        </is>
      </c>
      <c r="KZ1" s="83" t="n"/>
      <c r="LA1" s="83" t="n"/>
      <c r="LB1" s="83" t="n"/>
      <c r="LC1" s="83" t="n"/>
      <c r="LD1" s="83" t="n"/>
      <c r="LE1" s="91" t="n"/>
      <c r="LF1" s="82" t="inlineStr">
        <is>
          <t>6/11/2020</t>
        </is>
      </c>
      <c r="LG1" s="83" t="n"/>
      <c r="LH1" s="83" t="n"/>
      <c r="LI1" s="83" t="n"/>
      <c r="LJ1" s="83" t="n"/>
      <c r="LK1" s="83" t="n"/>
      <c r="LL1" s="91" t="n"/>
      <c r="LM1" s="82" t="inlineStr">
        <is>
          <t>6/18/2020</t>
        </is>
      </c>
      <c r="LN1" s="83" t="n"/>
      <c r="LO1" s="83" t="n"/>
      <c r="LP1" s="83" t="n"/>
      <c r="LQ1" s="83" t="n"/>
      <c r="LR1" s="83" t="n"/>
      <c r="LS1" s="91" t="n"/>
      <c r="LT1" s="82" t="inlineStr">
        <is>
          <t>6/25/2020</t>
        </is>
      </c>
      <c r="LU1" s="83" t="n"/>
      <c r="LV1" s="83" t="n"/>
      <c r="LW1" s="83" t="n"/>
      <c r="LX1" s="83" t="n"/>
      <c r="LY1" s="83" t="n"/>
      <c r="LZ1" s="91" t="n"/>
      <c r="MA1" s="82" t="inlineStr">
        <is>
          <t>7/2/2020</t>
        </is>
      </c>
      <c r="MB1" s="83" t="n"/>
      <c r="MC1" s="83" t="n"/>
      <c r="MD1" s="83" t="n"/>
      <c r="ME1" s="83" t="n"/>
      <c r="MF1" s="83" t="n"/>
      <c r="MG1" s="91" t="n"/>
      <c r="MH1" s="82" t="inlineStr">
        <is>
          <t>7/9/2020</t>
        </is>
      </c>
      <c r="MI1" s="83" t="n"/>
      <c r="MJ1" s="83" t="n"/>
      <c r="MK1" s="83" t="n"/>
      <c r="ML1" s="83" t="n"/>
      <c r="MM1" s="83" t="n"/>
      <c r="MN1" s="91" t="n"/>
      <c r="MO1" s="82" t="inlineStr">
        <is>
          <t>7/16/2020</t>
        </is>
      </c>
      <c r="MP1" s="83" t="n"/>
      <c r="MQ1" s="83" t="n"/>
      <c r="MR1" s="83" t="n"/>
      <c r="MS1" s="83" t="n"/>
      <c r="MT1" s="83" t="n"/>
      <c r="MU1" s="91" t="n"/>
      <c r="MV1" s="82" t="inlineStr">
        <is>
          <t>7/23/2020</t>
        </is>
      </c>
      <c r="MW1" s="83" t="n"/>
      <c r="MX1" s="83" t="n"/>
      <c r="MY1" s="83" t="n"/>
      <c r="MZ1" s="83" t="n"/>
      <c r="NA1" s="83" t="n"/>
      <c r="NB1" s="91" t="n"/>
      <c r="NC1" s="82" t="inlineStr">
        <is>
          <t>7/30/2020</t>
        </is>
      </c>
      <c r="ND1" s="83" t="n"/>
      <c r="NE1" s="83" t="n"/>
      <c r="NF1" s="83" t="n"/>
      <c r="NG1" s="83" t="n"/>
      <c r="NH1" s="83" t="n"/>
      <c r="NI1" s="91" t="n"/>
      <c r="NJ1" s="82" t="inlineStr">
        <is>
          <t>8/6/2020</t>
        </is>
      </c>
      <c r="NK1" s="83" t="n"/>
      <c r="NL1" s="83" t="n"/>
      <c r="NM1" s="83" t="n"/>
      <c r="NN1" s="83" t="n"/>
      <c r="NO1" s="83" t="n"/>
      <c r="NP1" s="91" t="n"/>
      <c r="NQ1" s="82" t="inlineStr">
        <is>
          <t>8/13/2020</t>
        </is>
      </c>
      <c r="NR1" s="83" t="n"/>
      <c r="NS1" s="83" t="n"/>
      <c r="NT1" s="83" t="n"/>
      <c r="NU1" s="83" t="n"/>
      <c r="NV1" s="83" t="n"/>
      <c r="NW1" s="91" t="n"/>
      <c r="NX1" s="82" t="inlineStr">
        <is>
          <t>8/20/2020</t>
        </is>
      </c>
      <c r="NY1" s="83" t="n"/>
      <c r="NZ1" s="83" t="n"/>
      <c r="OA1" s="83" t="n"/>
      <c r="OB1" s="83" t="n"/>
      <c r="OC1" s="83" t="n"/>
      <c r="OD1" s="91" t="n"/>
      <c r="OE1" s="82" t="inlineStr">
        <is>
          <t>8/27/2020</t>
        </is>
      </c>
      <c r="OF1" s="83" t="n"/>
      <c r="OG1" s="83" t="n"/>
      <c r="OH1" s="83" t="n"/>
      <c r="OI1" s="83" t="n"/>
      <c r="OJ1" s="83" t="n"/>
      <c r="OK1" s="91" t="n"/>
      <c r="OL1" s="82" t="inlineStr">
        <is>
          <t>9/3/2020</t>
        </is>
      </c>
      <c r="OM1" s="83" t="n"/>
      <c r="ON1" s="83" t="n"/>
      <c r="OO1" s="83" t="n"/>
      <c r="OP1" s="83" t="n"/>
      <c r="OQ1" s="83" t="n"/>
      <c r="OR1" s="91" t="n"/>
      <c r="OS1" s="82" t="inlineStr">
        <is>
          <t>9/10/2020</t>
        </is>
      </c>
      <c r="OT1" s="83" t="n"/>
      <c r="OU1" s="83" t="n"/>
      <c r="OV1" s="83" t="n"/>
      <c r="OW1" s="83" t="n"/>
      <c r="OX1" s="83" t="n"/>
      <c r="OY1" s="91" t="n"/>
      <c r="OZ1" s="82" t="inlineStr">
        <is>
          <t>9/17/2020</t>
        </is>
      </c>
      <c r="PA1" s="83" t="n"/>
      <c r="PB1" s="83" t="n"/>
      <c r="PC1" s="83" t="n"/>
      <c r="PD1" s="83" t="n"/>
      <c r="PE1" s="83" t="n"/>
      <c r="PF1" s="91" t="n"/>
      <c r="PG1" s="82" t="inlineStr">
        <is>
          <t>9/24/2020</t>
        </is>
      </c>
      <c r="PH1" s="83" t="n"/>
      <c r="PI1" s="83" t="n"/>
      <c r="PJ1" s="83" t="n"/>
      <c r="PK1" s="83" t="n"/>
      <c r="PL1" s="83" t="n"/>
      <c r="PM1" s="91" t="n"/>
      <c r="PN1" s="82" t="inlineStr">
        <is>
          <t>10/1/2020</t>
        </is>
      </c>
      <c r="PO1" s="83" t="n"/>
      <c r="PP1" s="83" t="n"/>
      <c r="PQ1" s="83" t="n"/>
      <c r="PR1" s="83" t="n"/>
      <c r="PS1" s="83" t="n"/>
      <c r="PT1" s="91" t="n"/>
      <c r="PU1" s="82" t="inlineStr">
        <is>
          <t>10/8/2020</t>
        </is>
      </c>
      <c r="PV1" s="83" t="n"/>
      <c r="PW1" s="83" t="n"/>
      <c r="PX1" s="83" t="n"/>
      <c r="PY1" s="83" t="n"/>
      <c r="PZ1" s="83" t="n"/>
      <c r="QA1" s="91" t="n"/>
      <c r="QB1" s="82" t="inlineStr">
        <is>
          <t>10/15/2020</t>
        </is>
      </c>
      <c r="QC1" s="83" t="n"/>
      <c r="QD1" s="83" t="n"/>
      <c r="QE1" s="83" t="n"/>
      <c r="QF1" s="83" t="n"/>
      <c r="QG1" s="83" t="n"/>
      <c r="QH1" s="91" t="n"/>
      <c r="QI1" s="82" t="inlineStr">
        <is>
          <t>10/22/2020</t>
        </is>
      </c>
      <c r="QJ1" s="83" t="n"/>
      <c r="QK1" s="83" t="n"/>
      <c r="QL1" s="83" t="n"/>
      <c r="QM1" s="83" t="n"/>
      <c r="QN1" s="83" t="n"/>
      <c r="QO1" s="91" t="n"/>
      <c r="QP1" s="82" t="inlineStr">
        <is>
          <t>10/29/2020</t>
        </is>
      </c>
      <c r="QQ1" s="83" t="n"/>
      <c r="QR1" s="83" t="n"/>
      <c r="QS1" s="83" t="n"/>
      <c r="QT1" s="83" t="n"/>
      <c r="QU1" s="83" t="n"/>
      <c r="QV1" s="91" t="n"/>
      <c r="QW1" s="82" t="inlineStr">
        <is>
          <t>11/5/2020</t>
        </is>
      </c>
      <c r="QX1" s="83" t="n"/>
      <c r="QY1" s="83" t="n"/>
      <c r="QZ1" s="83" t="n"/>
      <c r="RA1" s="83" t="n"/>
      <c r="RB1" s="83" t="n"/>
      <c r="RC1" s="91" t="n"/>
      <c r="RD1" s="82" t="inlineStr">
        <is>
          <t>11/12/2020</t>
        </is>
      </c>
      <c r="RE1" s="83" t="n"/>
      <c r="RF1" s="83" t="n"/>
      <c r="RG1" s="83" t="n"/>
      <c r="RH1" s="83" t="n"/>
      <c r="RI1" s="83" t="n"/>
      <c r="RJ1" s="91" t="n"/>
      <c r="RK1" s="82" t="inlineStr">
        <is>
          <t>11/19/2020</t>
        </is>
      </c>
      <c r="RL1" s="83" t="n"/>
      <c r="RM1" s="83" t="n"/>
      <c r="RN1" s="83" t="n"/>
      <c r="RO1" s="83" t="n"/>
      <c r="RP1" s="83" t="n"/>
      <c r="RQ1" s="91" t="n"/>
      <c r="RR1" s="82" t="inlineStr">
        <is>
          <t>11/26/2020</t>
        </is>
      </c>
      <c r="RS1" s="83" t="n"/>
      <c r="RT1" s="83" t="n"/>
      <c r="RU1" s="83" t="n"/>
      <c r="RV1" s="83" t="n"/>
      <c r="RW1" s="83" t="n"/>
      <c r="RX1" s="91" t="n"/>
      <c r="RY1" s="82" t="inlineStr">
        <is>
          <t>12/3/2020</t>
        </is>
      </c>
      <c r="RZ1" s="83" t="n"/>
      <c r="SA1" s="83" t="n"/>
      <c r="SB1" s="83" t="n"/>
      <c r="SC1" s="83" t="n"/>
      <c r="SD1" s="83" t="n"/>
      <c r="SE1" s="91" t="n"/>
      <c r="SF1" s="82" t="inlineStr">
        <is>
          <t>12/10/2020</t>
        </is>
      </c>
      <c r="SG1" s="83" t="n"/>
      <c r="SH1" s="83" t="n"/>
      <c r="SI1" s="83" t="n"/>
      <c r="SJ1" s="83" t="n"/>
      <c r="SK1" s="83" t="n"/>
      <c r="SL1" s="91" t="n"/>
      <c r="SM1" s="82" t="inlineStr">
        <is>
          <t>12/17/2020</t>
        </is>
      </c>
      <c r="SN1" s="83" t="n"/>
      <c r="SO1" s="83" t="n"/>
      <c r="SP1" s="83" t="n"/>
      <c r="SQ1" s="83" t="n"/>
      <c r="SR1" s="83" t="n"/>
      <c r="SS1" s="91" t="n"/>
      <c r="ST1" s="82" t="inlineStr">
        <is>
          <t>12/24/2020</t>
        </is>
      </c>
      <c r="SU1" s="83" t="n"/>
      <c r="SV1" s="83" t="n"/>
      <c r="SW1" s="83" t="n"/>
      <c r="SX1" s="83" t="n"/>
      <c r="SY1" s="83" t="n"/>
      <c r="SZ1" s="91" t="n"/>
      <c r="TA1" s="82" t="inlineStr">
        <is>
          <t>12/31/2020</t>
        </is>
      </c>
      <c r="TB1" s="83" t="n"/>
      <c r="TC1" s="83" t="n"/>
      <c r="TD1" s="83" t="n"/>
      <c r="TE1" s="83" t="n"/>
      <c r="TF1" s="83" t="n"/>
      <c r="TG1" s="91" t="n"/>
      <c r="TH1" s="82" t="inlineStr">
        <is>
          <t>1/7/2021</t>
        </is>
      </c>
      <c r="TI1" s="83" t="n"/>
      <c r="TJ1" s="83" t="n"/>
      <c r="TK1" s="83" t="n"/>
      <c r="TL1" s="83" t="n"/>
      <c r="TM1" s="83" t="n"/>
      <c r="TN1" s="91" t="n"/>
      <c r="TO1" s="82" t="inlineStr">
        <is>
          <t>1/14/2021</t>
        </is>
      </c>
      <c r="TP1" s="83" t="n"/>
      <c r="TQ1" s="83" t="n"/>
      <c r="TR1" s="83" t="n"/>
      <c r="TS1" s="83" t="n"/>
      <c r="TT1" s="83" t="n"/>
      <c r="TU1" s="91" t="n"/>
      <c r="TV1" s="82" t="inlineStr">
        <is>
          <t>1/21/2021</t>
        </is>
      </c>
      <c r="TW1" s="83" t="n"/>
      <c r="TX1" s="83" t="n"/>
      <c r="TY1" s="83" t="n"/>
      <c r="TZ1" s="83" t="n"/>
      <c r="UA1" s="83" t="n"/>
      <c r="UB1" s="91" t="n"/>
      <c r="UC1" s="82" t="inlineStr">
        <is>
          <t>1/28/2021</t>
        </is>
      </c>
      <c r="UD1" s="83" t="n"/>
      <c r="UE1" s="83" t="n"/>
      <c r="UF1" s="83" t="n"/>
      <c r="UG1" s="83" t="n"/>
      <c r="UH1" s="83" t="n"/>
      <c r="UI1" s="91" t="n"/>
      <c r="UJ1" s="82" t="inlineStr">
        <is>
          <t>2/4/2021</t>
        </is>
      </c>
      <c r="UK1" s="83" t="n"/>
      <c r="UL1" s="83" t="n"/>
      <c r="UM1" s="83" t="n"/>
      <c r="UN1" s="83" t="n"/>
      <c r="UO1" s="83" t="n"/>
      <c r="UP1" s="91" t="n"/>
      <c r="UQ1" s="82" t="inlineStr">
        <is>
          <t>2/11/2021</t>
        </is>
      </c>
      <c r="UR1" s="83" t="n"/>
      <c r="US1" s="83" t="n"/>
      <c r="UT1" s="83" t="n"/>
      <c r="UU1" s="83" t="n"/>
      <c r="UV1" s="83" t="n"/>
      <c r="UW1" s="91" t="n"/>
      <c r="UX1" s="82" t="inlineStr">
        <is>
          <t>2/18/2021</t>
        </is>
      </c>
      <c r="UY1" s="83" t="n"/>
      <c r="UZ1" s="83" t="n"/>
      <c r="VA1" s="83" t="n"/>
      <c r="VB1" s="83" t="n"/>
      <c r="VC1" s="83" t="n"/>
      <c r="VD1" s="91" t="n"/>
      <c r="VE1" s="82" t="inlineStr">
        <is>
          <t>2/25/2021</t>
        </is>
      </c>
      <c r="VF1" s="83" t="n"/>
      <c r="VG1" s="83" t="n"/>
      <c r="VH1" s="83" t="n"/>
      <c r="VI1" s="83" t="n"/>
      <c r="VJ1" s="83" t="n"/>
      <c r="VK1" s="91" t="n"/>
      <c r="VL1" s="82" t="inlineStr">
        <is>
          <t>3/4/2021</t>
        </is>
      </c>
      <c r="VM1" s="83" t="n"/>
      <c r="VN1" s="83" t="n"/>
      <c r="VO1" s="83" t="n"/>
      <c r="VP1" s="83" t="n"/>
      <c r="VQ1" s="83" t="n"/>
      <c r="VR1" s="91" t="n"/>
      <c r="VS1" s="82" t="inlineStr">
        <is>
          <t>3/11/2021</t>
        </is>
      </c>
      <c r="VT1" s="83" t="n"/>
      <c r="VU1" s="83" t="n"/>
      <c r="VV1" s="83" t="n"/>
      <c r="VW1" s="83" t="n"/>
      <c r="VX1" s="83" t="n"/>
      <c r="VY1" s="91" t="n"/>
      <c r="VZ1" s="82" t="inlineStr">
        <is>
          <t>3/18/2021</t>
        </is>
      </c>
      <c r="WA1" s="83" t="n"/>
      <c r="WB1" s="83" t="n"/>
      <c r="WC1" s="83" t="n"/>
      <c r="WD1" s="83" t="n"/>
      <c r="WE1" s="83" t="n"/>
      <c r="WF1" s="91" t="n"/>
      <c r="WG1" s="82" t="inlineStr">
        <is>
          <t>3/25/2021</t>
        </is>
      </c>
      <c r="WH1" s="83" t="n"/>
      <c r="WI1" s="83" t="n"/>
      <c r="WJ1" s="83" t="n"/>
      <c r="WK1" s="83" t="n"/>
      <c r="WL1" s="83" t="n"/>
      <c r="WM1" s="91" t="n"/>
      <c r="WN1" s="82" t="inlineStr">
        <is>
          <t>4/1/2021</t>
        </is>
      </c>
      <c r="WO1" s="83" t="n"/>
      <c r="WP1" s="83" t="n"/>
      <c r="WQ1" s="83" t="n"/>
      <c r="WR1" s="83" t="n"/>
      <c r="WS1" s="83" t="n"/>
      <c r="WT1" s="91" t="n"/>
      <c r="WU1" s="82" t="inlineStr">
        <is>
          <t>4/8/2021</t>
        </is>
      </c>
      <c r="WV1" s="83" t="n"/>
      <c r="WW1" s="83" t="n"/>
      <c r="WX1" s="83" t="n"/>
      <c r="WY1" s="83" t="n"/>
      <c r="WZ1" s="83" t="n"/>
      <c r="XA1" s="91" t="n"/>
      <c r="XB1" s="82" t="inlineStr">
        <is>
          <t>4/15/2021</t>
        </is>
      </c>
      <c r="XC1" s="83" t="n"/>
      <c r="XD1" s="83" t="n"/>
      <c r="XE1" s="83" t="n"/>
      <c r="XF1" s="83" t="n"/>
      <c r="XG1" s="83" t="n"/>
      <c r="XH1" s="91" t="n"/>
      <c r="XI1" s="82" t="inlineStr">
        <is>
          <t>4/22/2021</t>
        </is>
      </c>
      <c r="XJ1" s="83" t="n"/>
      <c r="XK1" s="83" t="n"/>
      <c r="XL1" s="83" t="n"/>
      <c r="XM1" s="83" t="n"/>
      <c r="XN1" s="83" t="n"/>
      <c r="XO1" s="91" t="n"/>
      <c r="XP1" s="82" t="inlineStr">
        <is>
          <t>4/29/2021</t>
        </is>
      </c>
      <c r="XQ1" s="83" t="n"/>
      <c r="XR1" s="83" t="n"/>
      <c r="XS1" s="83" t="n"/>
      <c r="XT1" s="83" t="n"/>
      <c r="XU1" s="83" t="n"/>
      <c r="XV1" s="91" t="n"/>
      <c r="XW1" s="82" t="inlineStr">
        <is>
          <t>5/6/2021</t>
        </is>
      </c>
      <c r="XX1" s="83" t="n"/>
      <c r="XY1" s="83" t="n"/>
      <c r="XZ1" s="83" t="n"/>
      <c r="YA1" s="83" t="n"/>
      <c r="YB1" s="83" t="n"/>
      <c r="YC1" s="91" t="n"/>
      <c r="YD1" s="82" t="inlineStr">
        <is>
          <t>5/13/2021</t>
        </is>
      </c>
      <c r="YE1" s="83" t="n"/>
      <c r="YF1" s="83" t="n"/>
      <c r="YG1" s="83" t="n"/>
      <c r="YH1" s="83" t="n"/>
      <c r="YI1" s="83" t="n"/>
      <c r="YJ1" s="91" t="n"/>
      <c r="YK1" s="82" t="inlineStr">
        <is>
          <t>5/20/2021</t>
        </is>
      </c>
      <c r="YL1" s="83" t="n"/>
      <c r="YM1" s="83" t="n"/>
      <c r="YN1" s="83" t="n"/>
      <c r="YO1" s="83" t="n"/>
      <c r="YP1" s="83" t="n"/>
      <c r="YQ1" s="91" t="n"/>
      <c r="YR1" s="82" t="inlineStr">
        <is>
          <t>5/27/2021</t>
        </is>
      </c>
      <c r="YS1" s="83" t="n"/>
      <c r="YT1" s="83" t="n"/>
      <c r="YU1" s="83" t="n"/>
      <c r="YV1" s="83" t="n"/>
      <c r="YW1" s="83" t="n"/>
      <c r="YX1" s="91" t="n"/>
      <c r="YY1" s="82" t="inlineStr">
        <is>
          <t>6/3/2021</t>
        </is>
      </c>
      <c r="YZ1" s="83" t="n"/>
      <c r="ZA1" s="83" t="n"/>
      <c r="ZB1" s="83" t="n"/>
      <c r="ZC1" s="83" t="n"/>
      <c r="ZD1" s="83" t="n"/>
      <c r="ZE1" s="91" t="n"/>
      <c r="ZF1" s="82" t="inlineStr">
        <is>
          <t>6/10/2021</t>
        </is>
      </c>
      <c r="ZG1" s="83" t="n"/>
      <c r="ZH1" s="83" t="n"/>
      <c r="ZI1" s="83" t="n"/>
      <c r="ZJ1" s="83" t="n"/>
      <c r="ZK1" s="83" t="n"/>
      <c r="ZL1" s="91" t="n"/>
      <c r="ZM1" s="82" t="inlineStr">
        <is>
          <t>6/17/2021</t>
        </is>
      </c>
      <c r="ZN1" s="83" t="n"/>
      <c r="ZO1" s="83" t="n"/>
      <c r="ZP1" s="83" t="n"/>
      <c r="ZQ1" s="83" t="n"/>
      <c r="ZR1" s="83" t="n"/>
      <c r="ZS1" s="91" t="n"/>
      <c r="ZT1" s="82" t="inlineStr">
        <is>
          <t>6/24/2021</t>
        </is>
      </c>
      <c r="ZU1" s="83" t="n"/>
      <c r="ZV1" s="83" t="n"/>
      <c r="ZW1" s="83" t="n"/>
      <c r="ZX1" s="83" t="n"/>
      <c r="ZY1" s="83" t="n"/>
      <c r="ZZ1" s="91" t="n"/>
      <c r="AAA1" s="82" t="inlineStr">
        <is>
          <t>7/1/2021</t>
        </is>
      </c>
      <c r="AAB1" s="83" t="n"/>
      <c r="AAC1" s="83" t="n"/>
      <c r="AAD1" s="83" t="n"/>
      <c r="AAE1" s="83" t="n"/>
      <c r="AAF1" s="83" t="n"/>
      <c r="AAG1" s="91" t="n"/>
      <c r="AAH1" s="82" t="inlineStr">
        <is>
          <t>7/8/2021</t>
        </is>
      </c>
      <c r="AAI1" s="83" t="n"/>
      <c r="AAJ1" s="83" t="n"/>
      <c r="AAK1" s="83" t="n"/>
      <c r="AAL1" s="83" t="n"/>
      <c r="AAM1" s="83" t="n"/>
      <c r="AAN1" s="91" t="n"/>
      <c r="AAO1" s="82" t="inlineStr">
        <is>
          <t>7/15/2021</t>
        </is>
      </c>
      <c r="AAP1" s="83" t="n"/>
      <c r="AAQ1" s="83" t="n"/>
      <c r="AAR1" s="83" t="n"/>
      <c r="AAS1" s="83" t="n"/>
      <c r="AAT1" s="83" t="n"/>
      <c r="AAU1" s="91" t="n"/>
      <c r="AAV1" s="82" t="inlineStr">
        <is>
          <t>7/22/2021</t>
        </is>
      </c>
      <c r="AAW1" s="83" t="n"/>
      <c r="AAX1" s="83" t="n"/>
      <c r="AAY1" s="83" t="n"/>
      <c r="AAZ1" s="83" t="n"/>
      <c r="ABA1" s="83" t="n"/>
      <c r="ABB1" s="91" t="n"/>
      <c r="ABC1" s="82" t="inlineStr">
        <is>
          <t>7/29/2021</t>
        </is>
      </c>
      <c r="ABD1" s="83" t="n"/>
      <c r="ABE1" s="83" t="n"/>
      <c r="ABF1" s="83" t="n"/>
      <c r="ABG1" s="83" t="n"/>
      <c r="ABH1" s="83" t="n"/>
      <c r="ABI1" s="91" t="n"/>
      <c r="ABJ1" s="82" t="inlineStr">
        <is>
          <t>8/5/2021</t>
        </is>
      </c>
      <c r="ABK1" s="83" t="n"/>
      <c r="ABL1" s="83" t="n"/>
      <c r="ABM1" s="83" t="n"/>
      <c r="ABN1" s="83" t="n"/>
      <c r="ABO1" s="83" t="n"/>
      <c r="ABP1" s="91" t="n"/>
      <c r="ABQ1" s="82" t="inlineStr">
        <is>
          <t>8/12/2021</t>
        </is>
      </c>
      <c r="ABR1" s="83" t="n"/>
      <c r="ABS1" s="83" t="n"/>
      <c r="ABT1" s="83" t="n"/>
      <c r="ABU1" s="83" t="n"/>
      <c r="ABV1" s="83" t="n"/>
      <c r="ABW1" s="91" t="n"/>
      <c r="ABX1" s="82" t="inlineStr">
        <is>
          <t>8/19/2021</t>
        </is>
      </c>
      <c r="ABY1" s="83" t="n"/>
      <c r="ABZ1" s="83" t="n"/>
      <c r="ACA1" s="83" t="n"/>
      <c r="ACB1" s="83" t="n"/>
      <c r="ACC1" s="83" t="n"/>
      <c r="ACD1" s="91" t="n"/>
      <c r="ACE1" s="82" t="inlineStr">
        <is>
          <t>8/26/2021</t>
        </is>
      </c>
      <c r="ACF1" s="83" t="n"/>
      <c r="ACG1" s="83" t="n"/>
      <c r="ACH1" s="83" t="n"/>
      <c r="ACI1" s="83" t="n"/>
      <c r="ACJ1" s="83" t="n"/>
      <c r="ACK1" s="91" t="n"/>
      <c r="ACL1" s="82" t="inlineStr">
        <is>
          <t>9/2/2021</t>
        </is>
      </c>
      <c r="ACM1" s="83" t="n"/>
      <c r="ACN1" s="83" t="n"/>
      <c r="ACO1" s="83" t="n"/>
      <c r="ACP1" s="83" t="n"/>
      <c r="ACQ1" s="83" t="n"/>
      <c r="ACR1" s="91" t="n"/>
      <c r="ACS1" s="82" t="inlineStr">
        <is>
          <t>9/9/2021</t>
        </is>
      </c>
      <c r="ACT1" s="83" t="n"/>
      <c r="ACU1" s="83" t="n"/>
      <c r="ACV1" s="83" t="n"/>
      <c r="ACW1" s="83" t="n"/>
      <c r="ACX1" s="83" t="n"/>
      <c r="ACY1" s="91" t="n"/>
      <c r="ACZ1" s="82" t="inlineStr">
        <is>
          <t>9/16/2021</t>
        </is>
      </c>
      <c r="ADA1" s="83" t="n"/>
      <c r="ADB1" s="83" t="n"/>
      <c r="ADC1" s="83" t="n"/>
      <c r="ADD1" s="83" t="n"/>
      <c r="ADE1" s="83" t="n"/>
      <c r="ADF1" s="91" t="n"/>
      <c r="ADG1" s="82" t="inlineStr">
        <is>
          <t>9/23/2021</t>
        </is>
      </c>
      <c r="ADH1" s="83" t="n"/>
      <c r="ADI1" s="83" t="n"/>
      <c r="ADJ1" s="83" t="n"/>
      <c r="ADK1" s="83" t="n"/>
      <c r="ADL1" s="83" t="n"/>
      <c r="ADM1" s="91" t="n"/>
      <c r="ADN1" s="82" t="inlineStr">
        <is>
          <t>9/30/2021</t>
        </is>
      </c>
      <c r="ADO1" s="83" t="n"/>
      <c r="ADP1" s="83" t="n"/>
      <c r="ADQ1" s="83" t="n"/>
      <c r="ADR1" s="83" t="n"/>
      <c r="ADS1" s="83" t="n"/>
      <c r="ADT1" s="91" t="n"/>
      <c r="ADU1" s="82" t="inlineStr">
        <is>
          <t>10/7/2021</t>
        </is>
      </c>
      <c r="ADV1" s="83" t="n"/>
      <c r="ADW1" s="83" t="n"/>
      <c r="ADX1" s="83" t="n"/>
      <c r="ADY1" s="83" t="n"/>
      <c r="ADZ1" s="83" t="n"/>
      <c r="AEA1" s="91" t="n"/>
      <c r="AEB1" s="82" t="inlineStr">
        <is>
          <t>10/14/2021</t>
        </is>
      </c>
      <c r="AEC1" s="83" t="n"/>
      <c r="AED1" s="83" t="n"/>
      <c r="AEE1" s="83" t="n"/>
      <c r="AEF1" s="83" t="n"/>
      <c r="AEG1" s="83" t="n"/>
      <c r="AEH1" s="91" t="n"/>
      <c r="AEI1" s="82" t="inlineStr">
        <is>
          <t>10/21/2021</t>
        </is>
      </c>
      <c r="AEJ1" s="83" t="n"/>
      <c r="AEK1" s="83" t="n"/>
      <c r="AEL1" s="83" t="n"/>
      <c r="AEM1" s="83" t="n"/>
      <c r="AEN1" s="83" t="n"/>
      <c r="AEO1" s="91" t="n"/>
      <c r="AEP1" s="82" t="inlineStr">
        <is>
          <t>10/28/2021</t>
        </is>
      </c>
      <c r="AEQ1" s="83" t="n"/>
      <c r="AER1" s="83" t="n"/>
      <c r="AES1" s="83" t="n"/>
      <c r="AET1" s="83" t="n"/>
      <c r="AEU1" s="83" t="n"/>
      <c r="AEV1" s="91" t="n"/>
      <c r="AEW1" s="82" t="inlineStr">
        <is>
          <t>11/4/2021</t>
        </is>
      </c>
      <c r="AEX1" s="83" t="n"/>
      <c r="AEY1" s="83" t="n"/>
      <c r="AEZ1" s="83" t="n"/>
      <c r="AFA1" s="83" t="n"/>
      <c r="AFB1" s="83" t="n"/>
      <c r="AFC1" s="91" t="n"/>
      <c r="AFD1" s="82" t="inlineStr">
        <is>
          <t>11/11/2021</t>
        </is>
      </c>
      <c r="AFE1" s="83" t="n"/>
      <c r="AFF1" s="83" t="n"/>
      <c r="AFG1" s="83" t="n"/>
      <c r="AFH1" s="83" t="n"/>
      <c r="AFI1" s="83" t="n"/>
      <c r="AFJ1" s="91" t="n"/>
      <c r="AFK1" s="82" t="inlineStr">
        <is>
          <t>11/18/2021</t>
        </is>
      </c>
      <c r="AFL1" s="83" t="n"/>
      <c r="AFM1" s="83" t="n"/>
      <c r="AFN1" s="83" t="n"/>
      <c r="AFO1" s="83" t="n"/>
      <c r="AFP1" s="83" t="n"/>
      <c r="AFQ1" s="91" t="n"/>
      <c r="AFR1" s="82" t="inlineStr">
        <is>
          <t>11/25/2021</t>
        </is>
      </c>
      <c r="AFS1" s="83" t="n"/>
      <c r="AFT1" s="83" t="n"/>
      <c r="AFU1" s="83" t="n"/>
      <c r="AFV1" s="83" t="n"/>
      <c r="AFW1" s="83" t="n"/>
      <c r="AFX1" s="91" t="n"/>
      <c r="AFY1" s="82" t="inlineStr">
        <is>
          <t>12/2/2021</t>
        </is>
      </c>
      <c r="AFZ1" s="83" t="n"/>
      <c r="AGA1" s="83" t="n"/>
      <c r="AGB1" s="83" t="n"/>
      <c r="AGC1" s="83" t="n"/>
      <c r="AGD1" s="83" t="n"/>
      <c r="AGE1" s="91" t="n"/>
      <c r="AGF1" s="82" t="inlineStr">
        <is>
          <t>12/9/2021</t>
        </is>
      </c>
      <c r="AGG1" s="83" t="n"/>
      <c r="AGH1" s="83" t="n"/>
      <c r="AGI1" s="83" t="n"/>
      <c r="AGJ1" s="83" t="n"/>
      <c r="AGK1" s="83" t="n"/>
      <c r="AGL1" s="91" t="n"/>
      <c r="AGM1" s="82" t="inlineStr">
        <is>
          <t>12/16/2021</t>
        </is>
      </c>
      <c r="AGN1" s="83" t="n"/>
      <c r="AGO1" s="83" t="n"/>
      <c r="AGP1" s="83" t="n"/>
      <c r="AGQ1" s="83" t="n"/>
      <c r="AGR1" s="83" t="n"/>
      <c r="AGS1" s="91" t="n"/>
      <c r="AGT1" s="82" t="inlineStr">
        <is>
          <t>12/23/2021</t>
        </is>
      </c>
      <c r="AGU1" s="83" t="n"/>
      <c r="AGV1" s="83" t="n"/>
      <c r="AGW1" s="83" t="n"/>
      <c r="AGX1" s="83" t="n"/>
      <c r="AGY1" s="83" t="n"/>
      <c r="AGZ1" s="91" t="n"/>
      <c r="AHA1" s="82" t="inlineStr">
        <is>
          <t>12/30/2021</t>
        </is>
      </c>
      <c r="AHB1" s="83" t="n"/>
      <c r="AHC1" s="83" t="n"/>
      <c r="AHD1" s="83" t="n"/>
      <c r="AHE1" s="83" t="n"/>
      <c r="AHF1" s="83" t="n"/>
      <c r="AHG1" s="91" t="n"/>
      <c r="AHH1" s="82" t="inlineStr">
        <is>
          <t>1/6/2022</t>
        </is>
      </c>
      <c r="AHI1" s="83" t="n"/>
      <c r="AHJ1" s="83" t="n"/>
      <c r="AHK1" s="83" t="n"/>
      <c r="AHL1" s="83" t="n"/>
      <c r="AHM1" s="83" t="n"/>
      <c r="AHN1" s="91" t="n"/>
      <c r="AHO1" s="82" t="inlineStr">
        <is>
          <t>1/13/2022</t>
        </is>
      </c>
      <c r="AHP1" s="83" t="n"/>
      <c r="AHQ1" s="83" t="n"/>
      <c r="AHR1" s="83" t="n"/>
      <c r="AHS1" s="83" t="n"/>
      <c r="AHT1" s="83" t="n"/>
      <c r="AHU1" s="91" t="n"/>
      <c r="AHV1" s="82" t="inlineStr">
        <is>
          <t>1/20/2022</t>
        </is>
      </c>
      <c r="AHW1" s="83" t="n"/>
      <c r="AHX1" s="83" t="n"/>
      <c r="AHY1" s="83" t="n"/>
      <c r="AHZ1" s="83" t="n"/>
      <c r="AIA1" s="83" t="n"/>
      <c r="AIB1" s="91" t="n"/>
      <c r="AIC1" s="82" t="inlineStr">
        <is>
          <t>1/27/2022</t>
        </is>
      </c>
      <c r="AID1" s="83" t="n"/>
      <c r="AIE1" s="83" t="n"/>
      <c r="AIF1" s="83" t="n"/>
      <c r="AIG1" s="83" t="n"/>
      <c r="AIH1" s="83" t="n"/>
      <c r="AII1" s="91" t="n"/>
      <c r="AIJ1" s="82" t="inlineStr">
        <is>
          <t>2/3/2022</t>
        </is>
      </c>
      <c r="AIK1" s="83" t="n"/>
      <c r="AIL1" s="83" t="n"/>
      <c r="AIM1" s="83" t="n"/>
      <c r="AIN1" s="83" t="n"/>
      <c r="AIO1" s="83" t="n"/>
      <c r="AIP1" s="91" t="n"/>
      <c r="AIQ1" s="82" t="inlineStr">
        <is>
          <t>2/10/2022</t>
        </is>
      </c>
      <c r="AIR1" s="83" t="n"/>
      <c r="AIS1" s="83" t="n"/>
      <c r="AIT1" s="83" t="n"/>
      <c r="AIU1" s="83" t="n"/>
      <c r="AIV1" s="83" t="n"/>
      <c r="AIW1" s="91" t="n"/>
      <c r="AIX1" s="82" t="inlineStr">
        <is>
          <t>2/17/2022</t>
        </is>
      </c>
      <c r="AIY1" s="83" t="n"/>
      <c r="AIZ1" s="83" t="n"/>
      <c r="AJA1" s="83" t="n"/>
      <c r="AJB1" s="83" t="n"/>
      <c r="AJC1" s="83" t="n"/>
      <c r="AJD1" s="91" t="n"/>
      <c r="AJE1" s="82" t="inlineStr">
        <is>
          <t>2/24/2022</t>
        </is>
      </c>
      <c r="AJF1" s="83" t="n"/>
      <c r="AJG1" s="83" t="n"/>
      <c r="AJH1" s="83" t="n"/>
      <c r="AJI1" s="83" t="n"/>
      <c r="AJJ1" s="83" t="n"/>
      <c r="AJK1" s="91" t="n"/>
      <c r="AJL1" s="82" t="inlineStr">
        <is>
          <t>3/3/2022</t>
        </is>
      </c>
      <c r="AJM1" s="83" t="n"/>
      <c r="AJN1" s="83" t="n"/>
      <c r="AJO1" s="83" t="n"/>
      <c r="AJP1" s="83" t="n"/>
      <c r="AJQ1" s="83" t="n"/>
      <c r="AJR1" s="91" t="n"/>
      <c r="AJS1" s="82" t="inlineStr">
        <is>
          <t>3/10/2022</t>
        </is>
      </c>
      <c r="AJT1" s="83" t="n"/>
      <c r="AJU1" s="83" t="n"/>
      <c r="AJV1" s="83" t="n"/>
      <c r="AJW1" s="83" t="n"/>
      <c r="AJX1" s="83" t="n"/>
      <c r="AJY1" s="91" t="n"/>
      <c r="AJZ1" s="82" t="inlineStr">
        <is>
          <t>3/17/2022</t>
        </is>
      </c>
      <c r="AKA1" s="83" t="n"/>
      <c r="AKB1" s="83" t="n"/>
      <c r="AKC1" s="83" t="n"/>
      <c r="AKD1" s="83" t="n"/>
      <c r="AKE1" s="83" t="n"/>
      <c r="AKF1" s="91" t="n"/>
      <c r="AKG1" s="82" t="inlineStr">
        <is>
          <t>3/24/2022</t>
        </is>
      </c>
      <c r="AKH1" s="83" t="n"/>
      <c r="AKI1" s="83" t="n"/>
      <c r="AKJ1" s="83" t="n"/>
      <c r="AKK1" s="83" t="n"/>
      <c r="AKL1" s="83" t="n"/>
      <c r="AKM1" s="91" t="n"/>
      <c r="AKN1" s="82" t="inlineStr">
        <is>
          <t>3/31/2022</t>
        </is>
      </c>
      <c r="AKO1" s="83" t="n"/>
      <c r="AKP1" s="83" t="n"/>
      <c r="AKQ1" s="83" t="n"/>
      <c r="AKR1" s="83" t="n"/>
      <c r="AKS1" s="83" t="n"/>
      <c r="AKT1" s="91" t="n"/>
      <c r="AKU1" s="82" t="inlineStr">
        <is>
          <t>4/7/2022</t>
        </is>
      </c>
      <c r="AKV1" s="83" t="n"/>
      <c r="AKW1" s="83" t="n"/>
      <c r="AKX1" s="83" t="n"/>
      <c r="AKY1" s="83" t="n"/>
      <c r="AKZ1" s="83" t="n"/>
      <c r="ALA1" s="91" t="n"/>
      <c r="ALB1" s="82" t="inlineStr">
        <is>
          <t>4/14/2022</t>
        </is>
      </c>
      <c r="ALC1" s="83" t="n"/>
      <c r="ALD1" s="83" t="n"/>
      <c r="ALE1" s="83" t="n"/>
      <c r="ALF1" s="83" t="n"/>
      <c r="ALG1" s="83" t="n"/>
      <c r="ALH1" s="91" t="n"/>
      <c r="ALI1" s="82" t="inlineStr">
        <is>
          <t>4/21/2022</t>
        </is>
      </c>
      <c r="ALJ1" s="83" t="n"/>
      <c r="ALK1" s="83" t="n"/>
      <c r="ALL1" s="83" t="n"/>
      <c r="ALM1" s="83" t="n"/>
      <c r="ALN1" s="83" t="n"/>
      <c r="ALO1" s="91" t="n"/>
      <c r="ALP1" s="82" t="inlineStr">
        <is>
          <t>4/28/2022</t>
        </is>
      </c>
      <c r="ALQ1" s="83" t="n"/>
      <c r="ALR1" s="83" t="n"/>
      <c r="ALS1" s="83" t="n"/>
      <c r="ALT1" s="83" t="n"/>
      <c r="ALU1" s="83" t="n"/>
      <c r="ALV1" s="91" t="n"/>
    </row>
    <row r="2">
      <c r="A2" s="84" t="inlineStr">
        <is>
          <t>Key Project Milestone</t>
        </is>
      </c>
      <c r="B2" s="84" t="inlineStr">
        <is>
          <t>Key Project Milestone</t>
        </is>
      </c>
      <c r="BL2" s="92" t="inlineStr">
        <is>
          <t>GW 1/2</t>
        </is>
      </c>
      <c r="BM2" s="83" t="n"/>
      <c r="BN2" s="91" t="n"/>
      <c r="HJ2" s="93" t="inlineStr">
        <is>
          <t>Quality Gate 3</t>
        </is>
      </c>
      <c r="HK2" s="83" t="n"/>
      <c r="HL2" s="91" t="n"/>
      <c r="IM2" s="94" t="inlineStr">
        <is>
          <t>GW 3/4</t>
        </is>
      </c>
      <c r="IN2" s="91" t="n"/>
      <c r="MQ2" s="95" t="inlineStr">
        <is>
          <t xml:space="preserve">Machine Ready for Field </t>
        </is>
      </c>
      <c r="MR2" s="91" t="n"/>
      <c r="OL2" s="96" t="inlineStr">
        <is>
          <t>Pilot EDS Freeze</t>
        </is>
      </c>
      <c r="OM2" s="83" t="n"/>
      <c r="ON2" s="91" t="n"/>
      <c r="QP2" s="97" t="inlineStr">
        <is>
          <t>Endurance Complete</t>
        </is>
      </c>
      <c r="UG2" s="98" t="inlineStr">
        <is>
          <t>GW 5</t>
        </is>
      </c>
      <c r="UH2" s="83" t="n"/>
      <c r="UI2" s="91" t="n"/>
      <c r="AFX2" s="99" t="inlineStr">
        <is>
          <t>Production EDS Freeze</t>
        </is>
      </c>
      <c r="AFY2" s="83" t="n"/>
      <c r="AFZ2" s="91" t="n"/>
      <c r="AGG2" s="100" t="inlineStr">
        <is>
          <t>GW 5.5</t>
        </is>
      </c>
      <c r="AGH2" s="91" t="n"/>
      <c r="ALS2" s="101" t="inlineStr">
        <is>
          <t>GW 6</t>
        </is>
      </c>
      <c r="ALT2" s="83" t="n"/>
      <c r="ALU2" s="83" t="n"/>
      <c r="ALV2" s="91" t="n"/>
    </row>
    <row r="3">
      <c r="A3" s="84" t="inlineStr">
        <is>
          <t>Key Validation review</t>
        </is>
      </c>
      <c r="B3" s="84" t="inlineStr">
        <is>
          <t>Key Validation review</t>
        </is>
      </c>
      <c r="HJ3" s="92" t="inlineStr">
        <is>
          <t>Validation Review 3</t>
        </is>
      </c>
      <c r="HK3" s="83" t="n"/>
      <c r="HL3" s="91" t="n"/>
      <c r="NE3" s="93" t="inlineStr">
        <is>
          <t>Validation Review 4</t>
        </is>
      </c>
      <c r="QT3" s="94" t="inlineStr">
        <is>
          <t>Validation Review 5</t>
        </is>
      </c>
    </row>
    <row r="4">
      <c r="A4" s="84" t="inlineStr">
        <is>
          <t>Software Milestone</t>
        </is>
      </c>
      <c r="B4" s="84" t="inlineStr">
        <is>
          <t>Software Milestone</t>
        </is>
      </c>
      <c r="DL4" s="92" t="inlineStr">
        <is>
          <t>Receive V01 SW</t>
        </is>
      </c>
      <c r="DM4" s="91" t="n"/>
      <c r="EI4" s="93" t="inlineStr">
        <is>
          <t>V02 SW Content Freeze</t>
        </is>
      </c>
      <c r="EJ4" s="91" t="n"/>
      <c r="GY4" s="94" t="inlineStr">
        <is>
          <t>Receive V02 SW</t>
        </is>
      </c>
      <c r="GZ4" s="91" t="n"/>
      <c r="HH4" s="95" t="inlineStr">
        <is>
          <t>V03 SW Content Freeze</t>
        </is>
      </c>
      <c r="HI4" s="91" t="n"/>
      <c r="JJ4" s="96" t="inlineStr">
        <is>
          <t>Receive V03 SW</t>
        </is>
      </c>
      <c r="JK4" s="91" t="n"/>
      <c r="KA4" s="97" t="inlineStr">
        <is>
          <t>V04 SW Content Freeze</t>
        </is>
      </c>
      <c r="KB4" s="91" t="n"/>
      <c r="LN4" s="99" t="inlineStr">
        <is>
          <t>Receive V04 SW (Pilot)</t>
        </is>
      </c>
      <c r="LO4" s="91" t="n"/>
      <c r="LW4" s="98" t="inlineStr">
        <is>
          <t>V05 SW Content Freeze</t>
        </is>
      </c>
      <c r="LX4" s="91" t="n"/>
      <c r="MW4" s="100" t="inlineStr">
        <is>
          <t>Receive V04 SW (Pilot)</t>
        </is>
      </c>
    </row>
    <row r="5">
      <c r="A5" s="84" t="inlineStr">
        <is>
          <t>TIC Report Milestone</t>
        </is>
      </c>
      <c r="B5" s="84" t="inlineStr">
        <is>
          <t>TIC Report Milestone</t>
        </is>
      </c>
      <c r="MP5" s="92" t="inlineStr">
        <is>
          <t>EMC-Pilot- Pilot</t>
        </is>
      </c>
      <c r="MQ5" s="91" t="n"/>
      <c r="MS5" s="93" t="inlineStr">
        <is>
          <t>ISO 9533 Horn, Back-up Alarm EN474 HAWB- Pilot</t>
        </is>
      </c>
      <c r="MT5" s="91" t="n"/>
      <c r="OB5" s="94" t="inlineStr">
        <is>
          <t>ISO 5010 Steering Feasibility (Pilot)</t>
        </is>
      </c>
      <c r="OC5" s="91" t="n"/>
      <c r="OD5" s="95" t="inlineStr">
        <is>
          <t>ISO 3450 Brake Feasibility (Pilot)</t>
        </is>
      </c>
      <c r="OE5" s="91" t="n"/>
      <c r="XL5" s="97" t="inlineStr">
        <is>
          <t>ISO 3450 Brake CERT</t>
        </is>
      </c>
      <c r="XM5" s="83" t="n"/>
      <c r="XN5" s="91" t="n"/>
      <c r="YG5" s="99" t="inlineStr">
        <is>
          <t>ISO 5010 Steering CERT</t>
        </is>
      </c>
      <c r="YH5" s="91" t="n"/>
      <c r="YP5" s="100" t="inlineStr">
        <is>
          <t>ISO 10570-Articulation Lock CERT</t>
        </is>
      </c>
      <c r="YQ5" s="91" t="n"/>
      <c r="ACA5" s="98" t="inlineStr">
        <is>
          <t>ISO 9533 Horn, Back-up Alarm HAWB CERT</t>
        </is>
      </c>
      <c r="ACB5" s="91" t="n"/>
      <c r="AEB5" s="96" t="inlineStr">
        <is>
          <t>Stg V EMC CERT</t>
        </is>
      </c>
      <c r="AEC5" s="91" t="n"/>
    </row>
    <row r="6">
      <c r="A6" s="84" t="inlineStr">
        <is>
          <t>Tech Center ShakeTabl</t>
        </is>
      </c>
      <c r="B6" s="84" t="inlineStr">
        <is>
          <t>Tech Center ShakeTabl</t>
        </is>
      </c>
      <c r="DJ6" s="92" t="inlineStr">
        <is>
          <t>Hood arrives at Tech Center, Peoria</t>
        </is>
      </c>
      <c r="DK6" s="83" t="n"/>
      <c r="DL6" s="83" t="n"/>
      <c r="DM6" s="83" t="n"/>
      <c r="DN6" s="83" t="n"/>
      <c r="DO6" s="83" t="n"/>
      <c r="DP6" s="83" t="n"/>
      <c r="DQ6" s="83" t="n"/>
      <c r="DR6" s="83" t="n"/>
      <c r="DS6" s="83" t="n"/>
      <c r="DT6" s="83" t="n"/>
      <c r="DU6" s="83" t="n"/>
      <c r="DV6" s="83" t="n"/>
      <c r="DW6" s="83" t="n"/>
      <c r="DX6" s="83" t="n"/>
      <c r="DY6" s="83" t="n"/>
      <c r="DZ6" s="83" t="n"/>
      <c r="EA6" s="83" t="n"/>
      <c r="EB6" s="83" t="n"/>
      <c r="EC6" s="83" t="n"/>
      <c r="ED6" s="83" t="n"/>
      <c r="EE6" s="83" t="n"/>
      <c r="EF6" s="83" t="n"/>
      <c r="EG6" s="83" t="n"/>
      <c r="EH6" s="83" t="n"/>
      <c r="EI6" s="91" t="n"/>
      <c r="FE6" s="93" t="inlineStr">
        <is>
          <t>Stage V Shake Table # 1</t>
        </is>
      </c>
      <c r="FF6" s="83" t="n"/>
      <c r="FG6" s="83" t="n"/>
      <c r="FH6" s="83" t="n"/>
      <c r="FI6" s="83" t="n"/>
      <c r="FJ6" s="83" t="n"/>
      <c r="FK6" s="83" t="n"/>
      <c r="FL6" s="83" t="n"/>
      <c r="FM6" s="83" t="n"/>
      <c r="FN6" s="83" t="n"/>
      <c r="FO6" s="83" t="n"/>
      <c r="FP6" s="83" t="n"/>
      <c r="FQ6" s="83" t="n"/>
      <c r="FR6" s="83" t="n"/>
      <c r="FS6" s="83" t="n"/>
      <c r="FT6" s="83" t="n"/>
      <c r="FU6" s="83" t="n"/>
      <c r="FV6" s="83" t="n"/>
      <c r="FW6" s="83" t="n"/>
      <c r="FX6" s="83" t="n"/>
      <c r="FY6" s="83" t="n"/>
      <c r="FZ6" s="83" t="n"/>
      <c r="GA6" s="83" t="n"/>
      <c r="GB6" s="83" t="n"/>
      <c r="GC6" s="83" t="n"/>
      <c r="GD6" s="91" t="n"/>
      <c r="NN6" s="94" t="inlineStr">
        <is>
          <t>Machine Update for OMSA # 2</t>
        </is>
      </c>
      <c r="NO6" s="83" t="n"/>
      <c r="NP6" s="83" t="n"/>
      <c r="NQ6" s="83" t="n"/>
      <c r="NR6" s="83" t="n"/>
      <c r="NS6" s="83" t="n"/>
      <c r="NT6" s="83" t="n"/>
      <c r="NU6" s="83" t="n"/>
      <c r="NV6" s="83" t="n"/>
      <c r="NW6" s="83" t="n"/>
      <c r="NX6" s="91" t="n"/>
      <c r="OJ6" s="95" t="inlineStr">
        <is>
          <t>Stage V Shake Table # 2 with OMSA Drive File (Post Machine OMSA)</t>
        </is>
      </c>
      <c r="OK6" s="83" t="n"/>
      <c r="OL6" s="83" t="n"/>
      <c r="OM6" s="83" t="n"/>
      <c r="ON6" s="83" t="n"/>
      <c r="OO6" s="83" t="n"/>
      <c r="OP6" s="83" t="n"/>
      <c r="OQ6" s="83" t="n"/>
      <c r="OR6" s="83" t="n"/>
      <c r="OS6" s="83" t="n"/>
      <c r="OT6" s="83" t="n"/>
      <c r="OU6" s="83" t="n"/>
      <c r="OV6" s="83" t="n"/>
      <c r="OW6" s="83" t="n"/>
      <c r="OX6" s="83" t="n"/>
      <c r="OY6" s="83" t="n"/>
      <c r="OZ6" s="83" t="n"/>
      <c r="PA6" s="83" t="n"/>
      <c r="PB6" s="83" t="n"/>
      <c r="PC6" s="83" t="n"/>
      <c r="PD6" s="83" t="n"/>
      <c r="PE6" s="83" t="n"/>
      <c r="PF6" s="83" t="n"/>
      <c r="PG6" s="83" t="n"/>
      <c r="PH6" s="83" t="n"/>
      <c r="PI6" s="83" t="n"/>
      <c r="PJ6" s="83" t="n"/>
      <c r="PK6" s="83" t="n"/>
      <c r="PL6" s="83" t="n"/>
      <c r="PM6" s="83" t="n"/>
      <c r="PN6" s="83" t="n"/>
      <c r="PO6" s="83" t="n"/>
      <c r="PP6" s="83" t="n"/>
      <c r="PQ6" s="83" t="n"/>
      <c r="PR6" s="83" t="n"/>
      <c r="PS6" s="83" t="n"/>
      <c r="PT6" s="83" t="n"/>
      <c r="PU6" s="83" t="n"/>
      <c r="PV6" s="83" t="n"/>
      <c r="PW6" s="83" t="n"/>
      <c r="PX6" s="83" t="n"/>
      <c r="PY6" s="83" t="n"/>
      <c r="PZ6" s="83" t="n"/>
      <c r="QA6" s="83" t="n"/>
      <c r="QB6" s="83" t="n"/>
      <c r="QC6" s="83" t="n"/>
      <c r="QD6" s="83" t="n"/>
      <c r="QE6" s="83" t="n"/>
      <c r="QF6" s="83" t="n"/>
      <c r="QG6" s="83" t="n"/>
      <c r="QH6" s="83" t="n"/>
      <c r="QI6" s="83" t="n"/>
      <c r="QJ6" s="83" t="n"/>
      <c r="QK6" s="83" t="n"/>
      <c r="QL6" s="83" t="n"/>
      <c r="QM6" s="83" t="n"/>
      <c r="QN6" s="91" t="n"/>
    </row>
    <row r="7">
      <c r="A7" s="84" t="inlineStr">
        <is>
          <t>SGW00208</t>
        </is>
      </c>
      <c r="B7" s="84" t="inlineStr">
        <is>
          <t>966GC T3 TB #3</t>
        </is>
      </c>
      <c r="DY7" s="92" t="inlineStr">
        <is>
          <t xml:space="preserve">Shift Dev </t>
        </is>
      </c>
      <c r="DZ7" s="83" t="n"/>
      <c r="EA7" s="83" t="n"/>
      <c r="EB7" s="83" t="n"/>
      <c r="EC7" s="83" t="n"/>
      <c r="ED7" s="83" t="n"/>
      <c r="EE7" s="83" t="n"/>
      <c r="EF7" s="83" t="n"/>
      <c r="EG7" s="91" t="n"/>
      <c r="EJ7" s="93" t="inlineStr">
        <is>
          <t>HVAC Perf Checkout</t>
        </is>
      </c>
      <c r="EK7" s="83" t="n"/>
      <c r="EL7" s="83" t="n"/>
      <c r="EM7" s="91" t="n"/>
      <c r="FE7" s="94" t="inlineStr">
        <is>
          <t>Water system/ With Prod Rad Fixes</t>
        </is>
      </c>
      <c r="FF7" s="83" t="n"/>
      <c r="FG7" s="83" t="n"/>
      <c r="FH7" s="83" t="n"/>
      <c r="FI7" s="83" t="n"/>
      <c r="FJ7" s="83" t="n"/>
      <c r="FK7" s="83" t="n"/>
      <c r="FL7" s="83" t="n"/>
      <c r="FM7" s="91" t="n"/>
      <c r="FN7" s="95" t="inlineStr">
        <is>
          <t>L5 Tuning</t>
        </is>
      </c>
      <c r="FO7" s="83" t="n"/>
      <c r="FP7" s="83" t="n"/>
      <c r="FQ7" s="83" t="n"/>
      <c r="FR7" s="83" t="n"/>
      <c r="FS7" s="83" t="n"/>
      <c r="FT7" s="83" t="n"/>
      <c r="FU7" s="83" t="n"/>
      <c r="FV7" s="83" t="n"/>
      <c r="FW7" s="91" t="n"/>
      <c r="FZ7" s="96" t="inlineStr">
        <is>
          <t>Operator Eval</t>
        </is>
      </c>
      <c r="GA7" s="83" t="n"/>
      <c r="GB7" s="91" t="n"/>
      <c r="GC7" s="97" t="inlineStr">
        <is>
          <t>Endurance-250 hrs</t>
        </is>
      </c>
      <c r="GD7" s="83" t="n"/>
      <c r="GE7" s="83" t="n"/>
      <c r="GF7" s="83" t="n"/>
      <c r="GG7" s="83" t="n"/>
      <c r="GH7" s="83" t="n"/>
      <c r="GI7" s="83" t="n"/>
      <c r="GJ7" s="83" t="n"/>
      <c r="GK7" s="83" t="n"/>
      <c r="GL7" s="83" t="n"/>
      <c r="GM7" s="83" t="n"/>
      <c r="GN7" s="83" t="n"/>
      <c r="GO7" s="91" t="n"/>
      <c r="GP7" s="99" t="inlineStr">
        <is>
          <t>Final Inspection</t>
        </is>
      </c>
      <c r="GQ7" s="83" t="n"/>
      <c r="GR7" s="83" t="n"/>
      <c r="GS7" s="83" t="n"/>
      <c r="GT7" s="83" t="n"/>
      <c r="GU7" s="83" t="n"/>
      <c r="GV7" s="91" t="n"/>
      <c r="GW7" s="98" t="inlineStr">
        <is>
          <t>Machine Update</t>
        </is>
      </c>
      <c r="GX7" s="83" t="n"/>
      <c r="GY7" s="83" t="n"/>
      <c r="GZ7" s="83" t="n"/>
      <c r="HA7" s="83" t="n"/>
      <c r="HB7" s="83" t="n"/>
      <c r="HC7" s="83" t="n"/>
      <c r="HD7" s="83" t="n"/>
      <c r="HE7" s="83" t="n"/>
      <c r="HF7" s="83" t="n"/>
      <c r="HG7" s="83" t="n"/>
      <c r="HH7" s="83" t="n"/>
      <c r="HI7" s="83" t="n"/>
      <c r="HJ7" s="83" t="n"/>
      <c r="HK7" s="91" t="n"/>
      <c r="HL7" s="100" t="inlineStr">
        <is>
          <t>Light Structures (Stg V Hood) OMSA #1 (Contingency)</t>
        </is>
      </c>
      <c r="HM7" s="83" t="n"/>
      <c r="HN7" s="83" t="n"/>
      <c r="HO7" s="83" t="n"/>
      <c r="HP7" s="83" t="n"/>
      <c r="HQ7" s="83" t="n"/>
      <c r="HR7" s="83" t="n"/>
      <c r="HS7" s="83" t="n"/>
      <c r="HT7" s="83" t="n"/>
      <c r="HU7" s="83" t="n"/>
      <c r="HV7" s="83" t="n"/>
      <c r="HW7" s="83" t="n"/>
      <c r="HX7" s="83" t="n"/>
      <c r="HY7" s="83" t="n"/>
      <c r="HZ7" s="83" t="n"/>
      <c r="IA7" s="83" t="n"/>
      <c r="IB7" s="83" t="n"/>
      <c r="IC7" s="83" t="n"/>
      <c r="ID7" s="83" t="n"/>
      <c r="IE7" s="83" t="n"/>
      <c r="IF7" s="83" t="n"/>
      <c r="IG7" s="83" t="n"/>
      <c r="IH7" s="83" t="n"/>
      <c r="II7" s="83" t="n"/>
      <c r="IJ7" s="83" t="n"/>
      <c r="IK7" s="83" t="n"/>
      <c r="IL7" s="83" t="n"/>
      <c r="IM7" s="83" t="n"/>
      <c r="IN7" s="83" t="n"/>
      <c r="IO7" s="83" t="n"/>
      <c r="IP7" s="83" t="n"/>
      <c r="IQ7" s="83" t="n"/>
      <c r="IR7" s="83" t="n"/>
      <c r="IS7" s="83" t="n"/>
      <c r="IT7" s="83" t="n"/>
      <c r="IU7" s="83" t="n"/>
      <c r="IV7" s="83" t="n"/>
      <c r="IW7" s="83" t="n"/>
      <c r="IX7" s="83" t="n"/>
      <c r="IY7" s="83" t="n"/>
      <c r="IZ7" s="83" t="n"/>
      <c r="JA7" s="83" t="n"/>
      <c r="JB7" s="83" t="n"/>
      <c r="JC7" s="83" t="n"/>
      <c r="JD7" s="83" t="n"/>
      <c r="JE7" s="83" t="n"/>
      <c r="JF7" s="83" t="n"/>
      <c r="JG7" s="83" t="n"/>
      <c r="JH7" s="83" t="n"/>
      <c r="JI7" s="83" t="n"/>
      <c r="JJ7" s="83" t="n"/>
      <c r="JK7" s="83" t="n"/>
      <c r="JL7" s="83" t="n"/>
      <c r="JM7" s="83" t="n"/>
      <c r="JN7" s="83" t="n"/>
      <c r="JO7" s="83" t="n"/>
      <c r="JP7" s="83" t="n"/>
      <c r="JQ7" s="83" t="n"/>
      <c r="JR7" s="83" t="n"/>
      <c r="JS7" s="83" t="n"/>
      <c r="JT7" s="83" t="n"/>
      <c r="JU7" s="83" t="n"/>
      <c r="JV7" s="83" t="n"/>
      <c r="JW7" s="91" t="n"/>
      <c r="MO7" s="101" t="inlineStr">
        <is>
          <t>Machine Update</t>
        </is>
      </c>
      <c r="MP7" s="83" t="n"/>
      <c r="MQ7" s="83" t="n"/>
      <c r="MR7" s="83" t="n"/>
      <c r="MS7" s="83" t="n"/>
      <c r="MT7" s="83" t="n"/>
      <c r="MU7" s="83" t="n"/>
      <c r="MV7" s="83" t="n"/>
      <c r="MW7" s="83" t="n"/>
      <c r="MX7" s="83" t="n"/>
      <c r="MY7" s="83" t="n"/>
      <c r="MZ7" s="83" t="n"/>
      <c r="NA7" s="83" t="n"/>
      <c r="NB7" s="83" t="n"/>
      <c r="NC7" s="91" t="n"/>
      <c r="NG7" s="90" t="inlineStr">
        <is>
          <t xml:space="preserve">Light Structures (Stg V Hood) OMSA #2 (Likely Path) </t>
        </is>
      </c>
      <c r="NH7" s="83" t="n"/>
      <c r="NI7" s="83" t="n"/>
      <c r="NJ7" s="83" t="n"/>
      <c r="NK7" s="83" t="n"/>
      <c r="NL7" s="83" t="n"/>
      <c r="NM7" s="83" t="n"/>
      <c r="NN7" s="83" t="n"/>
      <c r="NO7" s="83" t="n"/>
      <c r="NP7" s="83" t="n"/>
      <c r="NQ7" s="83" t="n"/>
      <c r="NR7" s="83" t="n"/>
      <c r="NS7" s="83" t="n"/>
      <c r="NT7" s="83" t="n"/>
      <c r="NU7" s="83" t="n"/>
      <c r="NV7" s="83" t="n"/>
      <c r="NW7" s="83" t="n"/>
      <c r="NX7" s="83" t="n"/>
      <c r="NY7" s="83" t="n"/>
      <c r="NZ7" s="83" t="n"/>
      <c r="OA7" s="83" t="n"/>
      <c r="OB7" s="83" t="n"/>
      <c r="OC7" s="83" t="n"/>
      <c r="OD7" s="83" t="n"/>
      <c r="OE7" s="83" t="n"/>
      <c r="OF7" s="83" t="n"/>
      <c r="OG7" s="83" t="n"/>
      <c r="OH7" s="83" t="n"/>
      <c r="OI7" s="83" t="n"/>
      <c r="OJ7" s="83" t="n"/>
      <c r="OK7" s="83" t="n"/>
      <c r="OL7" s="83" t="n"/>
      <c r="OM7" s="83" t="n"/>
      <c r="ON7" s="83" t="n"/>
      <c r="OO7" s="83" t="n"/>
      <c r="OP7" s="83" t="n"/>
      <c r="OQ7" s="83" t="n"/>
      <c r="OR7" s="83" t="n"/>
      <c r="OS7" s="83" t="n"/>
      <c r="OT7" s="83" t="n"/>
      <c r="OU7" s="83" t="n"/>
      <c r="OV7" s="83" t="n"/>
      <c r="OW7" s="83" t="n"/>
      <c r="OX7" s="83" t="n"/>
      <c r="OY7" s="83" t="n"/>
      <c r="OZ7" s="83" t="n"/>
      <c r="PA7" s="83" t="n"/>
      <c r="PB7" s="83" t="n"/>
      <c r="PC7" s="83" t="n"/>
      <c r="PD7" s="83" t="n"/>
      <c r="PE7" s="83" t="n"/>
      <c r="PF7" s="83" t="n"/>
      <c r="PG7" s="83" t="n"/>
      <c r="PH7" s="83" t="n"/>
      <c r="PI7" s="83" t="n"/>
      <c r="PJ7" s="83" t="n"/>
      <c r="PK7" s="91" t="n"/>
    </row>
    <row r="8">
      <c r="A8" s="84" t="inlineStr">
        <is>
          <t>SGW00201</t>
        </is>
      </c>
      <c r="B8" s="84" t="inlineStr">
        <is>
          <t>966GC Stage V TB #1</t>
        </is>
      </c>
      <c r="FE8" s="92" t="inlineStr">
        <is>
          <t>Ship Machine Aurora MDC</t>
        </is>
      </c>
      <c r="FF8" s="83" t="n"/>
      <c r="FG8" s="91" t="n"/>
      <c r="FL8" s="93" t="inlineStr">
        <is>
          <t>Machine Build (Teardown and start build Jan 26)</t>
        </is>
      </c>
      <c r="FM8" s="83" t="n"/>
      <c r="FN8" s="83" t="n"/>
      <c r="FO8" s="83" t="n"/>
      <c r="FP8" s="83" t="n"/>
      <c r="FQ8" s="83" t="n"/>
      <c r="FR8" s="83" t="n"/>
      <c r="FS8" s="83" t="n"/>
      <c r="FT8" s="83" t="n"/>
      <c r="FU8" s="83" t="n"/>
      <c r="FV8" s="83" t="n"/>
      <c r="FW8" s="83" t="n"/>
      <c r="FX8" s="83" t="n"/>
      <c r="FY8" s="83" t="n"/>
      <c r="FZ8" s="83" t="n"/>
      <c r="GA8" s="83" t="n"/>
      <c r="GB8" s="83" t="n"/>
      <c r="GC8" s="83" t="n"/>
      <c r="GD8" s="83" t="n"/>
      <c r="GE8" s="83" t="n"/>
      <c r="GF8" s="83" t="n"/>
      <c r="GG8" s="83" t="n"/>
      <c r="GH8" s="83" t="n"/>
      <c r="GI8" s="83" t="n"/>
      <c r="GJ8" s="83" t="n"/>
      <c r="GK8" s="83" t="n"/>
      <c r="GL8" s="83" t="n"/>
      <c r="GM8" s="83" t="n"/>
      <c r="GN8" s="83" t="n"/>
      <c r="GO8" s="83" t="n"/>
      <c r="GP8" s="83" t="n"/>
      <c r="GQ8" s="83" t="n"/>
      <c r="GR8" s="83" t="n"/>
      <c r="GS8" s="83" t="n"/>
      <c r="GT8" s="83" t="n"/>
      <c r="GU8" s="83" t="n"/>
      <c r="GV8" s="83" t="n"/>
      <c r="GW8" s="83" t="n"/>
      <c r="GX8" s="83" t="n"/>
      <c r="GY8" s="83" t="n"/>
      <c r="GZ8" s="83" t="n"/>
      <c r="HA8" s="83" t="n"/>
      <c r="HB8" s="91" t="n"/>
      <c r="HC8" s="94" t="inlineStr">
        <is>
          <t xml:space="preserve">Build Issue resolution </t>
        </is>
      </c>
      <c r="HD8" s="83" t="n"/>
      <c r="HE8" s="83" t="n"/>
      <c r="HF8" s="91" t="n"/>
      <c r="HJ8" s="95" t="inlineStr">
        <is>
          <t>Ship Machine PPG</t>
        </is>
      </c>
      <c r="HK8" s="91" t="n"/>
      <c r="HL8" s="96" t="inlineStr">
        <is>
          <t>Machine Checkout STP-64</t>
        </is>
      </c>
      <c r="HM8" s="83" t="n"/>
      <c r="HN8" s="83" t="n"/>
      <c r="HO8" s="83" t="n"/>
      <c r="HP8" s="83" t="n"/>
      <c r="HQ8" s="83" t="n"/>
      <c r="HR8" s="91" t="n"/>
      <c r="HS8" s="97" t="inlineStr">
        <is>
          <t>Ver 01 SW (STP 230/289) (Steering, L5, XSMN)</t>
        </is>
      </c>
      <c r="HT8" s="83" t="n"/>
      <c r="HU8" s="83" t="n"/>
      <c r="HV8" s="83" t="n"/>
      <c r="HW8" s="83" t="n"/>
      <c r="HX8" s="83" t="n"/>
      <c r="HY8" s="83" t="n"/>
      <c r="HZ8" s="83" t="n"/>
      <c r="IA8" s="83" t="n"/>
      <c r="IB8" s="83" t="n"/>
      <c r="IC8" s="83" t="n"/>
      <c r="ID8" s="83" t="n"/>
      <c r="IE8" s="83" t="n"/>
      <c r="IF8" s="83" t="n"/>
      <c r="IG8" s="83" t="n"/>
      <c r="IH8" s="91" t="n"/>
      <c r="IK8" s="99" t="inlineStr">
        <is>
          <t>Sound Development (Machine, Cab Sound)</t>
        </is>
      </c>
      <c r="IL8" s="83" t="n"/>
      <c r="IM8" s="83" t="n"/>
      <c r="IN8" s="83" t="n"/>
      <c r="IO8" s="91" t="n"/>
      <c r="IR8" s="98" t="inlineStr">
        <is>
          <t>L5 Performance Check (Include Thermal Mgmt Valve)</t>
        </is>
      </c>
      <c r="IS8" s="83" t="n"/>
      <c r="IT8" s="83" t="n"/>
      <c r="IU8" s="83" t="n"/>
      <c r="IV8" s="83" t="n"/>
      <c r="IW8" s="83" t="n"/>
      <c r="IX8" s="83" t="n"/>
      <c r="IY8" s="83" t="n"/>
      <c r="IZ8" s="83" t="n"/>
      <c r="JA8" s="91" t="n"/>
      <c r="JB8" s="100" t="inlineStr">
        <is>
          <t>C9.3B Stage V Engine Performance</t>
        </is>
      </c>
      <c r="JC8" s="91" t="n"/>
      <c r="JF8" s="101" t="inlineStr">
        <is>
          <t>Trans Tuning</t>
        </is>
      </c>
      <c r="JG8" s="83" t="n"/>
      <c r="JH8" s="83" t="n"/>
      <c r="JI8" s="83" t="n"/>
      <c r="JJ8" s="91" t="n"/>
      <c r="JM8" s="90" t="inlineStr">
        <is>
          <t>L5 Tuning # 1</t>
        </is>
      </c>
      <c r="JN8" s="83" t="n"/>
      <c r="JO8" s="83" t="n"/>
      <c r="JP8" s="91" t="n"/>
      <c r="JQ8" s="92" t="inlineStr">
        <is>
          <t xml:space="preserve">Operator Eval </t>
        </is>
      </c>
      <c r="JT8" s="93" t="inlineStr">
        <is>
          <t>Rimpull/Response</t>
        </is>
      </c>
      <c r="JU8" s="83" t="n"/>
      <c r="JV8" s="83" t="n"/>
      <c r="JW8" s="83" t="n"/>
      <c r="JX8" s="83" t="n"/>
      <c r="JY8" s="83" t="n"/>
      <c r="JZ8" s="83" t="n"/>
      <c r="KA8" s="83" t="n"/>
      <c r="KB8" s="83" t="n"/>
      <c r="KC8" s="83" t="n"/>
      <c r="KD8" s="83" t="n"/>
      <c r="KE8" s="83" t="n"/>
      <c r="KF8" s="83" t="n"/>
      <c r="KG8" s="83" t="n"/>
      <c r="KH8" s="83" t="n"/>
      <c r="KI8" s="83" t="n"/>
      <c r="KJ8" s="83" t="n"/>
      <c r="KK8" s="91" t="n"/>
      <c r="KL8" s="94" t="inlineStr">
        <is>
          <t>HVAC Perf Checkout</t>
        </is>
      </c>
      <c r="KM8" s="83" t="n"/>
      <c r="KN8" s="83" t="n"/>
      <c r="KO8" s="83" t="n"/>
      <c r="KP8" s="91" t="n"/>
      <c r="KQ8" s="95" t="inlineStr">
        <is>
          <t>Issue Resolution # 1</t>
        </is>
      </c>
      <c r="KR8" s="83" t="n"/>
      <c r="KS8" s="83" t="n"/>
      <c r="KT8" s="83" t="n"/>
      <c r="KU8" s="83" t="n"/>
      <c r="KV8" s="83" t="n"/>
      <c r="KW8" s="83" t="n"/>
      <c r="KX8" s="83" t="n"/>
      <c r="KY8" s="91" t="n"/>
      <c r="KZ8" s="96" t="inlineStr">
        <is>
          <t>Ver 02 SW (STP 230/289) (Steering, L5, XSMN)</t>
        </is>
      </c>
      <c r="LA8" s="83" t="n"/>
      <c r="LB8" s="83" t="n"/>
      <c r="LC8" s="91" t="n"/>
      <c r="LD8" s="97" t="inlineStr">
        <is>
          <t>Safety/Serviceability audit</t>
        </is>
      </c>
      <c r="LE8" s="91" t="n"/>
      <c r="LG8" s="99" t="inlineStr">
        <is>
          <t xml:space="preserve">Water Flow and Water System </t>
        </is>
      </c>
      <c r="LH8" s="83" t="n"/>
      <c r="LI8" s="83" t="n"/>
      <c r="LJ8" s="83" t="n"/>
      <c r="LK8" s="83" t="n"/>
      <c r="LL8" s="83" t="n"/>
      <c r="LM8" s="83" t="n"/>
      <c r="LN8" s="83" t="n"/>
      <c r="LO8" s="83" t="n"/>
      <c r="LP8" s="83" t="n"/>
      <c r="LQ8" s="83" t="n"/>
      <c r="LR8" s="83" t="n"/>
      <c r="LS8" s="91" t="n"/>
      <c r="LT8" s="98" t="inlineStr">
        <is>
          <t>Stg V Ambient Capability and UHT (Include AOC Channels)</t>
        </is>
      </c>
      <c r="LU8" s="83" t="n"/>
      <c r="LV8" s="83" t="n"/>
      <c r="LW8" s="83" t="n"/>
      <c r="LX8" s="83" t="n"/>
      <c r="LY8" s="83" t="n"/>
      <c r="LZ8" s="83" t="n"/>
      <c r="MA8" s="83" t="n"/>
      <c r="MB8" s="83" t="n"/>
      <c r="MC8" s="83" t="n"/>
      <c r="MD8" s="83" t="n"/>
      <c r="ME8" s="83" t="n"/>
      <c r="MF8" s="83" t="n"/>
      <c r="MG8" s="83" t="n"/>
      <c r="MH8" s="83" t="n"/>
      <c r="MI8" s="83" t="n"/>
      <c r="MJ8" s="83" t="n"/>
      <c r="MK8" s="83" t="n"/>
      <c r="ML8" s="83" t="n"/>
      <c r="MM8" s="83" t="n"/>
      <c r="MN8" s="83" t="n"/>
      <c r="MO8" s="83" t="n"/>
      <c r="MP8" s="83" t="n"/>
      <c r="MQ8" s="83" t="n"/>
      <c r="MR8" s="83" t="n"/>
      <c r="MS8" s="83" t="n"/>
      <c r="MT8" s="83" t="n"/>
      <c r="MU8" s="83" t="n"/>
      <c r="MV8" s="83" t="n"/>
      <c r="MW8" s="83" t="n"/>
      <c r="MX8" s="83" t="n"/>
      <c r="MY8" s="83" t="n"/>
      <c r="MZ8" s="83" t="n"/>
      <c r="NA8" s="83" t="n"/>
      <c r="NB8" s="83" t="n"/>
      <c r="NC8" s="83" t="n"/>
      <c r="ND8" s="83" t="n"/>
      <c r="NE8" s="83" t="n"/>
      <c r="NF8" s="83" t="n"/>
      <c r="NG8" s="83" t="n"/>
      <c r="NH8" s="83" t="n"/>
      <c r="NI8" s="83" t="n"/>
      <c r="NJ8" s="83" t="n"/>
      <c r="NK8" s="83" t="n"/>
      <c r="NL8" s="83" t="n"/>
      <c r="NM8" s="83" t="n"/>
      <c r="NN8" s="83" t="n"/>
      <c r="NO8" s="83" t="n"/>
      <c r="NP8" s="83" t="n"/>
      <c r="NQ8" s="83" t="n"/>
      <c r="NR8" s="83" t="n"/>
      <c r="NS8" s="83" t="n"/>
      <c r="NT8" s="83" t="n"/>
      <c r="NU8" s="83" t="n"/>
      <c r="NV8" s="91" t="n"/>
      <c r="NW8" s="100" t="inlineStr">
        <is>
          <t>Dust Ejector Measurement</t>
        </is>
      </c>
      <c r="NX8" s="83" t="n"/>
      <c r="NY8" s="83" t="n"/>
      <c r="NZ8" s="83" t="n"/>
      <c r="OA8" s="83" t="n"/>
      <c r="OB8" s="91" t="n"/>
      <c r="OC8" s="101" t="inlineStr">
        <is>
          <t>STP 401 Engine Install Audit</t>
        </is>
      </c>
      <c r="OD8" s="91" t="n"/>
      <c r="OE8" s="90" t="inlineStr">
        <is>
          <t>DEF and Fuel Tank Calibration</t>
        </is>
      </c>
      <c r="OF8" s="91" t="n"/>
      <c r="OI8" s="92" t="inlineStr">
        <is>
          <t>Ver 03 SW (STP 230/289) (L5, XSMN, Engine)</t>
        </is>
      </c>
      <c r="OJ8" s="91" t="n"/>
      <c r="OK8" s="93" t="inlineStr">
        <is>
          <t>Limited Slip Differential Development Driveline Signature</t>
        </is>
      </c>
      <c r="OL8" s="83" t="n"/>
      <c r="OM8" s="83" t="n"/>
      <c r="ON8" s="83" t="n"/>
      <c r="OO8" s="83" t="n"/>
      <c r="OP8" s="83" t="n"/>
      <c r="OQ8" s="83" t="n"/>
      <c r="OR8" s="83" t="n"/>
      <c r="OS8" s="83" t="n"/>
      <c r="OT8" s="83" t="n"/>
      <c r="OU8" s="83" t="n"/>
      <c r="OV8" s="83" t="n"/>
      <c r="OW8" s="83" t="n"/>
      <c r="OX8" s="83" t="n"/>
      <c r="OY8" s="83" t="n"/>
      <c r="OZ8" s="83" t="n"/>
      <c r="PA8" s="83" t="n"/>
      <c r="PB8" s="83" t="n"/>
      <c r="PC8" s="83" t="n"/>
      <c r="PD8" s="83" t="n"/>
      <c r="PE8" s="83" t="n"/>
      <c r="PF8" s="83" t="n"/>
      <c r="PG8" s="83" t="n"/>
      <c r="PH8" s="83" t="n"/>
      <c r="PI8" s="83" t="n"/>
      <c r="PJ8" s="83" t="n"/>
      <c r="PK8" s="83" t="n"/>
      <c r="PL8" s="83" t="n"/>
      <c r="PM8" s="83" t="n"/>
      <c r="PN8" s="83" t="n"/>
      <c r="PO8" s="83" t="n"/>
      <c r="PP8" s="83" t="n"/>
      <c r="PQ8" s="83" t="n"/>
      <c r="PR8" s="83" t="n"/>
      <c r="PS8" s="83" t="n"/>
      <c r="PT8" s="83" t="n"/>
      <c r="PU8" s="83" t="n"/>
      <c r="PV8" s="83" t="n"/>
      <c r="PW8" s="83" t="n"/>
      <c r="PX8" s="83" t="n"/>
      <c r="PY8" s="83" t="n"/>
      <c r="PZ8" s="83" t="n"/>
      <c r="QA8" s="83" t="n"/>
      <c r="QB8" s="83" t="n"/>
      <c r="QC8" s="83" t="n"/>
      <c r="QD8" s="83" t="n"/>
      <c r="QE8" s="83" t="n"/>
      <c r="QF8" s="83" t="n"/>
      <c r="QG8" s="83" t="n"/>
      <c r="QH8" s="91" t="n"/>
      <c r="QI8" s="94" t="inlineStr">
        <is>
          <t>Issue Resolution # 2</t>
        </is>
      </c>
      <c r="QJ8" s="83" t="n"/>
      <c r="QK8" s="83" t="n"/>
      <c r="QL8" s="83" t="n"/>
      <c r="QM8" s="83" t="n"/>
      <c r="QN8" s="83" t="n"/>
      <c r="QO8" s="83" t="n"/>
      <c r="QP8" s="83" t="n"/>
      <c r="QQ8" s="91" t="n"/>
      <c r="QT8" s="95" t="inlineStr">
        <is>
          <t>Dealer Service Training</t>
        </is>
      </c>
      <c r="QU8" s="91" t="n"/>
      <c r="QV8" s="96" t="inlineStr">
        <is>
          <t>L5 Tuning and Performance Check # 2</t>
        </is>
      </c>
      <c r="QW8" s="83" t="n"/>
      <c r="QX8" s="83" t="n"/>
      <c r="QY8" s="83" t="n"/>
      <c r="QZ8" s="83" t="n"/>
      <c r="RA8" s="83" t="n"/>
      <c r="RB8" s="83" t="n"/>
      <c r="RC8" s="91" t="n"/>
      <c r="RD8" s="97" t="inlineStr">
        <is>
          <t>Ver 04 SW (STP 230/289) (Steering, L5, XSMN, Engine) BOB</t>
        </is>
      </c>
      <c r="RE8" s="83" t="n"/>
      <c r="RF8" s="83" t="n"/>
      <c r="RG8" s="83" t="n"/>
      <c r="RH8" s="83" t="n"/>
      <c r="RI8" s="83" t="n"/>
      <c r="RJ8" s="83" t="n"/>
      <c r="RK8" s="83" t="n"/>
      <c r="RL8" s="83" t="n"/>
      <c r="RM8" s="83" t="n"/>
      <c r="RN8" s="83" t="n"/>
      <c r="RO8" s="83" t="n"/>
      <c r="RP8" s="83" t="n"/>
      <c r="RQ8" s="83" t="n"/>
      <c r="RR8" s="83" t="n"/>
      <c r="RS8" s="83" t="n"/>
      <c r="RT8" s="83" t="n"/>
      <c r="RU8" s="83" t="n"/>
      <c r="RV8" s="91" t="n"/>
      <c r="RX8" s="99" t="inlineStr">
        <is>
          <t>Thermal Mgmt</t>
        </is>
      </c>
      <c r="RY8" s="91" t="n"/>
      <c r="RZ8" s="98" t="inlineStr">
        <is>
          <t>Ver 05 SW (STP 230/289) (L5, XSMN)</t>
        </is>
      </c>
      <c r="SA8" s="83" t="n"/>
      <c r="SB8" s="83" t="n"/>
      <c r="SC8" s="83" t="n"/>
      <c r="SD8" s="83" t="n"/>
      <c r="SE8" s="83" t="n"/>
      <c r="SF8" s="83" t="n"/>
      <c r="SG8" s="83" t="n"/>
      <c r="SH8" s="83" t="n"/>
      <c r="SI8" s="83" t="n"/>
      <c r="SJ8" s="91" t="n"/>
      <c r="SK8" s="100" t="inlineStr">
        <is>
          <t>Thermal Mgmt endurance</t>
        </is>
      </c>
      <c r="SL8" s="83" t="n"/>
      <c r="SM8" s="83" t="n"/>
      <c r="SN8" s="83" t="n"/>
      <c r="SO8" s="83" t="n"/>
      <c r="SP8" s="83" t="n"/>
      <c r="SQ8" s="83" t="n"/>
      <c r="SR8" s="83" t="n"/>
      <c r="SS8" s="83" t="n"/>
      <c r="ST8" s="83" t="n"/>
      <c r="SU8" s="83" t="n"/>
      <c r="SV8" s="83" t="n"/>
      <c r="SW8" s="83" t="n"/>
      <c r="SX8" s="83" t="n"/>
      <c r="SY8" s="91" t="n"/>
      <c r="SZ8" s="101" t="inlineStr">
        <is>
          <t>Endurance 0-500 hrs+ Service/Inspect (Cold Ambient)</t>
        </is>
      </c>
      <c r="TA8" s="83" t="n"/>
      <c r="TB8" s="83" t="n"/>
      <c r="TC8" s="83" t="n"/>
      <c r="TD8" s="83" t="n"/>
      <c r="TE8" s="83" t="n"/>
      <c r="TF8" s="83" t="n"/>
      <c r="TG8" s="83" t="n"/>
      <c r="TH8" s="83" t="n"/>
      <c r="TI8" s="83" t="n"/>
      <c r="TJ8" s="83" t="n"/>
      <c r="TK8" s="83" t="n"/>
      <c r="TL8" s="83" t="n"/>
      <c r="TM8" s="83" t="n"/>
      <c r="TN8" s="83" t="n"/>
      <c r="TO8" s="83" t="n"/>
      <c r="TP8" s="83" t="n"/>
      <c r="TQ8" s="83" t="n"/>
      <c r="TR8" s="83" t="n"/>
      <c r="TS8" s="83" t="n"/>
      <c r="TT8" s="83" t="n"/>
      <c r="TU8" s="83" t="n"/>
      <c r="TV8" s="83" t="n"/>
      <c r="TW8" s="83" t="n"/>
      <c r="TX8" s="83" t="n"/>
      <c r="TY8" s="83" t="n"/>
      <c r="TZ8" s="83" t="n"/>
      <c r="UA8" s="83" t="n"/>
      <c r="UB8" s="91" t="n"/>
      <c r="UI8" s="90" t="inlineStr">
        <is>
          <t>Issue Resolution # 3</t>
        </is>
      </c>
      <c r="UJ8" s="83" t="n"/>
      <c r="UK8" s="83" t="n"/>
      <c r="UL8" s="83" t="n"/>
      <c r="UM8" s="83" t="n"/>
      <c r="UN8" s="83" t="n"/>
      <c r="UO8" s="83" t="n"/>
      <c r="UP8" s="83" t="n"/>
      <c r="UQ8" s="83" t="n"/>
      <c r="UR8" s="83" t="n"/>
      <c r="US8" s="83" t="n"/>
      <c r="UT8" s="83" t="n"/>
      <c r="UU8" s="83" t="n"/>
      <c r="UV8" s="83" t="n"/>
      <c r="UW8" s="83" t="n"/>
      <c r="UX8" s="83" t="n"/>
      <c r="UY8" s="83" t="n"/>
      <c r="UZ8" s="83" t="n"/>
      <c r="VA8" s="83" t="n"/>
      <c r="VB8" s="91" t="n"/>
      <c r="VJ8" s="92" t="inlineStr">
        <is>
          <t>Stage V Engine Cold Room (TC-L)</t>
        </is>
      </c>
      <c r="VK8" s="83" t="n"/>
      <c r="VL8" s="83" t="n"/>
      <c r="VM8" s="83" t="n"/>
      <c r="VN8" s="83" t="n"/>
      <c r="VO8" s="83" t="n"/>
      <c r="VP8" s="83" t="n"/>
      <c r="VQ8" s="83" t="n"/>
      <c r="VR8" s="83" t="n"/>
      <c r="VS8" s="83" t="n"/>
      <c r="VT8" s="83" t="n"/>
      <c r="VU8" s="83" t="n"/>
      <c r="VV8" s="83" t="n"/>
      <c r="VW8" s="83" t="n"/>
      <c r="VX8" s="83" t="n"/>
      <c r="VY8" s="83" t="n"/>
      <c r="VZ8" s="83" t="n"/>
      <c r="WA8" s="83" t="n"/>
      <c r="WB8" s="83" t="n"/>
      <c r="WC8" s="83" t="n"/>
      <c r="WD8" s="83" t="n"/>
      <c r="WE8" s="83" t="n"/>
      <c r="WF8" s="83" t="n"/>
      <c r="WG8" s="83" t="n"/>
      <c r="WH8" s="83" t="n"/>
      <c r="WI8" s="83" t="n"/>
      <c r="WJ8" s="83" t="n"/>
      <c r="WK8" s="83" t="n"/>
      <c r="WL8" s="83" t="n"/>
      <c r="WM8" s="83" t="n"/>
      <c r="WN8" s="83" t="n"/>
      <c r="WO8" s="83" t="n"/>
      <c r="WP8" s="83" t="n"/>
      <c r="WQ8" s="83" t="n"/>
      <c r="WR8" s="83" t="n"/>
      <c r="WS8" s="83" t="n"/>
      <c r="WT8" s="83" t="n"/>
      <c r="WU8" s="83" t="n"/>
      <c r="WV8" s="83" t="n"/>
      <c r="WW8" s="83" t="n"/>
      <c r="WX8" s="83" t="n"/>
      <c r="WY8" s="83" t="n"/>
      <c r="WZ8" s="91" t="n"/>
    </row>
    <row r="9">
      <c r="A9" s="84" t="inlineStr">
        <is>
          <t>SGW00202</t>
        </is>
      </c>
      <c r="B9" s="84" t="inlineStr">
        <is>
          <t>QPG 966GC CNR4 TB#2</t>
        </is>
      </c>
      <c r="EI9" s="92" t="inlineStr">
        <is>
          <t>Machine Build + Issue Resolution</t>
        </is>
      </c>
      <c r="EJ9" s="83" t="n"/>
      <c r="EK9" s="83" t="n"/>
      <c r="EL9" s="83" t="n"/>
      <c r="EM9" s="83" t="n"/>
      <c r="EN9" s="83" t="n"/>
      <c r="EO9" s="83" t="n"/>
      <c r="EP9" s="83" t="n"/>
      <c r="EQ9" s="83" t="n"/>
      <c r="ER9" s="83" t="n"/>
      <c r="ES9" s="83" t="n"/>
      <c r="ET9" s="83" t="n"/>
      <c r="EU9" s="83" t="n"/>
      <c r="EV9" s="83" t="n"/>
      <c r="EW9" s="83" t="n"/>
      <c r="EX9" s="83" t="n"/>
      <c r="EY9" s="83" t="n"/>
      <c r="EZ9" s="83" t="n"/>
      <c r="FA9" s="83" t="n"/>
      <c r="FB9" s="83" t="n"/>
      <c r="FC9" s="83" t="n"/>
      <c r="FD9" s="83" t="n"/>
      <c r="FE9" s="83" t="n"/>
      <c r="FF9" s="83" t="n"/>
      <c r="FG9" s="83" t="n"/>
      <c r="FH9" s="83" t="n"/>
      <c r="FI9" s="83" t="n"/>
      <c r="FJ9" s="83" t="n"/>
      <c r="FK9" s="91" t="n"/>
      <c r="FW9" s="93" t="inlineStr">
        <is>
          <t>China New Year</t>
        </is>
      </c>
      <c r="FX9" s="83" t="n"/>
      <c r="FY9" s="83" t="n"/>
      <c r="FZ9" s="83" t="n"/>
      <c r="GA9" s="83" t="n"/>
      <c r="GB9" s="83" t="n"/>
      <c r="GC9" s="83" t="n"/>
      <c r="GD9" s="91" t="n"/>
      <c r="GG9" s="94" t="inlineStr">
        <is>
          <t>Machine Checkout STP-64</t>
        </is>
      </c>
      <c r="GH9" s="83" t="n"/>
      <c r="GI9" s="83" t="n"/>
      <c r="GJ9" s="83" t="n"/>
      <c r="GK9" s="83" t="n"/>
      <c r="GL9" s="83" t="n"/>
      <c r="GM9" s="83" t="n"/>
      <c r="GN9" s="83" t="n"/>
      <c r="GO9" s="83" t="n"/>
      <c r="GP9" s="83" t="n"/>
      <c r="GQ9" s="83" t="n"/>
      <c r="GR9" s="83" t="n"/>
      <c r="GS9" s="83" t="n"/>
      <c r="GT9" s="83" t="n"/>
      <c r="GU9" s="83" t="n"/>
      <c r="GV9" s="83" t="n"/>
      <c r="GW9" s="91" t="n"/>
      <c r="GX9" s="95" t="inlineStr">
        <is>
          <t>CNR4 SW Checkout-250 hrs</t>
        </is>
      </c>
      <c r="GY9" s="83" t="n"/>
      <c r="GZ9" s="83" t="n"/>
      <c r="HA9" s="83" t="n"/>
      <c r="HB9" s="83" t="n"/>
      <c r="HC9" s="83" t="n"/>
      <c r="HD9" s="83" t="n"/>
      <c r="HE9" s="83" t="n"/>
      <c r="HF9" s="83" t="n"/>
      <c r="HG9" s="83" t="n"/>
      <c r="HH9" s="83" t="n"/>
      <c r="HI9" s="83" t="n"/>
      <c r="HJ9" s="91" t="n"/>
      <c r="HK9" s="96" t="inlineStr">
        <is>
          <t>Sound Test (including cab glass) ISO 9533, HAWB</t>
        </is>
      </c>
      <c r="HL9" s="83" t="n"/>
      <c r="HM9" s="83" t="n"/>
      <c r="HN9" s="83" t="n"/>
      <c r="HO9" s="83" t="n"/>
      <c r="HP9" s="83" t="n"/>
      <c r="HQ9" s="83" t="n"/>
      <c r="HR9" s="91" t="n"/>
      <c r="HS9" s="97" t="inlineStr">
        <is>
          <t>Engine Installation Audit</t>
        </is>
      </c>
      <c r="HT9" s="83" t="n"/>
      <c r="HU9" s="83" t="n"/>
      <c r="HV9" s="83" t="n"/>
      <c r="HW9" s="83" t="n"/>
      <c r="HX9" s="83" t="n"/>
      <c r="HY9" s="83" t="n"/>
      <c r="HZ9" s="83" t="n"/>
      <c r="IA9" s="83" t="n"/>
      <c r="IB9" s="83" t="n"/>
      <c r="IC9" s="83" t="n"/>
      <c r="ID9" s="83" t="n"/>
      <c r="IE9" s="83" t="n"/>
      <c r="IF9" s="83" t="n"/>
      <c r="IG9" s="83" t="n"/>
      <c r="IH9" s="91" t="n"/>
      <c r="IK9" s="99" t="inlineStr">
        <is>
          <t>Issue Resolution # 1</t>
        </is>
      </c>
      <c r="IL9" s="83" t="n"/>
      <c r="IM9" s="83" t="n"/>
      <c r="IN9" s="83" t="n"/>
      <c r="IO9" s="91" t="n"/>
      <c r="IR9" s="98" t="inlineStr">
        <is>
          <t>Hydraulic checkout</t>
        </is>
      </c>
      <c r="IS9" s="83" t="n"/>
      <c r="IT9" s="83" t="n"/>
      <c r="IU9" s="91" t="n"/>
      <c r="IY9" s="100" t="inlineStr">
        <is>
          <t>L5 Checkout</t>
        </is>
      </c>
      <c r="IZ9" s="83" t="n"/>
      <c r="JA9" s="91" t="n"/>
      <c r="JB9" s="101" t="inlineStr">
        <is>
          <t>CNR4 SW Endurance- 250 hrs</t>
        </is>
      </c>
      <c r="JC9" s="83" t="n"/>
      <c r="JD9" s="83" t="n"/>
      <c r="JE9" s="83" t="n"/>
      <c r="JF9" s="83" t="n"/>
      <c r="JG9" s="83" t="n"/>
      <c r="JH9" s="83" t="n"/>
      <c r="JI9" s="83" t="n"/>
      <c r="JJ9" s="83" t="n"/>
      <c r="JK9" s="83" t="n"/>
      <c r="JL9" s="83" t="n"/>
      <c r="JM9" s="83" t="n"/>
      <c r="JN9" s="83" t="n"/>
      <c r="JO9" s="83" t="n"/>
      <c r="JP9" s="83" t="n"/>
      <c r="JQ9" s="83" t="n"/>
      <c r="JR9" s="83" t="n"/>
      <c r="JS9" s="83" t="n"/>
      <c r="JT9" s="83" t="n"/>
      <c r="JU9" s="83" t="n"/>
      <c r="JV9" s="83" t="n"/>
      <c r="JW9" s="83" t="n"/>
      <c r="JX9" s="83" t="n"/>
      <c r="JY9" s="83" t="n"/>
      <c r="JZ9" s="83" t="n"/>
      <c r="KA9" s="83" t="n"/>
      <c r="KB9" s="83" t="n"/>
      <c r="KC9" s="83" t="n"/>
      <c r="KD9" s="83" t="n"/>
      <c r="KE9" s="83" t="n"/>
      <c r="KF9" s="83" t="n"/>
      <c r="KG9" s="83" t="n"/>
      <c r="KH9" s="83" t="n"/>
      <c r="KI9" s="91" t="n"/>
      <c r="KJ9" s="90" t="inlineStr">
        <is>
          <t>Endurance Inspection</t>
        </is>
      </c>
      <c r="KK9" s="83" t="n"/>
      <c r="KL9" s="83" t="n"/>
      <c r="KM9" s="83" t="n"/>
      <c r="KN9" s="83" t="n"/>
      <c r="KO9" s="83" t="n"/>
      <c r="KP9" s="83" t="n"/>
      <c r="KQ9" s="83" t="n"/>
      <c r="KR9" s="83" t="n"/>
      <c r="KS9" s="83" t="n"/>
      <c r="KT9" s="83" t="n"/>
      <c r="KU9" s="83" t="n"/>
      <c r="KV9" s="83" t="n"/>
      <c r="KW9" s="83" t="n"/>
      <c r="KX9" s="83" t="n"/>
      <c r="KY9" s="91" t="n"/>
      <c r="KZ9" s="92" t="inlineStr">
        <is>
          <t>EMC Feasibility</t>
        </is>
      </c>
      <c r="LA9" s="83" t="n"/>
      <c r="LB9" s="83" t="n"/>
      <c r="LC9" s="83" t="n"/>
      <c r="LD9" s="83" t="n"/>
      <c r="LE9" s="83" t="n"/>
      <c r="LF9" s="83" t="n"/>
      <c r="LG9" s="83" t="n"/>
      <c r="LH9" s="83" t="n"/>
      <c r="LI9" s="83" t="n"/>
      <c r="LJ9" s="83" t="n"/>
      <c r="LK9" s="83" t="n"/>
      <c r="LL9" s="83" t="n"/>
      <c r="LM9" s="83" t="n"/>
      <c r="LN9" s="83" t="n"/>
      <c r="LO9" s="83" t="n"/>
      <c r="LP9" s="83" t="n"/>
      <c r="LQ9" s="83" t="n"/>
      <c r="LR9" s="83" t="n"/>
      <c r="LS9" s="91" t="n"/>
      <c r="LT9" s="93" t="inlineStr">
        <is>
          <t>Stg V Ver 02 SW (STP 230)</t>
        </is>
      </c>
      <c r="LU9" s="83" t="n"/>
      <c r="LV9" s="83" t="n"/>
      <c r="LW9" s="83" t="n"/>
      <c r="LX9" s="83" t="n"/>
      <c r="LY9" s="91" t="n"/>
      <c r="LZ9" s="94" t="inlineStr">
        <is>
          <t>L5 Checkout- Stg V</t>
        </is>
      </c>
      <c r="MA9" s="83" t="n"/>
      <c r="MB9" s="83" t="n"/>
      <c r="MC9" s="91" t="n"/>
      <c r="ME9" s="95" t="inlineStr">
        <is>
          <t>Safety/Serviceability audit</t>
        </is>
      </c>
      <c r="MF9" s="96" t="inlineStr">
        <is>
          <t>ISO 3450 Brake Feasibility (Optional)</t>
        </is>
      </c>
      <c r="MG9" s="83" t="n"/>
      <c r="MH9" s="83" t="n"/>
      <c r="MI9" s="83" t="n"/>
      <c r="MJ9" s="83" t="n"/>
      <c r="MK9" s="83" t="n"/>
      <c r="ML9" s="83" t="n"/>
      <c r="MM9" s="83" t="n"/>
      <c r="MN9" s="83" t="n"/>
      <c r="MO9" s="83" t="n"/>
      <c r="MP9" s="83" t="n"/>
      <c r="MQ9" s="83" t="n"/>
      <c r="MR9" s="83" t="n"/>
      <c r="MS9" s="83" t="n"/>
      <c r="MT9" s="83" t="n"/>
      <c r="MU9" s="83" t="n"/>
      <c r="MV9" s="83" t="n"/>
      <c r="MW9" s="83" t="n"/>
      <c r="MX9" s="83" t="n"/>
      <c r="MY9" s="83" t="n"/>
      <c r="MZ9" s="83" t="n"/>
      <c r="NA9" s="91" t="n"/>
      <c r="NB9" s="97" t="inlineStr">
        <is>
          <t>ISO 5010 Steering Feasibility (Include Secondary Steering)</t>
        </is>
      </c>
      <c r="NC9" s="83" t="n"/>
      <c r="ND9" s="83" t="n"/>
      <c r="NE9" s="83" t="n"/>
      <c r="NF9" s="83" t="n"/>
      <c r="NG9" s="83" t="n"/>
      <c r="NH9" s="83" t="n"/>
      <c r="NI9" s="83" t="n"/>
      <c r="NJ9" s="83" t="n"/>
      <c r="NK9" s="83" t="n"/>
      <c r="NL9" s="83" t="n"/>
      <c r="NM9" s="83" t="n"/>
      <c r="NN9" s="83" t="n"/>
      <c r="NO9" s="83" t="n"/>
      <c r="NP9" s="83" t="n"/>
      <c r="NQ9" s="83" t="n"/>
      <c r="NR9" s="83" t="n"/>
      <c r="NS9" s="83" t="n"/>
      <c r="NT9" s="83" t="n"/>
      <c r="NU9" s="91" t="n"/>
      <c r="NV9" s="99" t="inlineStr">
        <is>
          <t>Stg V Ver 03 SW (STP 230)</t>
        </is>
      </c>
      <c r="NW9" s="91" t="n"/>
      <c r="NX9" s="98" t="inlineStr">
        <is>
          <t>Endurance 250-750 hrs</t>
        </is>
      </c>
      <c r="NY9" s="83" t="n"/>
      <c r="NZ9" s="83" t="n"/>
      <c r="OA9" s="83" t="n"/>
      <c r="OB9" s="83" t="n"/>
      <c r="OC9" s="83" t="n"/>
      <c r="OD9" s="83" t="n"/>
      <c r="OE9" s="83" t="n"/>
      <c r="OF9" s="83" t="n"/>
      <c r="OG9" s="83" t="n"/>
      <c r="OH9" s="83" t="n"/>
      <c r="OI9" s="83" t="n"/>
      <c r="OJ9" s="83" t="n"/>
      <c r="OK9" s="83" t="n"/>
      <c r="OL9" s="83" t="n"/>
      <c r="OM9" s="83" t="n"/>
      <c r="ON9" s="83" t="n"/>
      <c r="OO9" s="83" t="n"/>
      <c r="OP9" s="83" t="n"/>
      <c r="OQ9" s="83" t="n"/>
      <c r="OR9" s="83" t="n"/>
      <c r="OS9" s="83" t="n"/>
      <c r="OT9" s="83" t="n"/>
      <c r="OU9" s="83" t="n"/>
      <c r="OV9" s="83" t="n"/>
      <c r="OW9" s="83" t="n"/>
      <c r="OX9" s="83" t="n"/>
      <c r="OY9" s="83" t="n"/>
      <c r="OZ9" s="83" t="n"/>
      <c r="PA9" s="83" t="n"/>
      <c r="PB9" s="83" t="n"/>
      <c r="PC9" s="83" t="n"/>
      <c r="PD9" s="83" t="n"/>
      <c r="PE9" s="83" t="n"/>
      <c r="PF9" s="83" t="n"/>
      <c r="PG9" s="83" t="n"/>
      <c r="PH9" s="83" t="n"/>
      <c r="PI9" s="83" t="n"/>
      <c r="PJ9" s="83" t="n"/>
      <c r="PK9" s="83" t="n"/>
      <c r="PL9" s="83" t="n"/>
      <c r="PM9" s="83" t="n"/>
      <c r="PN9" s="83" t="n"/>
      <c r="PO9" s="83" t="n"/>
      <c r="PP9" s="83" t="n"/>
      <c r="PQ9" s="83" t="n"/>
      <c r="PR9" s="83" t="n"/>
      <c r="PS9" s="83" t="n"/>
      <c r="PT9" s="83" t="n"/>
      <c r="PU9" s="83" t="n"/>
      <c r="PV9" s="83" t="n"/>
      <c r="PW9" s="83" t="n"/>
      <c r="PX9" s="83" t="n"/>
      <c r="PY9" s="83" t="n"/>
      <c r="PZ9" s="83" t="n"/>
      <c r="QA9" s="83" t="n"/>
      <c r="QB9" s="83" t="n"/>
      <c r="QC9" s="83" t="n"/>
      <c r="QD9" s="83" t="n"/>
      <c r="QE9" s="83" t="n"/>
      <c r="QF9" s="83" t="n"/>
      <c r="QG9" s="83" t="n"/>
      <c r="QH9" s="83" t="n"/>
      <c r="QI9" s="83" t="n"/>
      <c r="QJ9" s="83" t="n"/>
      <c r="QK9" s="83" t="n"/>
      <c r="QL9" s="83" t="n"/>
      <c r="QM9" s="83" t="n"/>
      <c r="QN9" s="83" t="n"/>
      <c r="QO9" s="83" t="n"/>
      <c r="QP9" s="91" t="n"/>
      <c r="QQ9" s="100" t="inlineStr">
        <is>
          <t>Endurance Inspection</t>
        </is>
      </c>
      <c r="QR9" s="83" t="n"/>
      <c r="QS9" s="83" t="n"/>
      <c r="QT9" s="83" t="n"/>
      <c r="QU9" s="83" t="n"/>
      <c r="QV9" s="83" t="n"/>
      <c r="QW9" s="83" t="n"/>
      <c r="QX9" s="83" t="n"/>
      <c r="QY9" s="83" t="n"/>
      <c r="QZ9" s="83" t="n"/>
      <c r="RA9" s="83" t="n"/>
      <c r="RB9" s="83" t="n"/>
      <c r="RC9" s="83" t="n"/>
      <c r="RD9" s="83" t="n"/>
      <c r="RE9" s="91" t="n"/>
      <c r="SI9" s="101" t="inlineStr">
        <is>
          <t>Stage V Ver 04 SW (STP 230)</t>
        </is>
      </c>
      <c r="SJ9" s="83" t="n"/>
      <c r="SK9" s="83" t="n"/>
      <c r="SL9" s="91" t="n"/>
    </row>
    <row r="10">
      <c r="A10" s="84" t="inlineStr">
        <is>
          <t>SN</t>
        </is>
      </c>
      <c r="B10" s="84" t="inlineStr">
        <is>
          <t>PPG 966GC Stage V Pilot #1</t>
        </is>
      </c>
      <c r="UG10" s="92" t="inlineStr">
        <is>
          <t>Machine Build</t>
        </is>
      </c>
      <c r="UH10" s="83" t="n"/>
      <c r="UI10" s="83" t="n"/>
      <c r="UJ10" s="83" t="n"/>
      <c r="UK10" s="83" t="n"/>
      <c r="UL10" s="83" t="n"/>
      <c r="UM10" s="83" t="n"/>
      <c r="UN10" s="83" t="n"/>
      <c r="UO10" s="83" t="n"/>
      <c r="UP10" s="91" t="n"/>
      <c r="UQ10" s="93" t="inlineStr">
        <is>
          <t>China New Year</t>
        </is>
      </c>
      <c r="UR10" s="83" t="n"/>
      <c r="US10" s="83" t="n"/>
      <c r="UT10" s="83" t="n"/>
      <c r="UU10" s="83" t="n"/>
      <c r="UV10" s="83" t="n"/>
      <c r="UW10" s="83" t="n"/>
      <c r="UX10" s="91" t="n"/>
      <c r="UY10" s="94" t="inlineStr">
        <is>
          <t>Machine Build</t>
        </is>
      </c>
      <c r="UZ10" s="83" t="n"/>
      <c r="VA10" s="83" t="n"/>
      <c r="VB10" s="83" t="n"/>
      <c r="VC10" s="83" t="n"/>
      <c r="VD10" s="83" t="n"/>
      <c r="VE10" s="83" t="n"/>
      <c r="VF10" s="83" t="n"/>
      <c r="VG10" s="83" t="n"/>
      <c r="VH10" s="83" t="n"/>
      <c r="VI10" s="83" t="n"/>
      <c r="VJ10" s="83" t="n"/>
      <c r="VK10" s="83" t="n"/>
      <c r="VL10" s="83" t="n"/>
      <c r="VM10" s="83" t="n"/>
      <c r="VN10" s="83" t="n"/>
      <c r="VO10" s="83" t="n"/>
      <c r="VP10" s="83" t="n"/>
      <c r="VQ10" s="83" t="n"/>
      <c r="VR10" s="83" t="n"/>
      <c r="VS10" s="83" t="n"/>
      <c r="VT10" s="91" t="n"/>
      <c r="VW10" s="95" t="inlineStr">
        <is>
          <t>Machine Ship</t>
        </is>
      </c>
      <c r="VX10" s="83" t="n"/>
      <c r="VY10" s="83" t="n"/>
      <c r="VZ10" s="83" t="n"/>
      <c r="WA10" s="83" t="n"/>
      <c r="WB10" s="83" t="n"/>
      <c r="WC10" s="83" t="n"/>
      <c r="WD10" s="83" t="n"/>
      <c r="WE10" s="83" t="n"/>
      <c r="WF10" s="83" t="n"/>
      <c r="WG10" s="83" t="n"/>
      <c r="WH10" s="83" t="n"/>
      <c r="WI10" s="83" t="n"/>
      <c r="WJ10" s="83" t="n"/>
      <c r="WK10" s="83" t="n"/>
      <c r="WL10" s="83" t="n"/>
      <c r="WM10" s="83" t="n"/>
      <c r="WN10" s="83" t="n"/>
      <c r="WO10" s="83" t="n"/>
      <c r="WP10" s="83" t="n"/>
      <c r="WQ10" s="83" t="n"/>
      <c r="WR10" s="83" t="n"/>
      <c r="WS10" s="83" t="n"/>
      <c r="WT10" s="83" t="n"/>
      <c r="WU10" s="83" t="n"/>
      <c r="WV10" s="83" t="n"/>
      <c r="WW10" s="83" t="n"/>
      <c r="WX10" s="83" t="n"/>
      <c r="WY10" s="83" t="n"/>
      <c r="WZ10" s="83" t="n"/>
      <c r="XA10" s="83" t="n"/>
      <c r="XB10" s="83" t="n"/>
      <c r="XC10" s="83" t="n"/>
      <c r="XD10" s="83" t="n"/>
      <c r="XE10" s="83" t="n"/>
      <c r="XF10" s="83" t="n"/>
      <c r="XG10" s="83" t="n"/>
      <c r="XH10" s="83" t="n"/>
      <c r="XI10" s="83" t="n"/>
      <c r="XJ10" s="83" t="n"/>
      <c r="XK10" s="83" t="n"/>
      <c r="XL10" s="83" t="n"/>
      <c r="XM10" s="83" t="n"/>
      <c r="XN10" s="83" t="n"/>
      <c r="XO10" s="83" t="n"/>
      <c r="XP10" s="83" t="n"/>
      <c r="XQ10" s="83" t="n"/>
      <c r="XR10" s="83" t="n"/>
      <c r="XS10" s="83" t="n"/>
      <c r="XT10" s="83" t="n"/>
      <c r="XU10" s="83" t="n"/>
      <c r="XV10" s="83" t="n"/>
      <c r="XW10" s="83" t="n"/>
      <c r="XX10" s="83" t="n"/>
      <c r="XY10" s="83" t="n"/>
      <c r="XZ10" s="83" t="n"/>
      <c r="YA10" s="83" t="n"/>
      <c r="YB10" s="83" t="n"/>
      <c r="YC10" s="83" t="n"/>
      <c r="YD10" s="83" t="n"/>
      <c r="YE10" s="83" t="n"/>
      <c r="YF10" s="83" t="n"/>
      <c r="YG10" s="83" t="n"/>
      <c r="YH10" s="83" t="n"/>
      <c r="YI10" s="83" t="n"/>
      <c r="YJ10" s="83" t="n"/>
      <c r="YK10" s="83" t="n"/>
      <c r="YL10" s="83" t="n"/>
      <c r="YM10" s="83" t="n"/>
      <c r="YN10" s="83" t="n"/>
      <c r="YO10" s="91" t="n"/>
      <c r="YQ10" s="96" t="inlineStr">
        <is>
          <t>Machine Checkout STP-64</t>
        </is>
      </c>
      <c r="YR10" s="83" t="n"/>
      <c r="YS10" s="83" t="n"/>
      <c r="YT10" s="83" t="n"/>
      <c r="YU10" s="83" t="n"/>
      <c r="YV10" s="83" t="n"/>
      <c r="YW10" s="91" t="n"/>
      <c r="YX10" s="97" t="inlineStr">
        <is>
          <t>SW Checkout # Pilot V01</t>
        </is>
      </c>
      <c r="YY10" s="91" t="n"/>
      <c r="YZ10" s="99" t="inlineStr">
        <is>
          <t>C9.3B Stage V Engine Performance</t>
        </is>
      </c>
      <c r="ZA10" s="83" t="n"/>
      <c r="ZB10" s="83" t="n"/>
      <c r="ZC10" s="91" t="n"/>
      <c r="ZD10" s="98" t="inlineStr">
        <is>
          <t>L5 Performance Check</t>
        </is>
      </c>
      <c r="ZE10" s="83" t="n"/>
      <c r="ZF10" s="83" t="n"/>
      <c r="ZG10" s="91" t="n"/>
      <c r="ZJ10" s="100" t="inlineStr">
        <is>
          <t>Machine Endurance- 100 hrs</t>
        </is>
      </c>
      <c r="ZK10" s="83" t="n"/>
      <c r="ZL10" s="83" t="n"/>
      <c r="ZM10" s="83" t="n"/>
      <c r="ZN10" s="91" t="n"/>
      <c r="ZQ10" s="101" t="inlineStr">
        <is>
          <t>Light Structures (Stg V Hood) OMSA # 3</t>
        </is>
      </c>
      <c r="ZR10" s="83" t="n"/>
      <c r="ZS10" s="83" t="n"/>
      <c r="ZT10" s="83" t="n"/>
      <c r="ZU10" s="83" t="n"/>
      <c r="ZV10" s="83" t="n"/>
      <c r="ZW10" s="83" t="n"/>
      <c r="ZX10" s="83" t="n"/>
      <c r="ZY10" s="83" t="n"/>
      <c r="ZZ10" s="83" t="n"/>
      <c r="AAA10" s="83" t="n"/>
      <c r="AAB10" s="83" t="n"/>
      <c r="AAC10" s="83" t="n"/>
      <c r="AAD10" s="83" t="n"/>
      <c r="AAE10" s="83" t="n"/>
      <c r="AAF10" s="83" t="n"/>
      <c r="AAG10" s="83" t="n"/>
      <c r="AAH10" s="83" t="n"/>
      <c r="AAI10" s="83" t="n"/>
      <c r="AAJ10" s="83" t="n"/>
      <c r="AAK10" s="83" t="n"/>
      <c r="AAL10" s="83" t="n"/>
      <c r="AAM10" s="83" t="n"/>
      <c r="AAN10" s="83" t="n"/>
      <c r="AAO10" s="83" t="n"/>
      <c r="AAP10" s="83" t="n"/>
      <c r="AAQ10" s="83" t="n"/>
      <c r="AAR10" s="83" t="n"/>
      <c r="AAS10" s="83" t="n"/>
      <c r="AAT10" s="83" t="n"/>
      <c r="AAU10" s="83" t="n"/>
      <c r="AAV10" s="83" t="n"/>
      <c r="AAW10" s="83" t="n"/>
      <c r="AAX10" s="83" t="n"/>
      <c r="AAY10" s="83" t="n"/>
      <c r="AAZ10" s="83" t="n"/>
      <c r="ABA10" s="83" t="n"/>
      <c r="ABB10" s="83" t="n"/>
      <c r="ABC10" s="83" t="n"/>
      <c r="ABD10" s="83" t="n"/>
      <c r="ABE10" s="83" t="n"/>
      <c r="ABF10" s="83" t="n"/>
      <c r="ABG10" s="83" t="n"/>
      <c r="ABH10" s="83" t="n"/>
      <c r="ABI10" s="91" t="n"/>
      <c r="ABJ10" s="90" t="inlineStr">
        <is>
          <t>Stg V Alarm, FWD Horn, HAWB CERT</t>
        </is>
      </c>
      <c r="ABK10" s="91" t="n"/>
      <c r="ABN10" s="92" t="inlineStr">
        <is>
          <t>Stage V EMC Test</t>
        </is>
      </c>
      <c r="ABO10" s="83" t="n"/>
      <c r="ABP10" s="83" t="n"/>
      <c r="ABQ10" s="83" t="n"/>
      <c r="ABR10" s="83" t="n"/>
      <c r="ABS10" s="83" t="n"/>
      <c r="ABT10" s="91" t="n"/>
      <c r="ABU10" s="93" t="inlineStr">
        <is>
          <t>Endurance 0-250 hrs+ Service/Inspect</t>
        </is>
      </c>
      <c r="ABV10" s="83" t="n"/>
      <c r="ABW10" s="83" t="n"/>
      <c r="ABX10" s="83" t="n"/>
      <c r="ABY10" s="83" t="n"/>
      <c r="ABZ10" s="83" t="n"/>
      <c r="ACA10" s="83" t="n"/>
      <c r="ACB10" s="83" t="n"/>
      <c r="ACC10" s="83" t="n"/>
      <c r="ACD10" s="83" t="n"/>
      <c r="ACE10" s="83" t="n"/>
      <c r="ACF10" s="83" t="n"/>
      <c r="ACG10" s="83" t="n"/>
      <c r="ACH10" s="83" t="n"/>
      <c r="ACI10" s="91" t="n"/>
      <c r="ACJ10" s="94" t="inlineStr">
        <is>
          <t>Endurance 251-500 hrs+ Service/Inspect</t>
        </is>
      </c>
      <c r="ACK10" s="83" t="n"/>
      <c r="ACL10" s="83" t="n"/>
      <c r="ACM10" s="83" t="n"/>
      <c r="ACN10" s="83" t="n"/>
      <c r="ACO10" s="83" t="n"/>
      <c r="ACP10" s="83" t="n"/>
      <c r="ACQ10" s="83" t="n"/>
      <c r="ACR10" s="83" t="n"/>
      <c r="ACS10" s="83" t="n"/>
      <c r="ACT10" s="83" t="n"/>
      <c r="ACU10" s="83" t="n"/>
      <c r="ACV10" s="83" t="n"/>
      <c r="ACW10" s="83" t="n"/>
      <c r="ACX10" s="91" t="n"/>
      <c r="ACY10" s="95" t="inlineStr">
        <is>
          <t>Productivity</t>
        </is>
      </c>
      <c r="ACZ10" s="83" t="n"/>
      <c r="ADA10" s="83" t="n"/>
      <c r="ADB10" s="83" t="n"/>
      <c r="ADC10" s="83" t="n"/>
      <c r="ADD10" s="83" t="n"/>
      <c r="ADE10" s="83" t="n"/>
      <c r="ADF10" s="83" t="n"/>
      <c r="ADG10" s="83" t="n"/>
      <c r="ADH10" s="83" t="n"/>
      <c r="ADI10" s="83" t="n"/>
      <c r="ADJ10" s="83" t="n"/>
      <c r="ADK10" s="83" t="n"/>
      <c r="ADL10" s="83" t="n"/>
      <c r="ADM10" s="91" t="n"/>
    </row>
    <row r="11">
      <c r="A11" s="84" t="inlineStr">
        <is>
          <t>SN</t>
        </is>
      </c>
      <c r="B11" s="84" t="inlineStr">
        <is>
          <t>QPG 966GC CNR4/ Stg V Pilot #2</t>
        </is>
      </c>
      <c r="UG11" s="92" t="inlineStr">
        <is>
          <t>Machine Build</t>
        </is>
      </c>
      <c r="UH11" s="83" t="n"/>
      <c r="UI11" s="83" t="n"/>
      <c r="UJ11" s="83" t="n"/>
      <c r="UK11" s="83" t="n"/>
      <c r="UL11" s="83" t="n"/>
      <c r="UM11" s="83" t="n"/>
      <c r="UN11" s="83" t="n"/>
      <c r="UO11" s="83" t="n"/>
      <c r="UP11" s="91" t="n"/>
      <c r="UQ11" s="93" t="inlineStr">
        <is>
          <t>China New Year</t>
        </is>
      </c>
      <c r="UR11" s="83" t="n"/>
      <c r="US11" s="83" t="n"/>
      <c r="UT11" s="83" t="n"/>
      <c r="UU11" s="83" t="n"/>
      <c r="UV11" s="83" t="n"/>
      <c r="UW11" s="83" t="n"/>
      <c r="UX11" s="91" t="n"/>
      <c r="VB11" s="94" t="inlineStr">
        <is>
          <t>Machine Checkout STP-64</t>
        </is>
      </c>
      <c r="VC11" s="83" t="n"/>
      <c r="VD11" s="83" t="n"/>
      <c r="VE11" s="83" t="n"/>
      <c r="VF11" s="83" t="n"/>
      <c r="VG11" s="83" t="n"/>
      <c r="VH11" s="83" t="n"/>
      <c r="VI11" s="83" t="n"/>
      <c r="VJ11" s="83" t="n"/>
      <c r="VK11" s="83" t="n"/>
      <c r="VL11" s="83" t="n"/>
      <c r="VM11" s="83" t="n"/>
      <c r="VN11" s="83" t="n"/>
      <c r="VO11" s="83" t="n"/>
      <c r="VP11" s="83" t="n"/>
      <c r="VQ11" s="83" t="n"/>
      <c r="VR11" s="91" t="n"/>
      <c r="VS11" s="95" t="inlineStr">
        <is>
          <t>Safety/Serviceability audit</t>
        </is>
      </c>
      <c r="VT11" s="96" t="inlineStr">
        <is>
          <t>SW Checkout # 1</t>
        </is>
      </c>
      <c r="VU11" s="83" t="n"/>
      <c r="VV11" s="83" t="n"/>
      <c r="VW11" s="83" t="n"/>
      <c r="VX11" s="83" t="n"/>
      <c r="VY11" s="83" t="n"/>
      <c r="VZ11" s="83" t="n"/>
      <c r="WA11" s="83" t="n"/>
      <c r="WB11" s="83" t="n"/>
      <c r="WC11" s="83" t="n"/>
      <c r="WD11" s="83" t="n"/>
      <c r="WE11" s="91" t="n"/>
      <c r="WF11" s="97" t="inlineStr">
        <is>
          <t>MLIT Practice</t>
        </is>
      </c>
      <c r="WG11" s="83" t="n"/>
      <c r="WH11" s="83" t="n"/>
      <c r="WI11" s="83" t="n"/>
      <c r="WJ11" s="83" t="n"/>
      <c r="WK11" s="83" t="n"/>
      <c r="WL11" s="83" t="n"/>
      <c r="WM11" s="83" t="n"/>
      <c r="WN11" s="83" t="n"/>
      <c r="WO11" s="83" t="n"/>
      <c r="WP11" s="83" t="n"/>
      <c r="WQ11" s="83" t="n"/>
      <c r="WR11" s="83" t="n"/>
      <c r="WS11" s="83" t="n"/>
      <c r="WT11" s="83" t="n"/>
      <c r="WU11" s="83" t="n"/>
      <c r="WV11" s="83" t="n"/>
      <c r="WW11" s="83" t="n"/>
      <c r="WX11" s="83" t="n"/>
      <c r="WY11" s="83" t="n"/>
      <c r="WZ11" s="83" t="n"/>
      <c r="XA11" s="83" t="n"/>
      <c r="XB11" s="83" t="n"/>
      <c r="XC11" s="83" t="n"/>
      <c r="XD11" s="83" t="n"/>
      <c r="XE11" s="83" t="n"/>
      <c r="XF11" s="83" t="n"/>
      <c r="XG11" s="83" t="n"/>
      <c r="XH11" s="83" t="n"/>
      <c r="XI11" s="83" t="n"/>
      <c r="XJ11" s="83" t="n"/>
      <c r="XK11" s="83" t="n"/>
      <c r="XL11" s="83" t="n"/>
      <c r="XM11" s="83" t="n"/>
      <c r="XN11" s="83" t="n"/>
      <c r="XO11" s="91" t="n"/>
      <c r="XP11" s="99" t="inlineStr">
        <is>
          <t>MLIT Witness (Is witness test 12 weeks after MLIT practice?)</t>
        </is>
      </c>
      <c r="XQ11" s="83" t="n"/>
      <c r="XR11" s="83" t="n"/>
      <c r="XS11" s="83" t="n"/>
      <c r="XT11" s="83" t="n"/>
      <c r="XU11" s="83" t="n"/>
      <c r="XV11" s="83" t="n"/>
      <c r="XW11" s="83" t="n"/>
      <c r="XX11" s="83" t="n"/>
      <c r="XY11" s="83" t="n"/>
      <c r="XZ11" s="83" t="n"/>
      <c r="YA11" s="83" t="n"/>
      <c r="YB11" s="83" t="n"/>
      <c r="YC11" s="91" t="n"/>
      <c r="YD11" s="98" t="inlineStr">
        <is>
          <t>Sound Test</t>
        </is>
      </c>
      <c r="YE11" s="83" t="n"/>
      <c r="YF11" s="83" t="n"/>
      <c r="YG11" s="83" t="n"/>
      <c r="YH11" s="83" t="n"/>
      <c r="YI11" s="91" t="n"/>
      <c r="YJ11" s="100" t="inlineStr">
        <is>
          <t>ISO 3450- Brake CERT</t>
        </is>
      </c>
      <c r="YK11" s="83" t="n"/>
      <c r="YL11" s="83" t="n"/>
      <c r="YM11" s="83" t="n"/>
      <c r="YN11" s="83" t="n"/>
      <c r="YO11" s="83" t="n"/>
      <c r="YP11" s="83" t="n"/>
      <c r="YQ11" s="83" t="n"/>
      <c r="YR11" s="83" t="n"/>
      <c r="YS11" s="83" t="n"/>
      <c r="YT11" s="83" t="n"/>
      <c r="YU11" s="83" t="n"/>
      <c r="YV11" s="83" t="n"/>
      <c r="YW11" s="83" t="n"/>
      <c r="YX11" s="83" t="n"/>
      <c r="YY11" s="83" t="n"/>
      <c r="YZ11" s="83" t="n"/>
      <c r="ZA11" s="83" t="n"/>
      <c r="ZB11" s="83" t="n"/>
      <c r="ZC11" s="83" t="n"/>
      <c r="ZD11" s="83" t="n"/>
      <c r="ZE11" s="91" t="n"/>
      <c r="ZF11" s="101" t="inlineStr">
        <is>
          <t>ISO 5010- Steering CERT</t>
        </is>
      </c>
      <c r="ZG11" s="83" t="n"/>
      <c r="ZH11" s="83" t="n"/>
      <c r="ZI11" s="83" t="n"/>
      <c r="ZJ11" s="83" t="n"/>
      <c r="ZK11" s="83" t="n"/>
      <c r="ZL11" s="83" t="n"/>
      <c r="ZM11" s="83" t="n"/>
      <c r="ZN11" s="83" t="n"/>
      <c r="ZO11" s="83" t="n"/>
      <c r="ZP11" s="83" t="n"/>
      <c r="ZQ11" s="83" t="n"/>
      <c r="ZR11" s="83" t="n"/>
      <c r="ZS11" s="83" t="n"/>
      <c r="ZT11" s="83" t="n"/>
      <c r="ZU11" s="83" t="n"/>
      <c r="ZV11" s="83" t="n"/>
      <c r="ZW11" s="83" t="n"/>
      <c r="ZX11" s="83" t="n"/>
      <c r="ZY11" s="91" t="n"/>
      <c r="ZZ11" s="90" t="inlineStr">
        <is>
          <t>ISO 10570-Articulation Lock CERT</t>
        </is>
      </c>
      <c r="AAA11" s="83" t="n"/>
      <c r="AAB11" s="83" t="n"/>
      <c r="AAC11" s="83" t="n"/>
      <c r="AAD11" s="83" t="n"/>
      <c r="AAE11" s="83" t="n"/>
      <c r="AAF11" s="83" t="n"/>
      <c r="AAG11" s="83" t="n"/>
      <c r="AAH11" s="91" t="n"/>
      <c r="AAI11" s="92" t="inlineStr">
        <is>
          <t>Endurance 0-250 hrs</t>
        </is>
      </c>
      <c r="AAJ11" s="83" t="n"/>
      <c r="AAK11" s="83" t="n"/>
      <c r="AAL11" s="83" t="n"/>
      <c r="AAM11" s="83" t="n"/>
      <c r="AAN11" s="83" t="n"/>
      <c r="AAO11" s="83" t="n"/>
      <c r="AAP11" s="83" t="n"/>
      <c r="AAQ11" s="83" t="n"/>
      <c r="AAR11" s="83" t="n"/>
      <c r="AAS11" s="83" t="n"/>
      <c r="AAT11" s="83" t="n"/>
      <c r="AAU11" s="83" t="n"/>
      <c r="AAV11" s="83" t="n"/>
      <c r="AAW11" s="83" t="n"/>
      <c r="AAX11" s="83" t="n"/>
      <c r="AAY11" s="83" t="n"/>
      <c r="AAZ11" s="83" t="n"/>
      <c r="ABA11" s="83" t="n"/>
      <c r="ABB11" s="83" t="n"/>
      <c r="ABC11" s="83" t="n"/>
      <c r="ABD11" s="83" t="n"/>
      <c r="ABE11" s="83" t="n"/>
      <c r="ABF11" s="83" t="n"/>
      <c r="ABG11" s="83" t="n"/>
      <c r="ABH11" s="83" t="n"/>
      <c r="ABI11" s="83" t="n"/>
      <c r="ABJ11" s="83" t="n"/>
      <c r="ABK11" s="83" t="n"/>
      <c r="ABL11" s="83" t="n"/>
      <c r="ABM11" s="83" t="n"/>
      <c r="ABN11" s="83" t="n"/>
      <c r="ABO11" s="91" t="n"/>
      <c r="ABP11" s="93" t="inlineStr">
        <is>
          <t>Service/Inspect</t>
        </is>
      </c>
      <c r="ABQ11" s="83" t="n"/>
      <c r="ABR11" s="83" t="n"/>
      <c r="ABS11" s="83" t="n"/>
      <c r="ABT11" s="83" t="n"/>
      <c r="ABU11" s="83" t="n"/>
      <c r="ABV11" s="83" t="n"/>
      <c r="ABW11" s="83" t="n"/>
      <c r="ABX11" s="83" t="n"/>
      <c r="ABY11" s="83" t="n"/>
      <c r="ABZ11" s="83" t="n"/>
      <c r="ACA11" s="83" t="n"/>
      <c r="ACB11" s="83" t="n"/>
      <c r="ACC11" s="83" t="n"/>
      <c r="ACD11" s="83" t="n"/>
      <c r="ACE11" s="91" t="n"/>
      <c r="ACF11" s="94" t="inlineStr">
        <is>
          <t>Endurance 251-500 hrs</t>
        </is>
      </c>
      <c r="ACG11" s="83" t="n"/>
      <c r="ACH11" s="83" t="n"/>
      <c r="ACI11" s="83" t="n"/>
      <c r="ACJ11" s="83" t="n"/>
      <c r="ACK11" s="83" t="n"/>
      <c r="ACL11" s="83" t="n"/>
      <c r="ACM11" s="83" t="n"/>
      <c r="ACN11" s="83" t="n"/>
      <c r="ACO11" s="83" t="n"/>
      <c r="ACP11" s="83" t="n"/>
      <c r="ACQ11" s="83" t="n"/>
      <c r="ACR11" s="83" t="n"/>
      <c r="ACS11" s="83" t="n"/>
      <c r="ACT11" s="83" t="n"/>
      <c r="ACU11" s="83" t="n"/>
      <c r="ACV11" s="83" t="n"/>
      <c r="ACW11" s="83" t="n"/>
      <c r="ACX11" s="83" t="n"/>
      <c r="ACY11" s="83" t="n"/>
      <c r="ACZ11" s="83" t="n"/>
      <c r="ADA11" s="83" t="n"/>
      <c r="ADB11" s="83" t="n"/>
      <c r="ADC11" s="83" t="n"/>
      <c r="ADD11" s="83" t="n"/>
      <c r="ADE11" s="83" t="n"/>
      <c r="ADF11" s="83" t="n"/>
      <c r="ADG11" s="83" t="n"/>
      <c r="ADH11" s="83" t="n"/>
      <c r="ADI11" s="83" t="n"/>
      <c r="ADJ11" s="83" t="n"/>
      <c r="ADK11" s="83" t="n"/>
      <c r="ADL11" s="91" t="n"/>
      <c r="ADO11" s="95" t="inlineStr">
        <is>
          <t>China National Day</t>
        </is>
      </c>
      <c r="ADP11" s="83" t="n"/>
      <c r="ADQ11" s="83" t="n"/>
      <c r="ADR11" s="83" t="n"/>
      <c r="ADS11" s="83" t="n"/>
      <c r="ADT11" s="83" t="n"/>
      <c r="ADU11" s="83" t="n"/>
      <c r="ADV11" s="83" t="n"/>
      <c r="ADW11" s="91" t="n"/>
      <c r="ADX11" s="96" t="inlineStr">
        <is>
          <t>Service/Inspect</t>
        </is>
      </c>
      <c r="ADY11" s="83" t="n"/>
      <c r="ADZ11" s="83" t="n"/>
      <c r="AEA11" s="83" t="n"/>
      <c r="AEB11" s="83" t="n"/>
      <c r="AEC11" s="83" t="n"/>
      <c r="AED11" s="83" t="n"/>
      <c r="AEE11" s="83" t="n"/>
      <c r="AEF11" s="83" t="n"/>
      <c r="AEG11" s="83" t="n"/>
      <c r="AEH11" s="83" t="n"/>
      <c r="AEI11" s="83" t="n"/>
      <c r="AEJ11" s="83" t="n"/>
      <c r="AEK11" s="83" t="n"/>
      <c r="AEL11" s="83" t="n"/>
      <c r="AEM11" s="91" t="n"/>
      <c r="AEN11" s="97" t="inlineStr">
        <is>
          <t>Endurance 501-750 hrs</t>
        </is>
      </c>
      <c r="AEO11" s="83" t="n"/>
      <c r="AEP11" s="83" t="n"/>
      <c r="AEQ11" s="83" t="n"/>
      <c r="AER11" s="83" t="n"/>
      <c r="AES11" s="83" t="n"/>
      <c r="AET11" s="83" t="n"/>
      <c r="AEU11" s="83" t="n"/>
      <c r="AEV11" s="83" t="n"/>
      <c r="AEW11" s="83" t="n"/>
      <c r="AEX11" s="83" t="n"/>
      <c r="AEY11" s="83" t="n"/>
      <c r="AEZ11" s="83" t="n"/>
      <c r="AFA11" s="83" t="n"/>
      <c r="AFB11" s="83" t="n"/>
      <c r="AFC11" s="83" t="n"/>
      <c r="AFD11" s="83" t="n"/>
      <c r="AFE11" s="83" t="n"/>
      <c r="AFF11" s="83" t="n"/>
      <c r="AFG11" s="83" t="n"/>
      <c r="AFH11" s="83" t="n"/>
      <c r="AFI11" s="83" t="n"/>
      <c r="AFJ11" s="83" t="n"/>
      <c r="AFK11" s="83" t="n"/>
      <c r="AFL11" s="83" t="n"/>
      <c r="AFM11" s="83" t="n"/>
      <c r="AFN11" s="83" t="n"/>
      <c r="AFO11" s="83" t="n"/>
      <c r="AFP11" s="83" t="n"/>
      <c r="AFQ11" s="83" t="n"/>
      <c r="AFR11" s="83" t="n"/>
      <c r="AFS11" s="83" t="n"/>
      <c r="AFT11" s="91" t="n"/>
      <c r="AFU11" s="99" t="inlineStr">
        <is>
          <t>Service/Inspect</t>
        </is>
      </c>
      <c r="AFV11" s="83" t="n"/>
      <c r="AFW11" s="83" t="n"/>
      <c r="AFX11" s="83" t="n"/>
      <c r="AFY11" s="83" t="n"/>
      <c r="AFZ11" s="83" t="n"/>
      <c r="AGA11" s="83" t="n"/>
      <c r="AGB11" s="83" t="n"/>
      <c r="AGC11" s="83" t="n"/>
      <c r="AGD11" s="83" t="n"/>
      <c r="AGE11" s="83" t="n"/>
      <c r="AGF11" s="83" t="n"/>
      <c r="AGG11" s="83" t="n"/>
      <c r="AGH11" s="83" t="n"/>
      <c r="AGI11" s="83" t="n"/>
      <c r="AGJ11" s="91" t="n"/>
      <c r="AGK11" s="98" t="inlineStr">
        <is>
          <t>Endurance 750-1000 hrs</t>
        </is>
      </c>
      <c r="AGL11" s="83" t="n"/>
      <c r="AGM11" s="83" t="n"/>
      <c r="AGN11" s="83" t="n"/>
      <c r="AGO11" s="83" t="n"/>
      <c r="AGP11" s="83" t="n"/>
      <c r="AGQ11" s="83" t="n"/>
      <c r="AGR11" s="83" t="n"/>
      <c r="AGS11" s="83" t="n"/>
      <c r="AGT11" s="83" t="n"/>
      <c r="AGU11" s="83" t="n"/>
      <c r="AGV11" s="83" t="n"/>
      <c r="AGW11" s="83" t="n"/>
      <c r="AGX11" s="83" t="n"/>
      <c r="AGY11" s="83" t="n"/>
      <c r="AGZ11" s="83" t="n"/>
      <c r="AHA11" s="83" t="n"/>
      <c r="AHB11" s="83" t="n"/>
      <c r="AHC11" s="83" t="n"/>
      <c r="AHD11" s="83" t="n"/>
      <c r="AHE11" s="83" t="n"/>
      <c r="AHF11" s="83" t="n"/>
      <c r="AHG11" s="83" t="n"/>
      <c r="AHH11" s="83" t="n"/>
      <c r="AHI11" s="83" t="n"/>
      <c r="AHJ11" s="83" t="n"/>
      <c r="AHK11" s="83" t="n"/>
      <c r="AHL11" s="83" t="n"/>
      <c r="AHM11" s="83" t="n"/>
      <c r="AHN11" s="83" t="n"/>
      <c r="AHO11" s="83" t="n"/>
      <c r="AHP11" s="83" t="n"/>
      <c r="AHQ11" s="91" t="n"/>
      <c r="AHR11" s="100" t="inlineStr">
        <is>
          <t>Service/Inspect</t>
        </is>
      </c>
      <c r="AHS11" s="83" t="n"/>
      <c r="AHT11" s="83" t="n"/>
      <c r="AHU11" s="83" t="n"/>
      <c r="AHV11" s="83" t="n"/>
      <c r="AHW11" s="83" t="n"/>
      <c r="AHX11" s="83" t="n"/>
      <c r="AHY11" s="83" t="n"/>
      <c r="AHZ11" s="83" t="n"/>
      <c r="AIA11" s="83" t="n"/>
      <c r="AIB11" s="83" t="n"/>
      <c r="AIC11" s="83" t="n"/>
      <c r="AID11" s="91" t="n"/>
    </row>
    <row r="12"/>
  </sheetData>
  <mergeCells count="273"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  <mergeCell ref="CB1:CH1"/>
    <mergeCell ref="CI1:CO1"/>
    <mergeCell ref="CP1:CV1"/>
    <mergeCell ref="CW1:DC1"/>
    <mergeCell ref="DD1:DJ1"/>
    <mergeCell ref="DK1:DQ1"/>
    <mergeCell ref="DR1:DX1"/>
    <mergeCell ref="DY1:EE1"/>
    <mergeCell ref="EF1:EL1"/>
    <mergeCell ref="EM1:ES1"/>
    <mergeCell ref="ET1:EZ1"/>
    <mergeCell ref="FA1:FG1"/>
    <mergeCell ref="FH1:FN1"/>
    <mergeCell ref="FO1:FU1"/>
    <mergeCell ref="FV1:GB1"/>
    <mergeCell ref="GC1:GI1"/>
    <mergeCell ref="GJ1:GP1"/>
    <mergeCell ref="GQ1:GW1"/>
    <mergeCell ref="GX1:HD1"/>
    <mergeCell ref="HE1:HK1"/>
    <mergeCell ref="HL1:HR1"/>
    <mergeCell ref="HS1:HY1"/>
    <mergeCell ref="HZ1:IF1"/>
    <mergeCell ref="IG1:IM1"/>
    <mergeCell ref="IN1:IT1"/>
    <mergeCell ref="IU1:JA1"/>
    <mergeCell ref="JB1:JH1"/>
    <mergeCell ref="JI1:JO1"/>
    <mergeCell ref="JP1:JV1"/>
    <mergeCell ref="JW1:KC1"/>
    <mergeCell ref="KD1:KJ1"/>
    <mergeCell ref="KK1:KQ1"/>
    <mergeCell ref="KR1:KX1"/>
    <mergeCell ref="KY1:LE1"/>
    <mergeCell ref="LF1:LL1"/>
    <mergeCell ref="LM1:LS1"/>
    <mergeCell ref="LT1:LZ1"/>
    <mergeCell ref="MA1:MG1"/>
    <mergeCell ref="MH1:MN1"/>
    <mergeCell ref="MO1:MU1"/>
    <mergeCell ref="MV1:NB1"/>
    <mergeCell ref="NC1:NI1"/>
    <mergeCell ref="NJ1:NP1"/>
    <mergeCell ref="NQ1:NW1"/>
    <mergeCell ref="NX1:OD1"/>
    <mergeCell ref="OE1:OK1"/>
    <mergeCell ref="OL1:OR1"/>
    <mergeCell ref="OS1:OY1"/>
    <mergeCell ref="OZ1:PF1"/>
    <mergeCell ref="PG1:PM1"/>
    <mergeCell ref="PN1:PT1"/>
    <mergeCell ref="PU1:QA1"/>
    <mergeCell ref="QB1:QH1"/>
    <mergeCell ref="QI1:QO1"/>
    <mergeCell ref="QP1:QV1"/>
    <mergeCell ref="QW1:RC1"/>
    <mergeCell ref="RD1:RJ1"/>
    <mergeCell ref="RK1:RQ1"/>
    <mergeCell ref="RR1:RX1"/>
    <mergeCell ref="RY1:SE1"/>
    <mergeCell ref="SF1:SL1"/>
    <mergeCell ref="SM1:SS1"/>
    <mergeCell ref="ST1:SZ1"/>
    <mergeCell ref="TA1:TG1"/>
    <mergeCell ref="TH1:TN1"/>
    <mergeCell ref="TO1:TU1"/>
    <mergeCell ref="TV1:UB1"/>
    <mergeCell ref="UC1:UI1"/>
    <mergeCell ref="UJ1:UP1"/>
    <mergeCell ref="UQ1:UW1"/>
    <mergeCell ref="UX1:VD1"/>
    <mergeCell ref="VE1:VK1"/>
    <mergeCell ref="VL1:VR1"/>
    <mergeCell ref="VS1:VY1"/>
    <mergeCell ref="VZ1:WF1"/>
    <mergeCell ref="WG1:WM1"/>
    <mergeCell ref="WN1:WT1"/>
    <mergeCell ref="WU1:XA1"/>
    <mergeCell ref="XB1:XH1"/>
    <mergeCell ref="XI1:XO1"/>
    <mergeCell ref="XP1:XV1"/>
    <mergeCell ref="XW1:YC1"/>
    <mergeCell ref="YD1:YJ1"/>
    <mergeCell ref="YK1:YQ1"/>
    <mergeCell ref="YR1:YX1"/>
    <mergeCell ref="YY1:ZE1"/>
    <mergeCell ref="ZF1:ZL1"/>
    <mergeCell ref="ZM1:ZS1"/>
    <mergeCell ref="ZT1:ZZ1"/>
    <mergeCell ref="AAA1:AAG1"/>
    <mergeCell ref="AAH1:AAN1"/>
    <mergeCell ref="AAO1:AAU1"/>
    <mergeCell ref="AAV1:ABB1"/>
    <mergeCell ref="ABC1:ABI1"/>
    <mergeCell ref="ABJ1:ABP1"/>
    <mergeCell ref="ABQ1:ABW1"/>
    <mergeCell ref="ABX1:ACD1"/>
    <mergeCell ref="ACE1:ACK1"/>
    <mergeCell ref="ACL1:ACR1"/>
    <mergeCell ref="ACS1:ACY1"/>
    <mergeCell ref="ACZ1:ADF1"/>
    <mergeCell ref="ADG1:ADM1"/>
    <mergeCell ref="ADN1:ADT1"/>
    <mergeCell ref="ADU1:AEA1"/>
    <mergeCell ref="AEB1:AEH1"/>
    <mergeCell ref="AEI1:AEO1"/>
    <mergeCell ref="AEP1:AEV1"/>
    <mergeCell ref="AEW1:AFC1"/>
    <mergeCell ref="AFD1:AFJ1"/>
    <mergeCell ref="AFK1:AFQ1"/>
    <mergeCell ref="AFR1:AFX1"/>
    <mergeCell ref="AFY1:AGE1"/>
    <mergeCell ref="AGF1:AGL1"/>
    <mergeCell ref="AGM1:AGS1"/>
    <mergeCell ref="AGT1:AGZ1"/>
    <mergeCell ref="AHA1:AHG1"/>
    <mergeCell ref="AHH1:AHN1"/>
    <mergeCell ref="AHO1:AHU1"/>
    <mergeCell ref="AHV1:AIB1"/>
    <mergeCell ref="AIC1:AII1"/>
    <mergeCell ref="AIJ1:AIP1"/>
    <mergeCell ref="AIQ1:AIW1"/>
    <mergeCell ref="AIX1:AJD1"/>
    <mergeCell ref="AJE1:AJK1"/>
    <mergeCell ref="AJL1:AJR1"/>
    <mergeCell ref="AJS1:AJY1"/>
    <mergeCell ref="AJZ1:AKF1"/>
    <mergeCell ref="AKG1:AKM1"/>
    <mergeCell ref="AKN1:AKT1"/>
    <mergeCell ref="AKU1:ALA1"/>
    <mergeCell ref="ALB1:ALH1"/>
    <mergeCell ref="ALI1:ALO1"/>
    <mergeCell ref="ALP1:ALV1"/>
    <mergeCell ref="BL2:BN2"/>
    <mergeCell ref="HJ2:HL2"/>
    <mergeCell ref="IM2:IN2"/>
    <mergeCell ref="MQ2:MR2"/>
    <mergeCell ref="OL2:ON2"/>
    <mergeCell ref="AFX2:AFZ2"/>
    <mergeCell ref="UG2:UI2"/>
    <mergeCell ref="AGG2:AGH2"/>
    <mergeCell ref="ALS2:ALV2"/>
    <mergeCell ref="HJ3:HL3"/>
    <mergeCell ref="DL4:DM4"/>
    <mergeCell ref="EI4:EJ4"/>
    <mergeCell ref="GY4:GZ4"/>
    <mergeCell ref="HH4:HI4"/>
    <mergeCell ref="JJ4:JK4"/>
    <mergeCell ref="KA4:KB4"/>
    <mergeCell ref="LN4:LO4"/>
    <mergeCell ref="LW4:LX4"/>
    <mergeCell ref="MP5:MQ5"/>
    <mergeCell ref="MS5:MT5"/>
    <mergeCell ref="OB5:OC5"/>
    <mergeCell ref="OD5:OE5"/>
    <mergeCell ref="AEB5:AEC5"/>
    <mergeCell ref="XL5:XN5"/>
    <mergeCell ref="YG5:YH5"/>
    <mergeCell ref="ACA5:ACB5"/>
    <mergeCell ref="YP5:YQ5"/>
    <mergeCell ref="DJ6:EI6"/>
    <mergeCell ref="FE6:GD6"/>
    <mergeCell ref="NN6:NX6"/>
    <mergeCell ref="OJ6:QN6"/>
    <mergeCell ref="DY7:EG7"/>
    <mergeCell ref="EJ7:EM7"/>
    <mergeCell ref="FE7:FM7"/>
    <mergeCell ref="FN7:FW7"/>
    <mergeCell ref="FZ7:GB7"/>
    <mergeCell ref="GC7:GO7"/>
    <mergeCell ref="GP7:GV7"/>
    <mergeCell ref="GW7:HK7"/>
    <mergeCell ref="HL7:JW7"/>
    <mergeCell ref="MO7:NC7"/>
    <mergeCell ref="NG7:PK7"/>
    <mergeCell ref="FE8:FG8"/>
    <mergeCell ref="FL8:HB8"/>
    <mergeCell ref="HC8:HF8"/>
    <mergeCell ref="HJ8:HK8"/>
    <mergeCell ref="HL8:HR8"/>
    <mergeCell ref="HS8:IH8"/>
    <mergeCell ref="IK8:IO8"/>
    <mergeCell ref="IR8:JA8"/>
    <mergeCell ref="JB8:JC8"/>
    <mergeCell ref="JF8:JJ8"/>
    <mergeCell ref="JM8:JP8"/>
    <mergeCell ref="JT8:KK8"/>
    <mergeCell ref="KL8:KP8"/>
    <mergeCell ref="KQ8:KY8"/>
    <mergeCell ref="KZ8:LC8"/>
    <mergeCell ref="LD8:LE8"/>
    <mergeCell ref="LG8:LS8"/>
    <mergeCell ref="LT8:NV8"/>
    <mergeCell ref="NW8:OB8"/>
    <mergeCell ref="OC8:OD8"/>
    <mergeCell ref="OE8:OF8"/>
    <mergeCell ref="OI8:OJ8"/>
    <mergeCell ref="OK8:QH8"/>
    <mergeCell ref="QI8:QQ8"/>
    <mergeCell ref="QT8:QU8"/>
    <mergeCell ref="QV8:RC8"/>
    <mergeCell ref="RD8:RV8"/>
    <mergeCell ref="RX8:RY8"/>
    <mergeCell ref="RZ8:SJ8"/>
    <mergeCell ref="SK8:SY8"/>
    <mergeCell ref="SZ8:UB8"/>
    <mergeCell ref="UI8:VB8"/>
    <mergeCell ref="VJ8:WZ8"/>
    <mergeCell ref="EI9:FK9"/>
    <mergeCell ref="FW9:GD9"/>
    <mergeCell ref="GG9:GW9"/>
    <mergeCell ref="GX9:HJ9"/>
    <mergeCell ref="HK9:HR9"/>
    <mergeCell ref="HS9:IH9"/>
    <mergeCell ref="IK9:IO9"/>
    <mergeCell ref="IR9:IU9"/>
    <mergeCell ref="IY9:JA9"/>
    <mergeCell ref="JB9:KI9"/>
    <mergeCell ref="KJ9:KY9"/>
    <mergeCell ref="KZ9:LS9"/>
    <mergeCell ref="LT9:LY9"/>
    <mergeCell ref="LZ9:MC9"/>
    <mergeCell ref="MF9:NA9"/>
    <mergeCell ref="NB9:NU9"/>
    <mergeCell ref="NV9:NW9"/>
    <mergeCell ref="NX9:QP9"/>
    <mergeCell ref="QQ9:RE9"/>
    <mergeCell ref="SI9:SL9"/>
    <mergeCell ref="UG10:UP10"/>
    <mergeCell ref="UQ10:UX10"/>
    <mergeCell ref="UY10:VT10"/>
    <mergeCell ref="VW10:YO10"/>
    <mergeCell ref="YQ10:YW10"/>
    <mergeCell ref="YX10:YY10"/>
    <mergeCell ref="YZ10:ZC10"/>
    <mergeCell ref="ZD10:ZG10"/>
    <mergeCell ref="ZJ10:ZN10"/>
    <mergeCell ref="ZQ10:ABI10"/>
    <mergeCell ref="ABJ10:ABK10"/>
    <mergeCell ref="ABN10:ABT10"/>
    <mergeCell ref="ABU10:ACI10"/>
    <mergeCell ref="ACJ10:ACX10"/>
    <mergeCell ref="ACY10:ADM10"/>
    <mergeCell ref="UG11:UP11"/>
    <mergeCell ref="UQ11:UX11"/>
    <mergeCell ref="VB11:VR11"/>
    <mergeCell ref="VT11:WE11"/>
    <mergeCell ref="WF11:XO11"/>
    <mergeCell ref="XP11:YC11"/>
    <mergeCell ref="YD11:YI11"/>
    <mergeCell ref="YJ11:ZE11"/>
    <mergeCell ref="ZF11:ZY11"/>
    <mergeCell ref="ZZ11:AAH11"/>
    <mergeCell ref="AAI11:ABO11"/>
    <mergeCell ref="ABP11:ACE11"/>
    <mergeCell ref="ACF11:ADL11"/>
    <mergeCell ref="ADO11:ADW11"/>
    <mergeCell ref="ADX11:AEM11"/>
    <mergeCell ref="AEN11:AFT11"/>
    <mergeCell ref="AFU11:AGJ11"/>
    <mergeCell ref="AGK11:AHQ11"/>
    <mergeCell ref="AHR11:AID1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Viresh B Shah</dc:creator>
  <dcterms:created xsi:type="dcterms:W3CDTF">2020-01-07T15:36:17Z</dcterms:created>
  <dcterms:modified xsi:type="dcterms:W3CDTF">2020-02-27T22:23:04Z</dcterms:modified>
  <cp:lastModifiedBy>Microsoft Office User</cp:lastModifiedBy>
</cp:coreProperties>
</file>