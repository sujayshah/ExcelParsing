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 autoFilterDateGrouping="1" firstSheet="0" minimized="0" showHorizontalScroll="1" showSheetTabs="1" showVerticalScroll="1" tabRatio="600" visibility="visible" windowHeight="14660" windowWidth="25600" xWindow="0" yWindow="460"/>
  </bookViews>
  <sheets>
    <sheet name="Sheet1" sheetId="1" state="visible" r:id="rId1"/>
    <sheet name="Calendar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5"/>
      <scheme val="minor"/>
    </font>
    <font>
      <name val="Calibri"/>
      <family val="2"/>
      <b val="1"/>
      <color theme="1"/>
      <sz val="18"/>
      <scheme val="minor"/>
    </font>
    <font>
      <name val="Arial"/>
      <family val="2"/>
      <color theme="1"/>
      <sz val="16"/>
    </font>
    <font>
      <name val="Arial"/>
      <sz val="14"/>
    </font>
  </fonts>
  <fills count="33">
    <fill>
      <patternFill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E77AB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A500"/>
        <bgColor rgb="FFFFA500"/>
      </patternFill>
    </fill>
    <fill>
      <patternFill patternType="solid">
        <fgColor rgb="00FFFF00"/>
        <bgColor rgb="00FFFF00"/>
      </patternFill>
    </fill>
    <fill>
      <patternFill patternType="solid">
        <fgColor rgb="00FB8000"/>
        <bgColor rgb="00FB8000"/>
      </patternFill>
    </fill>
    <fill>
      <patternFill patternType="solid">
        <fgColor rgb="00B0E0E6"/>
        <bgColor rgb="00B0E0E6"/>
      </patternFill>
    </fill>
    <fill>
      <patternFill patternType="solid">
        <fgColor rgb="00D8BFD8"/>
        <bgColor rgb="00D8BFD8"/>
      </patternFill>
    </fill>
    <fill>
      <patternFill patternType="solid">
        <fgColor rgb="00EE82EE"/>
        <bgColor rgb="00EE82EE"/>
      </patternFill>
    </fill>
    <fill>
      <patternFill patternType="solid">
        <fgColor rgb="004CFF00"/>
        <bgColor rgb="004CFF00"/>
      </patternFill>
    </fill>
    <fill>
      <patternFill patternType="solid">
        <fgColor rgb="0040E0D0"/>
        <bgColor rgb="0040E0D0"/>
      </patternFill>
    </fill>
    <fill>
      <patternFill patternType="solid">
        <fgColor rgb="00CD5C5C"/>
        <bgColor rgb="00CD5C5C"/>
      </patternFill>
    </fill>
    <fill>
      <patternFill patternType="solid">
        <fgColor rgb="00F0E68C"/>
        <bgColor rgb="00F0E68C"/>
      </patternFill>
    </fill>
    <fill>
      <patternFill patternType="solid">
        <fgColor rgb="009370DB"/>
        <bgColor rgb="009370DB"/>
      </patternFill>
    </fill>
    <fill>
      <patternFill patternType="solid">
        <fgColor rgb="00BC8F8F"/>
        <bgColor rgb="00BC8F8F"/>
      </patternFill>
    </fill>
    <fill>
      <patternFill patternType="solid">
        <fgColor rgb="003CB371"/>
        <bgColor rgb="003CB371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rgb="00000000"/>
      </left>
      <right style="thick">
        <color rgb="00000000"/>
      </right>
      <top style="thick">
        <color rgb="00000000"/>
      </top>
      <bottom style="thick">
        <color rgb="00000000"/>
      </bottom>
      <diagonal/>
    </border>
    <border>
      <left/>
      <right/>
      <top style="thick">
        <color rgb="00000000"/>
      </top>
      <bottom style="thick">
        <color rgb="00000000"/>
      </bottom>
      <diagonal/>
    </border>
    <border>
      <left/>
      <right style="thick">
        <color rgb="00000000"/>
      </right>
      <top style="thick">
        <color rgb="00000000"/>
      </top>
      <bottom style="thick">
        <color rgb="00000000"/>
      </bottom>
      <diagonal/>
    </border>
  </borders>
  <cellStyleXfs count="1">
    <xf borderId="0" fillId="0" fontId="0" numFmtId="0"/>
  </cellStyleXfs>
  <cellXfs count="96">
    <xf borderId="0" fillId="0" fontId="0" numFmtId="0" pivotButton="0" quotePrefix="0" xfId="0"/>
    <xf borderId="1" fillId="0" fontId="0" numFmtId="0" pivotButton="0" quotePrefix="0" xfId="0"/>
    <xf applyAlignment="1" borderId="2" fillId="0" fontId="1" numFmtId="0" pivotButton="0" quotePrefix="0" xfId="0">
      <alignment horizontal="center"/>
    </xf>
    <xf applyAlignment="1" borderId="3" fillId="0" fontId="1" numFmtId="0" pivotButton="0" quotePrefix="0" xfId="0">
      <alignment horizontal="center"/>
    </xf>
    <xf borderId="4" fillId="2" fontId="0" numFmtId="0" pivotButton="0" quotePrefix="0" xfId="0"/>
    <xf borderId="5" fillId="2" fontId="2" numFmtId="0" pivotButton="0" quotePrefix="0" xfId="0"/>
    <xf applyAlignment="1" borderId="5" fillId="2" fontId="0" numFmtId="15" pivotButton="0" quotePrefix="0" xfId="0">
      <alignment horizontal="center"/>
    </xf>
    <xf applyAlignment="1" borderId="6" fillId="2" fontId="0" numFmtId="15" pivotButton="0" quotePrefix="0" xfId="0">
      <alignment horizontal="center"/>
    </xf>
    <xf applyAlignment="1" borderId="4" fillId="0" fontId="0" numFmtId="0" pivotButton="0" quotePrefix="0" xfId="0">
      <alignment horizontal="center"/>
    </xf>
    <xf applyAlignment="1" borderId="5" fillId="0" fontId="0" numFmtId="0" pivotButton="0" quotePrefix="0" xfId="0">
      <alignment horizontal="left" indent="1"/>
    </xf>
    <xf applyAlignment="1" borderId="5" fillId="0" fontId="0" numFmtId="15" pivotButton="0" quotePrefix="0" xfId="0">
      <alignment horizontal="center"/>
    </xf>
    <xf applyAlignment="1" borderId="6" fillId="0" fontId="0" numFmtId="15" pivotButton="0" quotePrefix="0" xfId="0">
      <alignment horizontal="center"/>
    </xf>
    <xf borderId="0" fillId="0" fontId="0" numFmtId="15" pivotButton="0" quotePrefix="0" xfId="0"/>
    <xf applyAlignment="1" borderId="4" fillId="3" fontId="0" numFmtId="0" pivotButton="0" quotePrefix="0" xfId="0">
      <alignment horizontal="center"/>
    </xf>
    <xf applyAlignment="1" borderId="5" fillId="3" fontId="2" numFmtId="0" pivotButton="0" quotePrefix="0" xfId="0">
      <alignment horizontal="left"/>
    </xf>
    <xf applyAlignment="1" borderId="5" fillId="3" fontId="0" numFmtId="15" pivotButton="0" quotePrefix="0" xfId="0">
      <alignment horizontal="center"/>
    </xf>
    <xf applyAlignment="1" borderId="6" fillId="3" fontId="0" numFmtId="15" pivotButton="0" quotePrefix="0" xfId="0">
      <alignment horizontal="center"/>
    </xf>
    <xf applyAlignment="1" borderId="5" fillId="4" fontId="0" numFmtId="15" pivotButton="0" quotePrefix="0" xfId="0">
      <alignment horizontal="center"/>
    </xf>
    <xf applyAlignment="1" borderId="6" fillId="4" fontId="0" numFmtId="15" pivotButton="0" quotePrefix="0" xfId="0">
      <alignment horizontal="center"/>
    </xf>
    <xf applyAlignment="1" borderId="5" fillId="5" fontId="0" numFmtId="15" pivotButton="0" quotePrefix="0" xfId="0">
      <alignment horizontal="center"/>
    </xf>
    <xf applyAlignment="1" borderId="6" fillId="5" fontId="0" numFmtId="15" pivotButton="0" quotePrefix="0" xfId="0">
      <alignment horizontal="center"/>
    </xf>
    <xf applyAlignment="1" borderId="4" fillId="6" fontId="0" numFmtId="0" pivotButton="0" quotePrefix="0" xfId="0">
      <alignment horizontal="center" vertical="center"/>
    </xf>
    <xf applyAlignment="1" borderId="5" fillId="6" fontId="2" numFmtId="0" pivotButton="0" quotePrefix="0" xfId="0">
      <alignment horizontal="left" vertical="center"/>
    </xf>
    <xf applyAlignment="1" borderId="5" fillId="6" fontId="0" numFmtId="15" pivotButton="0" quotePrefix="0" xfId="0">
      <alignment horizontal="center" vertical="center"/>
    </xf>
    <xf applyAlignment="1" borderId="6" fillId="6" fontId="0" numFmtId="15" pivotButton="0" quotePrefix="0" xfId="0">
      <alignment horizontal="center" vertical="center"/>
    </xf>
    <xf borderId="7" fillId="0" fontId="0" numFmtId="0" pivotButton="0" quotePrefix="0" xfId="0"/>
    <xf borderId="0" fillId="0" fontId="0" numFmtId="14" pivotButton="0" quotePrefix="0" xfId="0"/>
    <xf applyAlignment="1" borderId="4" fillId="7" fontId="0" numFmtId="0" pivotButton="0" quotePrefix="0" xfId="0">
      <alignment horizontal="center"/>
    </xf>
    <xf applyAlignment="1" borderId="5" fillId="8" fontId="3" numFmtId="0" pivotButton="0" quotePrefix="0" xfId="0">
      <alignment horizontal="left"/>
    </xf>
    <xf applyAlignment="1" borderId="5" fillId="8" fontId="0" numFmtId="15" pivotButton="0" quotePrefix="0" xfId="0">
      <alignment horizontal="center"/>
    </xf>
    <xf applyAlignment="1" borderId="6" fillId="8" fontId="0" numFmtId="15" pivotButton="0" quotePrefix="0" xfId="0">
      <alignment horizontal="center"/>
    </xf>
    <xf borderId="5" fillId="0" fontId="0" numFmtId="0" pivotButton="0" quotePrefix="0" xfId="0"/>
    <xf applyAlignment="1" borderId="5" fillId="0" fontId="0" numFmtId="15" pivotButton="0" quotePrefix="0" xfId="0">
      <alignment horizontal="center" vertical="center"/>
    </xf>
    <xf applyAlignment="1" borderId="6" fillId="0" fontId="0" numFmtId="15" pivotButton="0" quotePrefix="0" xfId="0">
      <alignment horizontal="center" vertical="center"/>
    </xf>
    <xf applyAlignment="1" borderId="4" fillId="0" fontId="0" numFmtId="0" pivotButton="0" quotePrefix="0" xfId="0">
      <alignment horizontal="center" vertical="center"/>
    </xf>
    <xf applyAlignment="1" borderId="5" fillId="0" fontId="0" numFmtId="0" pivotButton="0" quotePrefix="0" xfId="0">
      <alignment wrapText="1"/>
    </xf>
    <xf applyAlignment="1" borderId="5" fillId="2" fontId="3" numFmtId="0" pivotButton="0" quotePrefix="0" xfId="0">
      <alignment horizontal="left"/>
    </xf>
    <xf borderId="4" fillId="7" fontId="0" numFmtId="0" pivotButton="0" quotePrefix="0" xfId="0"/>
    <xf applyAlignment="1" borderId="5" fillId="9" fontId="3" numFmtId="0" pivotButton="0" quotePrefix="0" xfId="0">
      <alignment horizontal="left"/>
    </xf>
    <xf applyAlignment="1" borderId="5" fillId="9" fontId="0" numFmtId="15" pivotButton="0" quotePrefix="0" xfId="0">
      <alignment horizontal="center"/>
    </xf>
    <xf applyAlignment="1" borderId="0" fillId="0" fontId="0" numFmtId="0" pivotButton="0" quotePrefix="0" xfId="0">
      <alignment horizontal="left"/>
    </xf>
    <xf applyAlignment="1" borderId="0" fillId="0" fontId="0" numFmtId="15" pivotButton="0" quotePrefix="0" xfId="0">
      <alignment horizontal="center"/>
    </xf>
    <xf applyAlignment="1" borderId="5" fillId="0" fontId="0" numFmtId="0" pivotButton="0" quotePrefix="0" xfId="0">
      <alignment horizontal="left"/>
    </xf>
    <xf applyAlignment="1" borderId="5" fillId="0" fontId="0" numFmtId="0" pivotButton="0" quotePrefix="0" xfId="0">
      <alignment vertical="center"/>
    </xf>
    <xf applyAlignment="1" borderId="10" fillId="0" fontId="0" numFmtId="15" pivotButton="0" quotePrefix="0" xfId="0">
      <alignment horizontal="center"/>
    </xf>
    <xf applyAlignment="1" borderId="5" fillId="10" fontId="3" numFmtId="0" pivotButton="0" quotePrefix="0" xfId="0">
      <alignment horizontal="left"/>
    </xf>
    <xf applyAlignment="1" borderId="5" fillId="11" fontId="0" numFmtId="15" pivotButton="0" quotePrefix="0" xfId="0">
      <alignment horizontal="center"/>
    </xf>
    <xf applyAlignment="1" borderId="5" fillId="0" fontId="0" numFmtId="0" pivotButton="0" quotePrefix="0" xfId="0">
      <alignment vertical="center" wrapText="1"/>
    </xf>
    <xf borderId="9" fillId="7" fontId="0" numFmtId="0" pivotButton="0" quotePrefix="0" xfId="0"/>
    <xf applyAlignment="1" borderId="5" fillId="12" fontId="3" numFmtId="0" pivotButton="0" quotePrefix="0" xfId="0">
      <alignment horizontal="left"/>
    </xf>
    <xf applyAlignment="1" borderId="5" fillId="12" fontId="0" numFmtId="15" pivotButton="0" quotePrefix="0" xfId="0">
      <alignment horizontal="center"/>
    </xf>
    <xf applyAlignment="1" borderId="5" fillId="13" fontId="0" numFmtId="0" pivotButton="0" quotePrefix="0" xfId="0">
      <alignment vertical="center"/>
    </xf>
    <xf applyAlignment="1" borderId="5" fillId="14" fontId="3" numFmtId="0" pivotButton="0" quotePrefix="0" xfId="0">
      <alignment horizontal="left"/>
    </xf>
    <xf applyAlignment="1" borderId="5" fillId="14" fontId="0" numFmtId="15" pivotButton="0" quotePrefix="0" xfId="0">
      <alignment horizontal="center"/>
    </xf>
    <xf applyAlignment="1" borderId="6" fillId="14" fontId="0" numFmtId="15" pivotButton="0" quotePrefix="0" xfId="0">
      <alignment horizontal="center"/>
    </xf>
    <xf applyAlignment="1" borderId="11" fillId="0" fontId="0" numFmtId="0" pivotButton="0" quotePrefix="0" xfId="0">
      <alignment horizontal="left" vertical="center"/>
    </xf>
    <xf applyAlignment="1" borderId="7" fillId="0" fontId="0" numFmtId="0" pivotButton="0" quotePrefix="0" xfId="0">
      <alignment vertical="center"/>
    </xf>
    <xf applyAlignment="1" borderId="13" fillId="0" fontId="0" numFmtId="15" pivotButton="0" quotePrefix="0" xfId="0">
      <alignment horizontal="center"/>
    </xf>
    <xf applyAlignment="1" borderId="14" fillId="0" fontId="0" numFmtId="15" pivotButton="0" quotePrefix="0" xfId="0">
      <alignment horizontal="center"/>
    </xf>
    <xf applyAlignment="1" borderId="5" fillId="15" fontId="3" numFmtId="0" pivotButton="0" quotePrefix="0" xfId="0">
      <alignment horizontal="left"/>
    </xf>
    <xf applyAlignment="1" borderId="2" fillId="12" fontId="0" numFmtId="15" pivotButton="0" quotePrefix="0" xfId="0">
      <alignment horizontal="center"/>
    </xf>
    <xf applyAlignment="1" borderId="3" fillId="12" fontId="0" numFmtId="15" pivotButton="0" quotePrefix="0" xfId="0">
      <alignment horizontal="center"/>
    </xf>
    <xf applyAlignment="1" borderId="5" fillId="16" fontId="3" numFmtId="0" pivotButton="0" quotePrefix="0" xfId="0">
      <alignment horizontal="left"/>
    </xf>
    <xf applyAlignment="1" borderId="5" fillId="17" fontId="0" numFmtId="15" pivotButton="0" quotePrefix="0" xfId="0">
      <alignment horizontal="center"/>
    </xf>
    <xf applyAlignment="1" borderId="6" fillId="17" fontId="0" numFmtId="15" pivotButton="0" quotePrefix="0" xfId="0">
      <alignment horizontal="center"/>
    </xf>
    <xf borderId="16" fillId="0" fontId="0" numFmtId="0" pivotButton="0" quotePrefix="0" xfId="0"/>
    <xf applyAlignment="1" borderId="5" fillId="18" fontId="3" numFmtId="0" pivotButton="0" quotePrefix="0" xfId="0">
      <alignment horizontal="left"/>
    </xf>
    <xf applyAlignment="1" borderId="5" fillId="18" fontId="0" numFmtId="15" pivotButton="0" quotePrefix="0" xfId="0">
      <alignment horizontal="center"/>
    </xf>
    <xf applyAlignment="1" borderId="0" fillId="0" fontId="0" numFmtId="0" pivotButton="0" quotePrefix="0" xfId="0">
      <alignment horizontal="center"/>
    </xf>
    <xf applyAlignment="1" borderId="8" fillId="0" fontId="0" numFmtId="0" pivotButton="0" quotePrefix="0" xfId="0">
      <alignment horizontal="center"/>
    </xf>
    <xf applyAlignment="1" borderId="5" fillId="0" fontId="0" numFmtId="0" pivotButton="0" quotePrefix="0" xfId="0">
      <alignment horizontal="center"/>
    </xf>
    <xf applyAlignment="1" borderId="5" fillId="0" fontId="0" numFmtId="0" pivotButton="0" quotePrefix="0" xfId="0">
      <alignment horizontal="center" vertical="center"/>
    </xf>
    <xf applyAlignment="1" borderId="7" fillId="0" fontId="0" numFmtId="0" pivotButton="0" quotePrefix="0" xfId="0">
      <alignment horizontal="center" vertical="center"/>
    </xf>
    <xf applyAlignment="1" borderId="9" fillId="0" fontId="0" numFmtId="0" pivotButton="0" quotePrefix="0" xfId="0">
      <alignment horizontal="center" vertical="center"/>
    </xf>
    <xf applyAlignment="1" borderId="9" fillId="0" fontId="0" numFmtId="0" pivotButton="0" quotePrefix="0" xfId="0">
      <alignment horizontal="center"/>
    </xf>
    <xf applyAlignment="1" borderId="10" fillId="0" fontId="0" numFmtId="0" pivotButton="0" quotePrefix="0" xfId="0">
      <alignment horizontal="center" vertical="center"/>
    </xf>
    <xf applyAlignment="1" borderId="8" fillId="0" fontId="0" numFmtId="0" pivotButton="0" quotePrefix="0" xfId="0">
      <alignment horizontal="center" vertical="center"/>
    </xf>
    <xf applyAlignment="1" borderId="12" fillId="0" fontId="0" numFmtId="0" pivotButton="0" quotePrefix="0" xfId="0">
      <alignment horizontal="center" vertical="center"/>
    </xf>
    <xf applyAlignment="1" borderId="15" fillId="0" fontId="0" numFmtId="0" pivotButton="0" quotePrefix="0" xfId="0">
      <alignment horizontal="center"/>
    </xf>
    <xf applyAlignment="1" borderId="5" fillId="7" fontId="0" numFmtId="0" pivotButton="0" quotePrefix="0" xfId="0">
      <alignment horizontal="center"/>
    </xf>
    <xf applyAlignment="1" borderId="17" fillId="19" fontId="4" numFmtId="0" pivotButton="0" quotePrefix="0" xfId="0">
      <alignment horizontal="center" vertical="center"/>
    </xf>
    <xf applyAlignment="1" borderId="17" fillId="20" fontId="4" numFmtId="0" pivotButton="0" quotePrefix="0" xfId="0">
      <alignment horizontal="center" vertical="center"/>
    </xf>
    <xf borderId="18" fillId="0" fontId="0" numFmtId="0" pivotButton="0" quotePrefix="0" xfId="0"/>
    <xf borderId="19" fillId="0" fontId="0" numFmtId="0" pivotButton="0" quotePrefix="0" xfId="0"/>
    <xf applyAlignment="1" borderId="17" fillId="21" fontId="4" numFmtId="0" pivotButton="0" quotePrefix="0" xfId="0">
      <alignment horizontal="center" vertical="center"/>
    </xf>
    <xf applyAlignment="1" borderId="17" fillId="22" fontId="4" numFmtId="0" pivotButton="0" quotePrefix="0" xfId="0">
      <alignment horizontal="center" vertical="center"/>
    </xf>
    <xf applyAlignment="1" borderId="17" fillId="23" fontId="4" numFmtId="0" pivotButton="0" quotePrefix="0" xfId="0">
      <alignment horizontal="center" vertical="center"/>
    </xf>
    <xf applyAlignment="1" borderId="17" fillId="24" fontId="4" numFmtId="0" pivotButton="0" quotePrefix="0" xfId="0">
      <alignment horizontal="center" vertical="center"/>
    </xf>
    <xf applyAlignment="1" borderId="17" fillId="25" fontId="4" numFmtId="0" pivotButton="0" quotePrefix="0" xfId="0">
      <alignment horizontal="center" vertical="center"/>
    </xf>
    <xf applyAlignment="1" borderId="17" fillId="26" fontId="4" numFmtId="0" pivotButton="0" quotePrefix="0" xfId="0">
      <alignment horizontal="center" vertical="center"/>
    </xf>
    <xf applyAlignment="1" borderId="17" fillId="27" fontId="4" numFmtId="0" pivotButton="0" quotePrefix="0" xfId="0">
      <alignment horizontal="center" vertical="center"/>
    </xf>
    <xf applyAlignment="1" borderId="17" fillId="28" fontId="4" numFmtId="0" pivotButton="0" quotePrefix="0" xfId="0">
      <alignment horizontal="center" vertical="center"/>
    </xf>
    <xf applyAlignment="1" borderId="17" fillId="29" fontId="4" numFmtId="0" pivotButton="0" quotePrefix="0" xfId="0">
      <alignment horizontal="center" vertical="center"/>
    </xf>
    <xf applyAlignment="1" borderId="17" fillId="30" fontId="4" numFmtId="0" pivotButton="0" quotePrefix="0" xfId="0">
      <alignment horizontal="center" vertical="center"/>
    </xf>
    <xf applyAlignment="1" borderId="17" fillId="31" fontId="4" numFmtId="0" pivotButton="0" quotePrefix="0" xfId="0">
      <alignment horizontal="center" vertical="center"/>
    </xf>
    <xf applyAlignment="1" borderId="17" fillId="32" fontId="4" numFmtId="0" pivotButton="0" quotePrefix="0" xfId="0">
      <alignment horizontal="center" vertical="center"/>
    </xf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0"/>
  <sheetViews>
    <sheetView tabSelected="1" topLeftCell="A142" workbookViewId="0">
      <selection activeCell="D163" sqref="D163"/>
    </sheetView>
  </sheetViews>
  <sheetFormatPr baseColWidth="10" defaultColWidth="8.83203125" defaultRowHeight="15"/>
  <cols>
    <col customWidth="1" max="1" min="1" width="19"/>
    <col bestFit="1" customWidth="1" max="2" min="2" style="68" width="57.33203125"/>
    <col customWidth="1" max="3" min="3" style="68" width="12.6640625"/>
    <col customWidth="1" max="4" min="4" style="68" width="13.33203125"/>
    <col bestFit="1" customWidth="1" max="6" min="6" width="9.5"/>
    <col bestFit="1" customWidth="1" max="7" min="7" width="10"/>
    <col customWidth="1" max="8" min="8" width="13.1640625"/>
    <col customWidth="1" max="14" min="14" width="12.6640625"/>
    <col customWidth="1" max="15" min="15" width="15.5"/>
  </cols>
  <sheetData>
    <row customHeight="1" ht="20" r="1">
      <c r="A1" s="1" t="n"/>
      <c r="B1" s="2" t="inlineStr">
        <is>
          <t>Activity Name</t>
        </is>
      </c>
      <c r="C1" s="2" t="inlineStr">
        <is>
          <t>Start</t>
        </is>
      </c>
      <c r="D1" s="3" t="inlineStr">
        <is>
          <t>Finish</t>
        </is>
      </c>
    </row>
    <row customHeight="1" ht="22.75" r="2">
      <c r="A2" s="4" t="n"/>
      <c r="B2" s="5" t="inlineStr">
        <is>
          <t xml:space="preserve">  Key Project Milestones</t>
        </is>
      </c>
      <c r="C2" s="6">
        <f>MIN(C3:C16)</f>
        <v/>
      </c>
      <c r="D2" s="7">
        <f>MAX(D3:D16)</f>
        <v/>
      </c>
    </row>
    <row r="3">
      <c r="A3" s="8" t="inlineStr">
        <is>
          <t>QG</t>
        </is>
      </c>
      <c r="B3" s="9" t="inlineStr">
        <is>
          <t>Quality Gate 3</t>
        </is>
      </c>
      <c r="C3" s="10" t="n">
        <v>43893</v>
      </c>
      <c r="D3" s="11">
        <f>C3+2</f>
        <v/>
      </c>
    </row>
    <row r="4">
      <c r="A4" s="8" t="inlineStr">
        <is>
          <t>GW</t>
        </is>
      </c>
      <c r="B4" s="9" t="inlineStr">
        <is>
          <t>GW 3</t>
        </is>
      </c>
      <c r="C4" s="10" t="n">
        <v>43943</v>
      </c>
      <c r="D4" s="11">
        <f>C4+1</f>
        <v/>
      </c>
    </row>
    <row r="5">
      <c r="A5" s="8" t="inlineStr">
        <is>
          <t>DF</t>
        </is>
      </c>
      <c r="B5" s="9" t="inlineStr">
        <is>
          <t>Pilot Design Freeze</t>
        </is>
      </c>
      <c r="C5" s="10" t="n">
        <v>44024</v>
      </c>
      <c r="D5" s="11">
        <f>C5+1</f>
        <v/>
      </c>
      <c r="F5" s="12" t="n"/>
    </row>
    <row r="6">
      <c r="A6" s="8" t="inlineStr">
        <is>
          <t>GW</t>
        </is>
      </c>
      <c r="B6" s="9" t="inlineStr">
        <is>
          <t>Machine Ready for Field  (Regs)</t>
        </is>
      </c>
      <c r="C6" s="10">
        <f>D33</f>
        <v/>
      </c>
      <c r="D6" s="11">
        <f>C6+1</f>
        <v/>
      </c>
      <c r="F6" s="12" t="n"/>
    </row>
    <row r="7">
      <c r="A7" s="8" t="inlineStr">
        <is>
          <t>DF</t>
        </is>
      </c>
      <c r="B7" s="9" t="inlineStr">
        <is>
          <t>Pilot EDS Freeze</t>
        </is>
      </c>
      <c r="C7" s="10" t="n">
        <v>44077</v>
      </c>
      <c r="D7" s="11">
        <f>C7+2</f>
        <v/>
      </c>
    </row>
    <row r="8">
      <c r="A8" s="8" t="inlineStr">
        <is>
          <t>GW</t>
        </is>
      </c>
      <c r="B8" s="9" t="inlineStr">
        <is>
          <t>GW 4</t>
        </is>
      </c>
      <c r="C8" s="10" t="n">
        <v>44092</v>
      </c>
      <c r="D8" s="11">
        <f>C8+1</f>
        <v/>
      </c>
    </row>
    <row r="9">
      <c r="A9" s="8" t="inlineStr">
        <is>
          <t>Iron</t>
        </is>
      </c>
      <c r="B9" s="9" t="inlineStr">
        <is>
          <t>Stg V Hood Iron arrives at PPG</t>
        </is>
      </c>
      <c r="C9" s="10" t="n">
        <v>44102</v>
      </c>
      <c r="D9" s="11">
        <f>C9+2</f>
        <v/>
      </c>
    </row>
    <row r="10">
      <c r="A10" s="8" t="inlineStr">
        <is>
          <t>DL</t>
        </is>
      </c>
      <c r="B10" s="9" t="inlineStr">
        <is>
          <t>Ship DL Axle Arrives China Supplier</t>
        </is>
      </c>
      <c r="C10" s="10" t="n">
        <v>44119</v>
      </c>
      <c r="D10" s="11">
        <f>C10+2</f>
        <v/>
      </c>
      <c r="F10" s="12" t="n"/>
    </row>
    <row r="11">
      <c r="A11" s="8" t="inlineStr">
        <is>
          <t>GW</t>
        </is>
      </c>
      <c r="B11" s="9" t="inlineStr">
        <is>
          <t>GW 5</t>
        </is>
      </c>
      <c r="C11" s="10" t="n">
        <v>44149</v>
      </c>
      <c r="D11" s="11">
        <f>C11+2</f>
        <v/>
      </c>
      <c r="F11" s="12" t="n"/>
    </row>
    <row r="12">
      <c r="A12" s="8" t="inlineStr">
        <is>
          <t>DF</t>
        </is>
      </c>
      <c r="B12" s="9" t="inlineStr">
        <is>
          <t>Production DF</t>
        </is>
      </c>
      <c r="C12" s="10" t="n">
        <v>44470</v>
      </c>
      <c r="D12" s="11">
        <f>C12+2</f>
        <v/>
      </c>
      <c r="F12" s="12" t="n"/>
    </row>
    <row r="13">
      <c r="A13" s="8" t="inlineStr">
        <is>
          <t>DL</t>
        </is>
      </c>
      <c r="B13" s="9" t="inlineStr">
        <is>
          <t>LPT (Axle) Design Freeze</t>
        </is>
      </c>
      <c r="C13" s="10" t="n">
        <v>44484</v>
      </c>
      <c r="D13" s="11">
        <f>C13+2</f>
        <v/>
      </c>
      <c r="F13" s="12" t="n"/>
    </row>
    <row r="14">
      <c r="A14" s="8" t="inlineStr">
        <is>
          <t>GW</t>
        </is>
      </c>
      <c r="B14" s="9" t="inlineStr">
        <is>
          <t>GW 5.5</t>
        </is>
      </c>
      <c r="C14" s="10" t="n">
        <v>44489</v>
      </c>
      <c r="D14" s="11">
        <f>C14+1</f>
        <v/>
      </c>
    </row>
    <row r="15">
      <c r="A15" s="8" t="inlineStr">
        <is>
          <t>DF</t>
        </is>
      </c>
      <c r="B15" s="9" t="inlineStr">
        <is>
          <t>Production EDS Freeze</t>
        </is>
      </c>
      <c r="C15" s="10" t="n">
        <v>44531</v>
      </c>
      <c r="D15" s="11">
        <f>C15+2</f>
        <v/>
      </c>
    </row>
    <row r="16">
      <c r="A16" s="8" t="inlineStr">
        <is>
          <t>GW</t>
        </is>
      </c>
      <c r="B16" s="9" t="inlineStr">
        <is>
          <t>GW 6</t>
        </is>
      </c>
      <c r="C16" s="10" t="n">
        <v>44622</v>
      </c>
      <c r="D16" s="11">
        <f>C16+3</f>
        <v/>
      </c>
      <c r="N16" s="12" t="n"/>
      <c r="O16" s="12" t="n"/>
    </row>
    <row customHeight="1" ht="24" r="17">
      <c r="A17" s="4" t="n"/>
      <c r="B17" s="5" t="inlineStr">
        <is>
          <t xml:space="preserve">  Key Validation reviews</t>
        </is>
      </c>
      <c r="C17" s="6">
        <f>MIN(C18:C20)</f>
        <v/>
      </c>
      <c r="D17" s="7">
        <f>MAX(D18:D20)</f>
        <v/>
      </c>
    </row>
    <row r="18">
      <c r="A18" s="8" t="inlineStr">
        <is>
          <t>VR</t>
        </is>
      </c>
      <c r="B18" s="9" t="inlineStr">
        <is>
          <t>Validation Review 3</t>
        </is>
      </c>
      <c r="C18" s="10">
        <f>C3</f>
        <v/>
      </c>
      <c r="D18" s="11">
        <f>C18+2</f>
        <v/>
      </c>
      <c r="N18" s="12" t="n"/>
    </row>
    <row r="19">
      <c r="A19" s="8" t="inlineStr">
        <is>
          <t>VR</t>
        </is>
      </c>
      <c r="B19" s="9" t="inlineStr">
        <is>
          <t>Validation Review 4</t>
        </is>
      </c>
      <c r="C19" s="10" t="n">
        <v>44044</v>
      </c>
      <c r="D19" s="11">
        <f>C19</f>
        <v/>
      </c>
    </row>
    <row r="20">
      <c r="A20" s="8" t="inlineStr">
        <is>
          <t>VR</t>
        </is>
      </c>
      <c r="B20" s="9" t="inlineStr">
        <is>
          <t>Validation Review 5</t>
        </is>
      </c>
      <c r="C20" s="10" t="n">
        <v>44137</v>
      </c>
      <c r="D20" s="11">
        <f>C20</f>
        <v/>
      </c>
    </row>
    <row customHeight="1" ht="24" r="21">
      <c r="A21" s="13" t="n"/>
      <c r="B21" s="14" t="inlineStr">
        <is>
          <t xml:space="preserve">  Software Milestones</t>
        </is>
      </c>
      <c r="C21" s="15">
        <f>MIN(C22:C29)</f>
        <v/>
      </c>
      <c r="D21" s="16">
        <f>MAX(D22:D29)</f>
        <v/>
      </c>
    </row>
    <row r="22">
      <c r="A22" s="8" t="inlineStr">
        <is>
          <t>SW</t>
        </is>
      </c>
      <c r="B22" s="9" t="inlineStr">
        <is>
          <t>V01 SW Content Freeze</t>
        </is>
      </c>
      <c r="C22" s="17" t="n">
        <v>43850</v>
      </c>
      <c r="D22" s="18">
        <f>C22+1</f>
        <v/>
      </c>
    </row>
    <row r="23">
      <c r="A23" s="8" t="inlineStr">
        <is>
          <t>SW</t>
        </is>
      </c>
      <c r="B23" s="9" t="inlineStr">
        <is>
          <t>Receive V01 SW</t>
        </is>
      </c>
      <c r="C23" s="17" t="n">
        <v>43906</v>
      </c>
      <c r="D23" s="18">
        <f>C23+1</f>
        <v/>
      </c>
    </row>
    <row r="24">
      <c r="A24" s="8" t="inlineStr">
        <is>
          <t>SW</t>
        </is>
      </c>
      <c r="B24" s="9" t="inlineStr">
        <is>
          <t>V02 SW Content Freeze</t>
        </is>
      </c>
      <c r="C24" s="17" t="n">
        <v>44005</v>
      </c>
      <c r="D24" s="18">
        <f>C24+1</f>
        <v/>
      </c>
    </row>
    <row r="25">
      <c r="A25" s="8" t="inlineStr">
        <is>
          <t>SW</t>
        </is>
      </c>
      <c r="B25" s="9" t="inlineStr">
        <is>
          <t>Receive V02 SW</t>
        </is>
      </c>
      <c r="C25" s="17" t="n">
        <v>44053</v>
      </c>
      <c r="D25" s="18">
        <f>C25+1</f>
        <v/>
      </c>
    </row>
    <row r="26">
      <c r="A26" s="8" t="inlineStr">
        <is>
          <t>SW</t>
        </is>
      </c>
      <c r="B26" s="9" t="inlineStr">
        <is>
          <t>V03 SW Content Freeze</t>
        </is>
      </c>
      <c r="C26" s="19" t="n">
        <v>44097</v>
      </c>
      <c r="D26" s="20">
        <f>C26+1</f>
        <v/>
      </c>
    </row>
    <row r="27">
      <c r="A27" s="8" t="inlineStr">
        <is>
          <t>SW</t>
        </is>
      </c>
      <c r="B27" s="9" t="inlineStr">
        <is>
          <t>Receive V03 SW</t>
        </is>
      </c>
      <c r="C27" s="19" t="n">
        <v>44146</v>
      </c>
      <c r="D27" s="20">
        <f>C27+1</f>
        <v/>
      </c>
    </row>
    <row r="28">
      <c r="A28" s="8" t="inlineStr">
        <is>
          <t>SW</t>
        </is>
      </c>
      <c r="B28" s="9" t="inlineStr">
        <is>
          <t>V04 SW Content Freeze</t>
        </is>
      </c>
      <c r="C28" s="19" t="n">
        <v>44180</v>
      </c>
      <c r="D28" s="20">
        <f>C28+1</f>
        <v/>
      </c>
    </row>
    <row r="29">
      <c r="A29" s="8" t="inlineStr">
        <is>
          <t>SW</t>
        </is>
      </c>
      <c r="B29" s="9" t="inlineStr">
        <is>
          <t>Receive V04 SW (Pilot)</t>
        </is>
      </c>
      <c r="C29" s="19" t="n">
        <v>44222</v>
      </c>
      <c r="D29" s="20">
        <f>C29+1</f>
        <v/>
      </c>
    </row>
    <row customHeight="1" ht="24" r="30">
      <c r="A30" s="21" t="n"/>
      <c r="B30" s="22" t="inlineStr">
        <is>
          <t>TIC Report Milestones</t>
        </is>
      </c>
      <c r="C30" s="23">
        <f>MIN(C31:C40)</f>
        <v/>
      </c>
      <c r="D30" s="24">
        <f>MAX(D31:D40)</f>
        <v/>
      </c>
    </row>
    <row r="31">
      <c r="A31" s="8" t="inlineStr">
        <is>
          <t>Pilot</t>
        </is>
      </c>
      <c r="B31" s="25" t="inlineStr">
        <is>
          <t>SYC Report-Pilot</t>
        </is>
      </c>
      <c r="C31" s="10" t="n">
        <v>43920</v>
      </c>
      <c r="D31" s="11">
        <f>C31+1</f>
        <v/>
      </c>
    </row>
    <row r="32">
      <c r="A32" s="8" t="inlineStr">
        <is>
          <t>Pilot</t>
        </is>
      </c>
      <c r="B32" s="25" t="inlineStr">
        <is>
          <t>ISO 3450 Brake Feasibility (Pilot)</t>
        </is>
      </c>
      <c r="C32" s="10">
        <f>D122+28</f>
        <v/>
      </c>
      <c r="D32" s="11">
        <f>C32+1</f>
        <v/>
      </c>
    </row>
    <row r="33">
      <c r="A33" s="8" t="inlineStr">
        <is>
          <t>Pilot</t>
        </is>
      </c>
      <c r="B33" s="25" t="inlineStr">
        <is>
          <t>EMC-Pilot- Pilot</t>
        </is>
      </c>
      <c r="C33" s="10">
        <f>D124+23</f>
        <v/>
      </c>
      <c r="D33" s="11">
        <f>C33+1</f>
        <v/>
      </c>
    </row>
    <row r="34">
      <c r="A34" s="8" t="inlineStr">
        <is>
          <t>Pilot</t>
        </is>
      </c>
      <c r="B34" s="25" t="inlineStr">
        <is>
          <t>ISO 9533 Horn, Back-up Alarm EN474 HAWB- Pilot</t>
        </is>
      </c>
      <c r="C34" s="10">
        <f>D33+2</f>
        <v/>
      </c>
      <c r="D34" s="11">
        <f>C34+1</f>
        <v/>
      </c>
      <c r="H34" s="26" t="n"/>
      <c r="I34" s="26" t="n"/>
    </row>
    <row r="35">
      <c r="A35" s="8" t="inlineStr">
        <is>
          <t>Pilot</t>
        </is>
      </c>
      <c r="B35" s="25" t="inlineStr">
        <is>
          <t>ISO 5010 Steering Feasibility (Pilot)</t>
        </is>
      </c>
      <c r="C35" s="10" t="n">
        <v>44067</v>
      </c>
      <c r="D35" s="11">
        <f>C35+1</f>
        <v/>
      </c>
    </row>
    <row r="36">
      <c r="A36" s="8" t="inlineStr">
        <is>
          <t>Production</t>
        </is>
      </c>
      <c r="B36" s="25" t="inlineStr">
        <is>
          <t>ISO 3450 Brake CERT</t>
        </is>
      </c>
      <c r="C36" s="10" t="n">
        <v>44311</v>
      </c>
      <c r="D36" s="11">
        <f>C36+2</f>
        <v/>
      </c>
    </row>
    <row r="37">
      <c r="A37" s="8" t="inlineStr">
        <is>
          <t>Production</t>
        </is>
      </c>
      <c r="B37" s="25" t="inlineStr">
        <is>
          <t>ISO 5010 Steering CERT</t>
        </is>
      </c>
      <c r="C37" s="10" t="n">
        <v>44332</v>
      </c>
      <c r="D37" s="11">
        <f>C37+1</f>
        <v/>
      </c>
    </row>
    <row r="38">
      <c r="A38" s="8" t="inlineStr">
        <is>
          <t>Production</t>
        </is>
      </c>
      <c r="B38" s="25" t="inlineStr">
        <is>
          <t>ISO 10570-Articulation Lock CERT</t>
        </is>
      </c>
      <c r="C38" s="10" t="n">
        <v>44341</v>
      </c>
      <c r="D38" s="11">
        <f>C38+1</f>
        <v/>
      </c>
    </row>
    <row r="39">
      <c r="A39" s="8" t="inlineStr">
        <is>
          <t>Production</t>
        </is>
      </c>
      <c r="B39" s="25" t="inlineStr">
        <is>
          <t>ISO 9533 Horn, Back-up Alarm HAWB CERT</t>
        </is>
      </c>
      <c r="C39" s="10" t="n">
        <v>44430</v>
      </c>
      <c r="D39" s="11">
        <f>C39+1</f>
        <v/>
      </c>
    </row>
    <row r="40">
      <c r="A40" s="8" t="inlineStr">
        <is>
          <t>Production</t>
        </is>
      </c>
      <c r="B40" s="25" t="inlineStr">
        <is>
          <t>Stg V EMC CERT</t>
        </is>
      </c>
      <c r="C40" s="10">
        <f>D170+60</f>
        <v/>
      </c>
      <c r="D40" s="11">
        <f>C40+1</f>
        <v/>
      </c>
    </row>
    <row customHeight="1" ht="20" r="41">
      <c r="A41" s="27" t="n"/>
      <c r="B41" s="28" t="inlineStr">
        <is>
          <t>Tech Center ShakeTable</t>
        </is>
      </c>
      <c r="C41" s="29">
        <f>MIN(C42:C49)</f>
        <v/>
      </c>
      <c r="D41" s="30">
        <f>MAX(D42:D49)</f>
        <v/>
      </c>
    </row>
    <row r="42">
      <c r="A42" s="8" t="inlineStr">
        <is>
          <t>Parts</t>
        </is>
      </c>
      <c r="B42" s="31" t="inlineStr">
        <is>
          <t>Hood arrives at Tech Center, Peoria (Version 1)</t>
        </is>
      </c>
      <c r="C42" s="32" t="n">
        <v>43789</v>
      </c>
      <c r="D42" s="33" t="n">
        <v>43814</v>
      </c>
    </row>
    <row r="43">
      <c r="A43" s="8" t="inlineStr">
        <is>
          <t>Shake Table</t>
        </is>
      </c>
      <c r="B43" s="31" t="inlineStr">
        <is>
          <t>Stage V Shake Table # 1 (Version 1)</t>
        </is>
      </c>
      <c r="C43" s="32" t="n">
        <v>43836</v>
      </c>
      <c r="D43" s="33" t="n">
        <v>43889</v>
      </c>
    </row>
    <row r="44">
      <c r="A44" s="8" t="inlineStr">
        <is>
          <t>Machine Build</t>
        </is>
      </c>
      <c r="B44" s="31" t="inlineStr">
        <is>
          <t>Shake Table set-up (Version 2)</t>
        </is>
      </c>
      <c r="C44" s="32" t="n">
        <v>44053</v>
      </c>
      <c r="D44" s="32">
        <f>WORKDAY(C44,19)</f>
        <v/>
      </c>
    </row>
    <row r="45">
      <c r="A45" s="8" t="inlineStr">
        <is>
          <t>STest</t>
        </is>
      </c>
      <c r="B45" s="31" t="inlineStr">
        <is>
          <t>Static Runs</t>
        </is>
      </c>
      <c r="C45" s="32">
        <f>D44+1</f>
        <v/>
      </c>
      <c r="D45" s="32">
        <f>C45+3</f>
        <v/>
      </c>
    </row>
    <row customHeight="1" ht="16" r="46">
      <c r="A46" s="34" t="inlineStr">
        <is>
          <t>Shake Table</t>
        </is>
      </c>
      <c r="B46" s="35" t="inlineStr">
        <is>
          <t>OMSA Drive File (Post Machine OMSA) (Version 2 hood)</t>
        </is>
      </c>
      <c r="C46" s="32" t="n">
        <v>44094</v>
      </c>
      <c r="D46" s="32">
        <f>WORKDAY(C46,1)</f>
        <v/>
      </c>
    </row>
    <row r="47">
      <c r="A47" s="8" t="inlineStr">
        <is>
          <t>DTest</t>
        </is>
      </c>
      <c r="B47" s="31" t="inlineStr">
        <is>
          <t>Set-up, Shakeout and Dynamic Runs</t>
        </is>
      </c>
      <c r="C47" s="32">
        <f>D45+16</f>
        <v/>
      </c>
      <c r="D47" s="32">
        <f>C47+24</f>
        <v/>
      </c>
    </row>
    <row r="48">
      <c r="A48" s="8" t="inlineStr">
        <is>
          <t>Durability</t>
        </is>
      </c>
      <c r="B48" s="31" t="inlineStr">
        <is>
          <t>Durability</t>
        </is>
      </c>
      <c r="C48" s="32">
        <f>D47+1</f>
        <v/>
      </c>
      <c r="D48" s="32">
        <f>C48+34</f>
        <v/>
      </c>
    </row>
    <row r="49">
      <c r="A49" s="8" t="inlineStr">
        <is>
          <t>Machine</t>
        </is>
      </c>
      <c r="B49" s="31" t="inlineStr">
        <is>
          <t>Teardown &amp; Preliminary Report</t>
        </is>
      </c>
      <c r="C49" s="32">
        <f>D48+1</f>
        <v/>
      </c>
      <c r="D49" s="32">
        <f>C49+20</f>
        <v/>
      </c>
    </row>
    <row customHeight="1" ht="20" r="50">
      <c r="A50" s="27" t="n"/>
      <c r="B50" s="36" t="inlineStr">
        <is>
          <t xml:space="preserve">Tech Center G LPT Axle </t>
        </is>
      </c>
      <c r="C50" s="6">
        <f>MIN(C51:C54)</f>
        <v/>
      </c>
      <c r="D50" s="7">
        <f>MAX(D51:D54)</f>
        <v/>
      </c>
    </row>
    <row r="51">
      <c r="A51" s="8" t="inlineStr">
        <is>
          <t>Pretest1</t>
        </is>
      </c>
      <c r="B51" s="31" t="inlineStr">
        <is>
          <t>Test Cycle Dev</t>
        </is>
      </c>
      <c r="C51" s="32" t="n">
        <v>43966</v>
      </c>
      <c r="D51" s="32" t="n">
        <v>44042</v>
      </c>
    </row>
    <row r="52">
      <c r="A52" s="8" t="inlineStr">
        <is>
          <t>Pretest2</t>
        </is>
      </c>
      <c r="B52" s="31" t="inlineStr">
        <is>
          <t>Lab set-up and Debug</t>
        </is>
      </c>
      <c r="C52" s="32">
        <f>WORKDAY(D51,10)</f>
        <v/>
      </c>
      <c r="D52" s="32">
        <f>WORKDAY(C52,55)</f>
        <v/>
      </c>
    </row>
    <row r="53">
      <c r="A53" s="8" t="inlineStr">
        <is>
          <t>Test1</t>
        </is>
      </c>
      <c r="B53" s="31" t="inlineStr">
        <is>
          <t>0-500 hrs+ Inspection</t>
        </is>
      </c>
      <c r="C53" s="32">
        <f>WORKDAY(D52,2)</f>
        <v/>
      </c>
      <c r="D53" s="32">
        <f>WORKDAY(C53,53)</f>
        <v/>
      </c>
    </row>
    <row customHeight="1" ht="16.25" r="54">
      <c r="A54" s="8" t="inlineStr">
        <is>
          <t>Test2</t>
        </is>
      </c>
      <c r="B54" s="31" t="inlineStr">
        <is>
          <t>501-1000 hrs + Inspection</t>
        </is>
      </c>
      <c r="C54" s="32">
        <f>WORKDAY(D53,1)</f>
        <v/>
      </c>
      <c r="D54" s="32">
        <f>WORKDAY(C54,31)</f>
        <v/>
      </c>
    </row>
    <row customHeight="1" ht="20" r="55">
      <c r="A55" s="37" t="n"/>
      <c r="B55" s="38" t="inlineStr">
        <is>
          <t>966GC T3 TB #3 (SGW00208)</t>
        </is>
      </c>
      <c r="C55" s="39">
        <f>MIN(C56:C72)</f>
        <v/>
      </c>
      <c r="D55" s="39">
        <f>MAX(D56:D72)</f>
        <v/>
      </c>
    </row>
    <row r="56">
      <c r="A56" s="69" t="inlineStr">
        <is>
          <t>CA</t>
        </is>
      </c>
      <c r="B56" s="40" t="inlineStr">
        <is>
          <t>CPM + Collision Avoidance</t>
        </is>
      </c>
      <c r="C56" s="41" t="n">
        <v>43962</v>
      </c>
      <c r="D56" s="41">
        <f>C56+120</f>
        <v/>
      </c>
    </row>
    <row r="57">
      <c r="A57" s="70" t="inlineStr">
        <is>
          <t>Machine Update</t>
        </is>
      </c>
      <c r="B57" s="42" t="inlineStr">
        <is>
          <t>Machine Update</t>
        </is>
      </c>
      <c r="C57" s="10">
        <f>C10+1</f>
        <v/>
      </c>
      <c r="D57" s="32">
        <f>WORKDAY(C57,3)</f>
        <v/>
      </c>
    </row>
    <row r="58">
      <c r="A58" s="71" t="inlineStr">
        <is>
          <t>Structures2</t>
        </is>
      </c>
      <c r="B58" s="43" t="inlineStr">
        <is>
          <t>Limited Slip Differential Driveline Signature- Prototype Iron</t>
        </is>
      </c>
      <c r="C58" s="32">
        <f>D57+1</f>
        <v/>
      </c>
      <c r="D58" s="32">
        <f>WORKDAY(C58,22)</f>
        <v/>
      </c>
    </row>
    <row r="59">
      <c r="A59" s="72" t="inlineStr">
        <is>
          <t>Holiday</t>
        </is>
      </c>
      <c r="B59" s="43" t="inlineStr">
        <is>
          <t>US Thanksgiving</t>
        </is>
      </c>
      <c r="C59" s="32">
        <f>D58+1</f>
        <v/>
      </c>
      <c r="D59" s="32">
        <f>C59+6</f>
        <v/>
      </c>
    </row>
    <row r="60">
      <c r="A60" s="72" t="inlineStr">
        <is>
          <t>Structures2</t>
        </is>
      </c>
      <c r="B60" s="43" t="inlineStr">
        <is>
          <t>Driveline Signature-cont'd</t>
        </is>
      </c>
      <c r="C60" s="32">
        <f>D59+1</f>
        <v/>
      </c>
      <c r="D60" s="32">
        <f>C60+12</f>
        <v/>
      </c>
    </row>
    <row r="61">
      <c r="A61" s="72" t="inlineStr">
        <is>
          <t>Endurance</t>
        </is>
      </c>
      <c r="B61" s="43" t="inlineStr">
        <is>
          <t>100 hr Endurance ( With Prototype LSD iron)</t>
        </is>
      </c>
      <c r="C61" s="32">
        <f>D60+1</f>
        <v/>
      </c>
      <c r="D61" s="32">
        <f>WORKDAY(C61,6)</f>
        <v/>
      </c>
    </row>
    <row r="62">
      <c r="A62" s="34" t="inlineStr">
        <is>
          <t>Machine Build</t>
        </is>
      </c>
      <c r="B62" s="43" t="inlineStr">
        <is>
          <t>Machine Update for UPT and LPT LCP Parts</t>
        </is>
      </c>
      <c r="C62" s="32" t="n">
        <v>44247</v>
      </c>
      <c r="D62" s="32">
        <f>WORKDAY(C62,9)</f>
        <v/>
      </c>
    </row>
    <row r="63">
      <c r="A63" s="73" t="inlineStr">
        <is>
          <t>Machine Check</t>
        </is>
      </c>
      <c r="B63" s="43" t="inlineStr">
        <is>
          <t>Machine Checkout STP-64/Opr Eval</t>
        </is>
      </c>
      <c r="C63" s="10">
        <f>D62+3</f>
        <v/>
      </c>
      <c r="D63" s="32">
        <f>WORKDAY(C63,4)</f>
        <v/>
      </c>
    </row>
    <row r="64">
      <c r="A64" s="8" t="inlineStr">
        <is>
          <t>Endurance #1</t>
        </is>
      </c>
      <c r="B64" s="31" t="inlineStr">
        <is>
          <t>Endurance 0-250 hrs+ Service/Inspect</t>
        </is>
      </c>
      <c r="C64" s="10">
        <f>D63+1</f>
        <v/>
      </c>
      <c r="D64" s="11">
        <f>C64+14</f>
        <v/>
      </c>
    </row>
    <row r="65">
      <c r="A65" s="8" t="inlineStr">
        <is>
          <t>Endurance #2</t>
        </is>
      </c>
      <c r="B65" s="31" t="inlineStr">
        <is>
          <t>Endurance 251-500 hrs+ Service/Inspect</t>
        </is>
      </c>
      <c r="C65" s="10">
        <f>D64+1</f>
        <v/>
      </c>
      <c r="D65" s="11">
        <f>C65+14</f>
        <v/>
      </c>
    </row>
    <row r="66">
      <c r="A66" s="8" t="inlineStr">
        <is>
          <t>Endurance #3</t>
        </is>
      </c>
      <c r="B66" s="31" t="inlineStr">
        <is>
          <t>Endurance 501-750 hrs+ Service/Inspect</t>
        </is>
      </c>
      <c r="C66" s="10">
        <f>D65+1</f>
        <v/>
      </c>
      <c r="D66" s="11">
        <f>C66+14</f>
        <v/>
      </c>
    </row>
    <row r="67">
      <c r="A67" s="8" t="inlineStr">
        <is>
          <t>Endurance #4</t>
        </is>
      </c>
      <c r="B67" s="31" t="inlineStr">
        <is>
          <t>Endurance 751-1000 hrs+ Service/Inspect</t>
        </is>
      </c>
      <c r="C67" s="10">
        <f>D66+1</f>
        <v/>
      </c>
      <c r="D67" s="11">
        <f>C67+14</f>
        <v/>
      </c>
    </row>
    <row r="68">
      <c r="A68" s="8" t="inlineStr">
        <is>
          <t>Endurance #5</t>
        </is>
      </c>
      <c r="B68" s="31" t="inlineStr">
        <is>
          <t>Endurance 1001-1250 hrs+ Service/Inspect</t>
        </is>
      </c>
      <c r="C68" s="10">
        <f>D67+1</f>
        <v/>
      </c>
      <c r="D68" s="11">
        <f>C68+14</f>
        <v/>
      </c>
    </row>
    <row r="69">
      <c r="A69" s="8" t="inlineStr">
        <is>
          <t>Endurance #6</t>
        </is>
      </c>
      <c r="B69" s="31" t="inlineStr">
        <is>
          <t>Endurance 1251-1500 hrs+ Service/Inspect</t>
        </is>
      </c>
      <c r="C69" s="10">
        <f>D68+1</f>
        <v/>
      </c>
      <c r="D69" s="11">
        <f>C69+14</f>
        <v/>
      </c>
    </row>
    <row r="70">
      <c r="A70" s="8" t="inlineStr">
        <is>
          <t>Endurance #7</t>
        </is>
      </c>
      <c r="B70" s="31" t="inlineStr">
        <is>
          <t>Endurance 1501-1750 hrs+ Service/Inspect</t>
        </is>
      </c>
      <c r="C70" s="10">
        <f>D69+1</f>
        <v/>
      </c>
      <c r="D70" s="11">
        <f>C70+14</f>
        <v/>
      </c>
    </row>
    <row r="71">
      <c r="A71" s="8" t="inlineStr">
        <is>
          <t>Endurance #8</t>
        </is>
      </c>
      <c r="B71" s="31" t="inlineStr">
        <is>
          <t>Endurance 1750-2000 hrs+ Service/Inspect</t>
        </is>
      </c>
      <c r="C71" s="10">
        <f>D70+1</f>
        <v/>
      </c>
      <c r="D71" s="11">
        <f>C71+14</f>
        <v/>
      </c>
    </row>
    <row r="72">
      <c r="A72" s="8" t="inlineStr">
        <is>
          <t>Inspection</t>
        </is>
      </c>
      <c r="B72" s="31" t="inlineStr">
        <is>
          <t>Full Inspection</t>
        </is>
      </c>
      <c r="C72" s="10">
        <f>D71+1</f>
        <v/>
      </c>
      <c r="D72" s="44">
        <f>C72+14</f>
        <v/>
      </c>
    </row>
    <row customHeight="1" ht="20" r="73">
      <c r="A73" s="27" t="n"/>
      <c r="B73" s="45" t="inlineStr">
        <is>
          <t>966GC T3 TB #4 (SGW00203)</t>
        </is>
      </c>
      <c r="C73" s="46">
        <f>MIN(C74:C75)</f>
        <v/>
      </c>
      <c r="D73" s="46">
        <f>MAX(D74:D75)</f>
        <v/>
      </c>
    </row>
    <row customHeight="1" ht="16" r="74">
      <c r="A74" s="73" t="inlineStr">
        <is>
          <t xml:space="preserve">Safety </t>
        </is>
      </c>
      <c r="B74" s="47" t="inlineStr">
        <is>
          <t>SYC Type Certification- Report 30 days after completion of Evaluation</t>
        </is>
      </c>
      <c r="C74" s="32" t="n">
        <v>43866</v>
      </c>
      <c r="D74" s="32">
        <f>WORKDAY(C74,5)</f>
        <v/>
      </c>
    </row>
    <row customHeight="1" ht="16" r="75">
      <c r="A75" s="73" t="inlineStr">
        <is>
          <t>AOC</t>
        </is>
      </c>
      <c r="B75" s="47" t="inlineStr">
        <is>
          <t>AOC Fit-up and Perf Checkout</t>
        </is>
      </c>
      <c r="C75" s="32" t="n">
        <v>43922</v>
      </c>
      <c r="D75" s="32">
        <f>C75+30</f>
        <v/>
      </c>
    </row>
    <row customHeight="1" ht="20" r="76">
      <c r="A76" s="48" t="n"/>
      <c r="B76" s="49" t="inlineStr">
        <is>
          <t>966GC Stage V TB #1 (SG700101)</t>
        </is>
      </c>
      <c r="C76" s="50">
        <f>MIN(C77:C109)</f>
        <v/>
      </c>
      <c r="D76" s="50">
        <f>MAX(D77:D109)</f>
        <v/>
      </c>
    </row>
    <row r="77">
      <c r="A77" s="73" t="inlineStr">
        <is>
          <t>Machine Ship</t>
        </is>
      </c>
      <c r="B77" s="51" t="inlineStr">
        <is>
          <t>Ship Machine Aurora MDC</t>
        </is>
      </c>
      <c r="C77" s="32" t="n">
        <v>43836</v>
      </c>
      <c r="D77" s="32">
        <f>WORKDAY(C77,2)</f>
        <v/>
      </c>
    </row>
    <row r="78">
      <c r="A78" s="73" t="inlineStr">
        <is>
          <t>Machine Build</t>
        </is>
      </c>
      <c r="B78" s="51" t="inlineStr">
        <is>
          <t xml:space="preserve">Machine Build </t>
        </is>
      </c>
      <c r="C78" s="32">
        <f>WORKDAY(D77,3)</f>
        <v/>
      </c>
      <c r="D78" s="32">
        <f>WORKDAY(C78,35)</f>
        <v/>
      </c>
    </row>
    <row r="79">
      <c r="A79" s="73" t="inlineStr">
        <is>
          <t>Machine Build</t>
        </is>
      </c>
      <c r="B79" s="51" t="inlineStr">
        <is>
          <t xml:space="preserve">Build Issue resolution </t>
        </is>
      </c>
      <c r="C79" s="32">
        <f>WORKDAY(D78,1)</f>
        <v/>
      </c>
      <c r="D79" s="32">
        <f>WORKDAY(C79,5)</f>
        <v/>
      </c>
    </row>
    <row r="80">
      <c r="A80" s="73" t="inlineStr">
        <is>
          <t>Machine Ship</t>
        </is>
      </c>
      <c r="B80" s="51" t="inlineStr">
        <is>
          <t>Ship Machine PPG</t>
        </is>
      </c>
      <c r="C80" s="32">
        <f>WORKDAY(D79,2)</f>
        <v/>
      </c>
      <c r="D80" s="32">
        <f>WORKDAY(C80,2)</f>
        <v/>
      </c>
    </row>
    <row r="81">
      <c r="A81" s="73" t="inlineStr">
        <is>
          <t>Machine Check</t>
        </is>
      </c>
      <c r="B81" s="43" t="inlineStr">
        <is>
          <t>Machine Checkout STP-64</t>
        </is>
      </c>
      <c r="C81" s="32">
        <f>WORKDAY(D80,5)</f>
        <v/>
      </c>
      <c r="D81" s="32">
        <f>WORKDAY(C81,4)</f>
        <v/>
      </c>
    </row>
    <row r="82">
      <c r="A82" s="73" t="inlineStr">
        <is>
          <t>SW</t>
        </is>
      </c>
      <c r="B82" s="43" t="inlineStr">
        <is>
          <t>Ver 01 SW (STP 230/289) (Steering, L5, XSMN)</t>
        </is>
      </c>
      <c r="C82" s="32">
        <f>WORKDAY(D81,21)</f>
        <v/>
      </c>
      <c r="D82" s="32">
        <f>WORKDAY(C82,12)</f>
        <v/>
      </c>
    </row>
    <row r="83">
      <c r="A83" s="73" t="inlineStr">
        <is>
          <t>Performance</t>
        </is>
      </c>
      <c r="B83" s="43" t="inlineStr">
        <is>
          <t>L5 Performance Check (Include Thermal Mgmt Valve)</t>
        </is>
      </c>
      <c r="C83" s="32">
        <f>WORKDAY(D82,1)</f>
        <v/>
      </c>
      <c r="D83" s="32">
        <f>WORKDAY(C83,7)</f>
        <v/>
      </c>
    </row>
    <row r="84">
      <c r="A84" s="73" t="inlineStr">
        <is>
          <t>NVH</t>
        </is>
      </c>
      <c r="B84" s="43" t="inlineStr">
        <is>
          <t>Sound Development (Machine, Cab Sound)</t>
        </is>
      </c>
      <c r="C84" s="32">
        <f>WORKDAY(D83,1)</f>
        <v/>
      </c>
      <c r="D84" s="32">
        <f>WORKDAY(C84,5)</f>
        <v/>
      </c>
    </row>
    <row r="85">
      <c r="A85" s="75" t="inlineStr">
        <is>
          <t>Engine</t>
        </is>
      </c>
      <c r="B85" s="43" t="inlineStr">
        <is>
          <t>C9.3B Stage V Engine Performance</t>
        </is>
      </c>
      <c r="C85" s="32">
        <f>WORKDAY(D84,2)</f>
        <v/>
      </c>
      <c r="D85" s="32">
        <f>WORKDAY(C85,1)</f>
        <v/>
      </c>
    </row>
    <row r="86">
      <c r="A86" s="75" t="inlineStr">
        <is>
          <t>Transmission</t>
        </is>
      </c>
      <c r="B86" s="43" t="inlineStr">
        <is>
          <t>Trans Tuning</t>
        </is>
      </c>
      <c r="C86" s="32">
        <f>WORKDAY(D85,1)</f>
        <v/>
      </c>
      <c r="D86" s="32">
        <f>WORKDAY(C86,4)</f>
        <v/>
      </c>
    </row>
    <row r="87">
      <c r="A87" s="75" t="inlineStr">
        <is>
          <t>Performance</t>
        </is>
      </c>
      <c r="B87" s="43" t="inlineStr">
        <is>
          <t>L5 Tuning # 1</t>
        </is>
      </c>
      <c r="C87" s="32">
        <f>WORKDAY(D86,1)</f>
        <v/>
      </c>
      <c r="D87" s="32">
        <f>WORKDAY(C87,3)</f>
        <v/>
      </c>
    </row>
    <row r="88">
      <c r="A88" s="73" t="inlineStr">
        <is>
          <t>Performance</t>
        </is>
      </c>
      <c r="B88" s="43" t="inlineStr">
        <is>
          <t>Rimpull/Response</t>
        </is>
      </c>
      <c r="C88" s="32">
        <f>WORKDAY(D87,1)</f>
        <v/>
      </c>
      <c r="D88" s="32">
        <f>WORKDAY(C88,13)</f>
        <v/>
      </c>
    </row>
    <row r="89">
      <c r="A89" s="73" t="inlineStr">
        <is>
          <t>Issue</t>
        </is>
      </c>
      <c r="B89" s="43" t="inlineStr">
        <is>
          <t>Issue Resolution # 1</t>
        </is>
      </c>
      <c r="C89" s="32">
        <f>WORKDAY(D88,2)</f>
        <v/>
      </c>
      <c r="D89" s="32">
        <f>WORKDAY(C89,6)</f>
        <v/>
      </c>
    </row>
    <row r="90">
      <c r="A90" s="73" t="inlineStr">
        <is>
          <t>HVAC</t>
        </is>
      </c>
      <c r="B90" s="43" t="inlineStr">
        <is>
          <t>HVAC Perf Checkout</t>
        </is>
      </c>
      <c r="C90" s="32">
        <f>WORKDAY(D89,1)</f>
        <v/>
      </c>
      <c r="D90" s="32">
        <f>WORKDAY(C90,2)</f>
        <v/>
      </c>
    </row>
    <row r="91">
      <c r="A91" s="73" t="inlineStr">
        <is>
          <t>Cooling 2</t>
        </is>
      </c>
      <c r="B91" s="43" t="inlineStr">
        <is>
          <t xml:space="preserve">Water Flow and Water System </t>
        </is>
      </c>
      <c r="C91" s="32">
        <f>WORKDAY(D90,1)</f>
        <v/>
      </c>
      <c r="D91" s="32">
        <f>WORKDAY(C91,7)</f>
        <v/>
      </c>
    </row>
    <row r="92">
      <c r="A92" s="73" t="inlineStr">
        <is>
          <t>Cooling 3</t>
        </is>
      </c>
      <c r="B92" s="43" t="inlineStr">
        <is>
          <t xml:space="preserve">Stg V Ambient Capability and UHT </t>
        </is>
      </c>
      <c r="C92" s="32">
        <f>WORKDAY(D91,1)</f>
        <v/>
      </c>
      <c r="D92" s="32">
        <f>WORKDAY(C92,39)</f>
        <v/>
      </c>
    </row>
    <row r="93">
      <c r="A93" s="73" t="inlineStr">
        <is>
          <t>SW</t>
        </is>
      </c>
      <c r="B93" s="43" t="inlineStr">
        <is>
          <t>Ver 02 SW (STP 230/289) (Steering, L5, XSMN)</t>
        </is>
      </c>
      <c r="C93" s="32">
        <f>WORKDAY(C25,19)+26</f>
        <v/>
      </c>
      <c r="D93" s="32">
        <f>WORKDAY(C93,1)</f>
        <v/>
      </c>
    </row>
    <row r="94">
      <c r="A94" s="34" t="inlineStr">
        <is>
          <t>Machine Build</t>
        </is>
      </c>
      <c r="B94" s="43" t="inlineStr">
        <is>
          <t>Machine Update</t>
        </is>
      </c>
      <c r="C94" s="32">
        <f>D9+2</f>
        <v/>
      </c>
      <c r="D94" s="32">
        <f>WORKDAY(C94,3)</f>
        <v/>
      </c>
    </row>
    <row r="95">
      <c r="A95" s="71" t="inlineStr">
        <is>
          <t>Light Structures</t>
        </is>
      </c>
      <c r="B95" s="43" t="inlineStr">
        <is>
          <t>Light Structures (Stg V Hood-Version 2) OMSA</t>
        </is>
      </c>
      <c r="C95" s="32">
        <f>D94+1</f>
        <v/>
      </c>
      <c r="D95" s="32">
        <f>WORKDAY(C95,37)</f>
        <v/>
      </c>
    </row>
    <row r="96">
      <c r="A96" s="71" t="inlineStr">
        <is>
          <t>Holiday</t>
        </is>
      </c>
      <c r="B96" s="42" t="inlineStr">
        <is>
          <t>US Thanksgiving</t>
        </is>
      </c>
      <c r="C96" s="10">
        <f>D95+1</f>
        <v/>
      </c>
      <c r="D96" s="32">
        <f>WORKDAY(C96,4)</f>
        <v/>
      </c>
    </row>
    <row r="97">
      <c r="A97" s="71" t="inlineStr">
        <is>
          <t>Light Structures</t>
        </is>
      </c>
      <c r="B97" s="42" t="inlineStr">
        <is>
          <t>Light Structures (Stg V Hood-Version 2) OMSA- Teardown</t>
        </is>
      </c>
      <c r="C97" s="10">
        <f>D96+1</f>
        <v/>
      </c>
      <c r="D97" s="32">
        <f>WORKDAY(C97,4)</f>
        <v/>
      </c>
    </row>
    <row r="98">
      <c r="A98" s="73" t="inlineStr">
        <is>
          <t>SW</t>
        </is>
      </c>
      <c r="B98" s="43" t="inlineStr">
        <is>
          <t>Ver 03 SW (STP 230/289) (L5, XSMN, Engine)</t>
        </is>
      </c>
      <c r="C98" s="32">
        <f>WORKDAY(C27,0)+34</f>
        <v/>
      </c>
      <c r="D98" s="32">
        <f>WORKDAY(C98,1)</f>
        <v/>
      </c>
    </row>
    <row r="99">
      <c r="A99" s="73" t="inlineStr">
        <is>
          <t>Engine</t>
        </is>
      </c>
      <c r="B99" s="43" t="inlineStr">
        <is>
          <t>STP 401 Engine Install Audit</t>
        </is>
      </c>
      <c r="C99" s="32">
        <f>WORKDAY(D98,1)</f>
        <v/>
      </c>
      <c r="D99" s="32">
        <f>WORKDAY(C99,1)</f>
        <v/>
      </c>
    </row>
    <row r="100">
      <c r="A100" s="73" t="inlineStr">
        <is>
          <t>EIC</t>
        </is>
      </c>
      <c r="B100" s="43" t="inlineStr">
        <is>
          <t>DEF and Fuel Tank Calibration</t>
        </is>
      </c>
      <c r="C100" s="32">
        <f>WORKDAY(D99,1)</f>
        <v/>
      </c>
      <c r="D100" s="32">
        <f>WORKDAY(C100,1)</f>
        <v/>
      </c>
    </row>
    <row r="101">
      <c r="A101" s="71" t="inlineStr">
        <is>
          <t>Holiday</t>
        </is>
      </c>
      <c r="B101" s="42" t="inlineStr">
        <is>
          <t>US Christmas and New Year Holiday</t>
        </is>
      </c>
      <c r="C101" s="10">
        <f>D100+1</f>
        <v/>
      </c>
      <c r="D101" s="32">
        <f>WORKDAY(C101,8)</f>
        <v/>
      </c>
    </row>
    <row r="102">
      <c r="A102" s="73" t="inlineStr">
        <is>
          <t>Engine</t>
        </is>
      </c>
      <c r="B102" s="43" t="inlineStr">
        <is>
          <t>Thermal Mgmt</t>
        </is>
      </c>
      <c r="C102" s="32">
        <f>WORKDAY(D101,1)</f>
        <v/>
      </c>
      <c r="D102" s="32">
        <f>WORKDAY(C102,1)</f>
        <v/>
      </c>
    </row>
    <row r="103">
      <c r="A103" s="73" t="inlineStr">
        <is>
          <t>Engine</t>
        </is>
      </c>
      <c r="B103" s="43" t="inlineStr">
        <is>
          <t>Thermal Mgmt endurance-300 hrs</t>
        </is>
      </c>
      <c r="C103" s="32">
        <f>WORKDAY(D102,1)</f>
        <v/>
      </c>
      <c r="D103" s="32">
        <f>C103+14</f>
        <v/>
      </c>
    </row>
    <row customHeight="1" ht="15.5" r="104">
      <c r="A104" s="73" t="inlineStr">
        <is>
          <t>Issue</t>
        </is>
      </c>
      <c r="B104" s="43" t="inlineStr">
        <is>
          <t>Issue Resolution # 2</t>
        </is>
      </c>
      <c r="C104" s="32">
        <f>WORKDAY(D103,1)</f>
        <v/>
      </c>
      <c r="D104" s="32">
        <f>WORKDAY(C104,5)</f>
        <v/>
      </c>
    </row>
    <row r="105">
      <c r="A105" s="73" t="inlineStr">
        <is>
          <t>Performance</t>
        </is>
      </c>
      <c r="B105" s="43" t="inlineStr">
        <is>
          <t>L5 Tuning and Performance Check # 2</t>
        </is>
      </c>
      <c r="C105" s="32">
        <f>WORKDAY(D104,1)</f>
        <v/>
      </c>
      <c r="D105" s="32">
        <f>WORKDAY(C105,5)</f>
        <v/>
      </c>
    </row>
    <row r="106">
      <c r="A106" s="73" t="inlineStr">
        <is>
          <t>SW</t>
        </is>
      </c>
      <c r="B106" s="43" t="inlineStr">
        <is>
          <t>Ver 04 SW (STP 230/289) (Steering, L5, XSMN, Engine) BOB</t>
        </is>
      </c>
      <c r="C106" s="32">
        <f>WORKDAY(C29,10)</f>
        <v/>
      </c>
      <c r="D106" s="32">
        <f>WORKDAY(C106,12)</f>
        <v/>
      </c>
    </row>
    <row r="107">
      <c r="A107" s="73" t="inlineStr">
        <is>
          <t>EIC</t>
        </is>
      </c>
      <c r="B107" s="43" t="inlineStr">
        <is>
          <t>Dust Ejector Measurement</t>
        </is>
      </c>
      <c r="C107" s="32">
        <f>WORKDAY(D106,3)</f>
        <v/>
      </c>
      <c r="D107" s="32">
        <f>WORKDAY(C107,3)</f>
        <v/>
      </c>
    </row>
    <row r="108">
      <c r="A108" s="73" t="inlineStr">
        <is>
          <t>Structures2</t>
        </is>
      </c>
      <c r="B108" s="43" t="inlineStr">
        <is>
          <t>Limited Slip Differential Driveline Signature- Prod Iron</t>
        </is>
      </c>
      <c r="C108" s="32">
        <f>WORKDAY(D107,4)</f>
        <v/>
      </c>
      <c r="D108" s="32">
        <f>WORKDAY(C108,35)</f>
        <v/>
      </c>
    </row>
    <row customHeight="1" ht="12.5" r="109">
      <c r="A109" s="73" t="inlineStr">
        <is>
          <t>Issue</t>
        </is>
      </c>
      <c r="B109" s="43" t="inlineStr">
        <is>
          <t>Issue Resolution # 3</t>
        </is>
      </c>
      <c r="C109" s="32">
        <f>WORKDAY(D108,5)</f>
        <v/>
      </c>
      <c r="D109" s="32">
        <f>WORKDAY(C109,13)</f>
        <v/>
      </c>
    </row>
    <row customHeight="1" ht="20" r="110">
      <c r="A110" s="27" t="n"/>
      <c r="B110" s="52" t="inlineStr">
        <is>
          <t>QPG 966GC CNR4 TB#2 (SG800101)</t>
        </is>
      </c>
      <c r="C110" s="53">
        <f>MIN(C111:C136)</f>
        <v/>
      </c>
      <c r="D110" s="54">
        <f>MAX(D111:D136)</f>
        <v/>
      </c>
    </row>
    <row r="111">
      <c r="A111" s="34" t="inlineStr">
        <is>
          <t>Machine Build</t>
        </is>
      </c>
      <c r="B111" s="55" t="inlineStr">
        <is>
          <t>Machine Build + Issue Resolution</t>
        </is>
      </c>
      <c r="C111" s="32" t="n">
        <v>43800</v>
      </c>
      <c r="D111" s="32">
        <f>C111+28</f>
        <v/>
      </c>
    </row>
    <row r="112">
      <c r="A112" s="34" t="inlineStr">
        <is>
          <t xml:space="preserve">Holiday </t>
        </is>
      </c>
      <c r="B112" s="56" t="inlineStr">
        <is>
          <t>China New Year</t>
        </is>
      </c>
      <c r="C112" s="32" t="n">
        <v>43854</v>
      </c>
      <c r="D112" s="32">
        <f>WORKDAY(C112,5)</f>
        <v/>
      </c>
    </row>
    <row r="113">
      <c r="A113" s="34" t="inlineStr">
        <is>
          <t>Performance</t>
        </is>
      </c>
      <c r="B113" s="56" t="inlineStr">
        <is>
          <t>L5 Checkout</t>
        </is>
      </c>
      <c r="C113" s="32">
        <f>WORKDAY(D112,8)</f>
        <v/>
      </c>
      <c r="D113" s="32">
        <f>WORKDAY(C113,9)</f>
        <v/>
      </c>
    </row>
    <row r="114">
      <c r="A114" s="34" t="inlineStr">
        <is>
          <t>Machine Check</t>
        </is>
      </c>
      <c r="B114" s="55" t="inlineStr">
        <is>
          <t>Machine Checkout STP-64</t>
        </is>
      </c>
      <c r="C114" s="32">
        <f>D113+1</f>
        <v/>
      </c>
      <c r="D114" s="32">
        <f>WORKDAY(C114,9)</f>
        <v/>
      </c>
    </row>
    <row r="115">
      <c r="A115" s="71" t="inlineStr">
        <is>
          <t>NVH</t>
        </is>
      </c>
      <c r="B115" s="43" t="inlineStr">
        <is>
          <t>Sound Test screening</t>
        </is>
      </c>
      <c r="C115" s="32">
        <f>WORKDAY(D114,1)</f>
        <v/>
      </c>
      <c r="D115" s="32">
        <f>WORKDAY(C115,1)</f>
        <v/>
      </c>
    </row>
    <row customHeight="1" ht="15" r="116">
      <c r="A116" s="76" t="inlineStr">
        <is>
          <t>Transmission</t>
        </is>
      </c>
      <c r="B116" s="43" t="inlineStr">
        <is>
          <t>Trans checkout (Lead by CRDC UPT team)</t>
        </is>
      </c>
      <c r="C116" s="10">
        <f>WORKDAY(D115,5)</f>
        <v/>
      </c>
      <c r="D116" s="10">
        <f>WORKDAY(C116,9)</f>
        <v/>
      </c>
    </row>
    <row customHeight="1" ht="15" r="117">
      <c r="A117" s="71" t="inlineStr">
        <is>
          <t>NVH</t>
        </is>
      </c>
      <c r="B117" s="43" t="inlineStr">
        <is>
          <t>Sound Test (including cab glass) ISO 9533, HAWB</t>
        </is>
      </c>
      <c r="C117" s="32">
        <f>WORKDAY(D116,1)</f>
        <v/>
      </c>
      <c r="D117" s="32">
        <f>WORKDAY(C117,9)</f>
        <v/>
      </c>
    </row>
    <row customHeight="1" ht="15" r="118">
      <c r="A118" s="8" t="inlineStr">
        <is>
          <t>SW</t>
        </is>
      </c>
      <c r="B118" s="56" t="inlineStr">
        <is>
          <t>Stg V Ver 01 SW (STP 230)</t>
        </is>
      </c>
      <c r="C118" s="10">
        <f>D117+1</f>
        <v/>
      </c>
      <c r="D118" s="11">
        <f>C118+5</f>
        <v/>
      </c>
    </row>
    <row customHeight="1" ht="15" r="119">
      <c r="A119" s="34" t="inlineStr">
        <is>
          <t>Issue</t>
        </is>
      </c>
      <c r="B119" s="43" t="inlineStr">
        <is>
          <t>Issue Resolution # 1</t>
        </is>
      </c>
      <c r="C119" s="32">
        <f>WORKDAY(D118,1)</f>
        <v/>
      </c>
      <c r="D119" s="32">
        <f>WORKDAY(C119,5)</f>
        <v/>
      </c>
    </row>
    <row customHeight="1" ht="15" r="120">
      <c r="A120" s="69" t="inlineStr">
        <is>
          <t>EIC</t>
        </is>
      </c>
      <c r="B120" s="42" t="inlineStr">
        <is>
          <t>Engine Installation Audit</t>
        </is>
      </c>
      <c r="C120" s="10">
        <f>WORKDAY(D119,1)</f>
        <v/>
      </c>
      <c r="D120" s="10">
        <f>WORKDAY(C120,9)</f>
        <v/>
      </c>
    </row>
    <row customHeight="1" ht="18.75" r="121">
      <c r="A121" s="34" t="inlineStr">
        <is>
          <t>Audit</t>
        </is>
      </c>
      <c r="B121" s="56" t="inlineStr">
        <is>
          <t>Safety/Serviceability audit</t>
        </is>
      </c>
      <c r="C121" s="32">
        <f>WORKDAY(D120,1)</f>
        <v/>
      </c>
      <c r="D121" s="32">
        <f>WORKDAY(C121,0)</f>
        <v/>
      </c>
    </row>
    <row customHeight="1" ht="18.75" r="122">
      <c r="A122" s="8" t="inlineStr">
        <is>
          <t>Safety</t>
        </is>
      </c>
      <c r="B122" s="43" t="inlineStr">
        <is>
          <t>ISO 3450 Brake Feasibility</t>
        </is>
      </c>
      <c r="C122" s="32">
        <f>WORKDAY(D121,1)</f>
        <v/>
      </c>
      <c r="D122" s="32">
        <f>WORKDAY(C122,15)</f>
        <v/>
      </c>
    </row>
    <row r="123">
      <c r="A123" s="8" t="inlineStr">
        <is>
          <t>Safety</t>
        </is>
      </c>
      <c r="B123" s="25" t="inlineStr">
        <is>
          <t>ISO 5010 Steering Feasibility (Include Secondary Steering)</t>
        </is>
      </c>
      <c r="C123" s="32">
        <f>WORKDAY(D122,1)</f>
        <v/>
      </c>
      <c r="D123" s="32">
        <f>WORKDAY(C123,15)</f>
        <v/>
      </c>
    </row>
    <row r="124">
      <c r="A124" s="77" t="inlineStr">
        <is>
          <t>Safety</t>
        </is>
      </c>
      <c r="B124" s="40" t="inlineStr">
        <is>
          <t>EMC Feasibility</t>
        </is>
      </c>
      <c r="C124" s="32">
        <f>WORKDAY(D123,1)</f>
        <v/>
      </c>
      <c r="D124" s="32">
        <f>WORKDAY(C124,15)</f>
        <v/>
      </c>
    </row>
    <row r="125">
      <c r="A125" s="8" t="inlineStr">
        <is>
          <t>SW</t>
        </is>
      </c>
      <c r="B125" s="56" t="inlineStr">
        <is>
          <t>Stg V Ver 02 SW (STP 230)</t>
        </is>
      </c>
      <c r="C125" s="32">
        <f>WORKDAY(D93,1)</f>
        <v/>
      </c>
      <c r="D125" s="32">
        <f>WORKDAY(C125,1)</f>
        <v/>
      </c>
    </row>
    <row r="126">
      <c r="A126" s="8" t="inlineStr">
        <is>
          <t>SW</t>
        </is>
      </c>
      <c r="B126" s="56" t="inlineStr">
        <is>
          <t>Stage V Ver 03 SW (STP 230)</t>
        </is>
      </c>
      <c r="C126" s="57">
        <f>D98+16</f>
        <v/>
      </c>
      <c r="D126" s="58">
        <f>C126+3</f>
        <v/>
      </c>
    </row>
    <row r="127">
      <c r="A127" s="8" t="inlineStr">
        <is>
          <t>Machine Build</t>
        </is>
      </c>
      <c r="B127" s="25" t="inlineStr">
        <is>
          <t>UPT and LPT LCP (NPI Workshop)</t>
        </is>
      </c>
      <c r="C127" s="10">
        <f>D126+7</f>
        <v/>
      </c>
      <c r="D127" s="32">
        <f>WORKDAY(C127,7)</f>
        <v/>
      </c>
    </row>
    <row r="128">
      <c r="A128" s="8" t="inlineStr">
        <is>
          <t>Machine Checkout</t>
        </is>
      </c>
      <c r="B128" s="25" t="inlineStr">
        <is>
          <t>STP 64/Opr Eval</t>
        </is>
      </c>
      <c r="C128" s="32">
        <f>WORKDAY(D127,1)</f>
        <v/>
      </c>
      <c r="D128" s="32">
        <f>WORKDAY(C128,3)</f>
        <v/>
      </c>
    </row>
    <row r="129">
      <c r="A129" s="8" t="inlineStr">
        <is>
          <t>Endurance #1</t>
        </is>
      </c>
      <c r="B129" s="25" t="inlineStr">
        <is>
          <t>0-250 hrs</t>
        </is>
      </c>
      <c r="C129" s="32">
        <f>WORKDAY(D128,1)</f>
        <v/>
      </c>
      <c r="D129" s="32">
        <f>WORKDAY(C129,23)</f>
        <v/>
      </c>
    </row>
    <row r="130">
      <c r="A130" s="8" t="inlineStr">
        <is>
          <t>Inspection</t>
        </is>
      </c>
      <c r="B130" s="25" t="inlineStr">
        <is>
          <t>Endurance Inspection</t>
        </is>
      </c>
      <c r="C130" s="32">
        <f>WORKDAY(D129,1)</f>
        <v/>
      </c>
      <c r="D130" s="32">
        <f>WORKDAY(C130,3)</f>
        <v/>
      </c>
    </row>
    <row r="131">
      <c r="A131" s="8" t="inlineStr">
        <is>
          <t>Endurance #2</t>
        </is>
      </c>
      <c r="B131" s="25" t="inlineStr">
        <is>
          <t>251-500 hrs</t>
        </is>
      </c>
      <c r="C131" s="32">
        <f>WORKDAY(D130,1)</f>
        <v/>
      </c>
      <c r="D131" s="32">
        <f>WORKDAY(C131,23)</f>
        <v/>
      </c>
    </row>
    <row r="132">
      <c r="A132" s="8" t="inlineStr">
        <is>
          <t>Inspection</t>
        </is>
      </c>
      <c r="B132" s="25" t="inlineStr">
        <is>
          <t>Endurance Inspection</t>
        </is>
      </c>
      <c r="C132" s="32">
        <f>WORKDAY(D131,1)</f>
        <v/>
      </c>
      <c r="D132" s="32">
        <f>WORKDAY(C132,3)</f>
        <v/>
      </c>
    </row>
    <row r="133">
      <c r="A133" s="8" t="inlineStr">
        <is>
          <t>Endurance #3</t>
        </is>
      </c>
      <c r="B133" s="25" t="inlineStr">
        <is>
          <t>501-750 hrs</t>
        </is>
      </c>
      <c r="C133" s="32">
        <f>WORKDAY(D132,1)</f>
        <v/>
      </c>
      <c r="D133" s="32">
        <f>WORKDAY(C133,23)</f>
        <v/>
      </c>
    </row>
    <row r="134">
      <c r="A134" s="8" t="inlineStr">
        <is>
          <t>Inspection</t>
        </is>
      </c>
      <c r="B134" s="25" t="inlineStr">
        <is>
          <t>Endurance Inspection</t>
        </is>
      </c>
      <c r="C134" s="32">
        <f>WORKDAY(D133,1)</f>
        <v/>
      </c>
      <c r="D134" s="32">
        <f>WORKDAY(C134,3)</f>
        <v/>
      </c>
    </row>
    <row r="135">
      <c r="A135" s="8" t="inlineStr">
        <is>
          <t>Endurance #4</t>
        </is>
      </c>
      <c r="B135" s="25" t="inlineStr">
        <is>
          <t>751-1000 hrs</t>
        </is>
      </c>
      <c r="C135" s="32">
        <f>WORKDAY(D134,1)</f>
        <v/>
      </c>
      <c r="D135" s="32">
        <f>WORKDAY(C135,23)</f>
        <v/>
      </c>
    </row>
    <row customHeight="1" ht="16" r="136" thickBot="1">
      <c r="A136" s="8" t="inlineStr">
        <is>
          <t>Inspection</t>
        </is>
      </c>
      <c r="B136" s="25" t="inlineStr">
        <is>
          <t>Endurance Inspection</t>
        </is>
      </c>
      <c r="C136" s="32">
        <f>WORKDAY(D135,1)</f>
        <v/>
      </c>
      <c r="D136" s="32">
        <f>WORKDAY(C136,3)</f>
        <v/>
      </c>
    </row>
    <row customHeight="1" ht="20" r="137">
      <c r="A137" s="27" t="n"/>
      <c r="B137" s="59" t="inlineStr">
        <is>
          <t>PPG 966GC Stage V Pilot #1 (SN)</t>
        </is>
      </c>
      <c r="C137" s="60">
        <f>MIN(C138:C157)</f>
        <v/>
      </c>
      <c r="D137" s="61">
        <f>MAX(D138:D157)</f>
        <v/>
      </c>
    </row>
    <row r="138">
      <c r="A138" s="8" t="inlineStr">
        <is>
          <t>Machine Build</t>
        </is>
      </c>
      <c r="B138" s="43" t="inlineStr">
        <is>
          <t>Machine Build</t>
        </is>
      </c>
      <c r="C138" s="32" t="n">
        <v>44228</v>
      </c>
      <c r="D138" s="33">
        <f>C138+9</f>
        <v/>
      </c>
    </row>
    <row r="139">
      <c r="A139" s="8" t="inlineStr">
        <is>
          <t xml:space="preserve">Holiday </t>
        </is>
      </c>
      <c r="B139" s="56" t="inlineStr">
        <is>
          <t>China New Year</t>
        </is>
      </c>
      <c r="C139" s="32" t="n">
        <v>44238</v>
      </c>
      <c r="D139" s="33">
        <f>C139+7</f>
        <v/>
      </c>
    </row>
    <row r="140">
      <c r="A140" s="8" t="inlineStr">
        <is>
          <t>Machine Build</t>
        </is>
      </c>
      <c r="B140" s="43" t="inlineStr">
        <is>
          <t>Machine Build</t>
        </is>
      </c>
      <c r="C140" s="32">
        <f>WORKDAY(D139,1)</f>
        <v/>
      </c>
      <c r="D140" s="33">
        <f>WORKDAY(C140,10)</f>
        <v/>
      </c>
    </row>
    <row r="141">
      <c r="A141" s="8" t="inlineStr">
        <is>
          <t>Machine Ship</t>
        </is>
      </c>
      <c r="B141" s="43" t="inlineStr">
        <is>
          <t>Machine Ship</t>
        </is>
      </c>
      <c r="C141" s="32">
        <f>D140+5</f>
        <v/>
      </c>
      <c r="D141" s="33">
        <f>C141+50</f>
        <v/>
      </c>
    </row>
    <row r="142">
      <c r="A142" s="8" t="inlineStr">
        <is>
          <t>Machine Check</t>
        </is>
      </c>
      <c r="B142" s="43" t="inlineStr">
        <is>
          <t>Machine Checkout STP-64</t>
        </is>
      </c>
      <c r="C142" s="32">
        <f>WORKDAY(D141,18)</f>
        <v/>
      </c>
      <c r="D142" s="33">
        <f>WORKDAY(C142,4)</f>
        <v/>
      </c>
    </row>
    <row r="143">
      <c r="A143" s="74" t="inlineStr">
        <is>
          <t>SW</t>
        </is>
      </c>
      <c r="B143" s="43" t="inlineStr">
        <is>
          <t>SW Checkout # Pilot V01</t>
        </is>
      </c>
      <c r="C143" s="32">
        <f>WORKDAY(D142,1)</f>
        <v/>
      </c>
      <c r="D143" s="33">
        <f>WORKDAY(C143,1)</f>
        <v/>
      </c>
    </row>
    <row r="144">
      <c r="A144" s="74" t="inlineStr">
        <is>
          <t>Engine</t>
        </is>
      </c>
      <c r="B144" s="43" t="inlineStr">
        <is>
          <t>C9.3B Stage V Engine Performance</t>
        </is>
      </c>
      <c r="C144" s="32">
        <f>WORKDAY(D143,1)</f>
        <v/>
      </c>
      <c r="D144" s="33">
        <f>WORKDAY(C144,1)</f>
        <v/>
      </c>
    </row>
    <row r="145">
      <c r="A145" s="74" t="inlineStr">
        <is>
          <t>Performance</t>
        </is>
      </c>
      <c r="B145" s="43" t="inlineStr">
        <is>
          <t>L5 Performance Check</t>
        </is>
      </c>
      <c r="C145" s="32">
        <f>WORKDAY(D144,1)</f>
        <v/>
      </c>
      <c r="D145" s="33">
        <f>WORKDAY(C145,3)</f>
        <v/>
      </c>
    </row>
    <row r="146">
      <c r="A146" s="74" t="inlineStr">
        <is>
          <t>Endurance #1</t>
        </is>
      </c>
      <c r="B146" s="43" t="inlineStr">
        <is>
          <t>Machine Endurance- 100 hrs</t>
        </is>
      </c>
      <c r="C146" s="32">
        <f>WORKDAY(D145,1)</f>
        <v/>
      </c>
      <c r="D146" s="33">
        <f>WORKDAY(C146,4)</f>
        <v/>
      </c>
    </row>
    <row r="147">
      <c r="A147" s="74" t="inlineStr">
        <is>
          <t>NVH</t>
        </is>
      </c>
      <c r="B147" s="43" t="inlineStr">
        <is>
          <t>Stg V Alarm, FWD Horn, HAWB CERT</t>
        </is>
      </c>
      <c r="C147" s="32">
        <f>WORKDAY(D146,1)</f>
        <v/>
      </c>
      <c r="D147" s="33">
        <f>WORKDAY(C147,1)</f>
        <v/>
      </c>
    </row>
    <row r="148">
      <c r="A148" s="8" t="inlineStr">
        <is>
          <t>Endurance #1</t>
        </is>
      </c>
      <c r="B148" s="31" t="inlineStr">
        <is>
          <t>Endurance 0-250 hrs+ Service/Inspect</t>
        </is>
      </c>
      <c r="C148" s="10">
        <f>D170+1</f>
        <v/>
      </c>
      <c r="D148" s="11">
        <f>C148+14</f>
        <v/>
      </c>
    </row>
    <row r="149">
      <c r="A149" s="8" t="inlineStr">
        <is>
          <t>Endurance #2</t>
        </is>
      </c>
      <c r="B149" s="31" t="inlineStr">
        <is>
          <t>Endurance 251-500 hrs+ Service/Inspect</t>
        </is>
      </c>
      <c r="C149" s="10">
        <f>D148+1</f>
        <v/>
      </c>
      <c r="D149" s="11">
        <f>C149+14</f>
        <v/>
      </c>
    </row>
    <row r="150">
      <c r="A150" s="8" t="inlineStr">
        <is>
          <t>Endurance #3</t>
        </is>
      </c>
      <c r="B150" s="31" t="inlineStr">
        <is>
          <t>Endurance 501-750 hrs+ Service/Inspect</t>
        </is>
      </c>
      <c r="C150" s="10">
        <f>D149+1</f>
        <v/>
      </c>
      <c r="D150" s="11">
        <f>C150+14</f>
        <v/>
      </c>
    </row>
    <row r="151">
      <c r="A151" s="8" t="inlineStr">
        <is>
          <t>Endurance #4</t>
        </is>
      </c>
      <c r="B151" s="31" t="inlineStr">
        <is>
          <t>Endurance 751-1000 hrs+ Service/Inspect</t>
        </is>
      </c>
      <c r="C151" s="10">
        <f>D150+1</f>
        <v/>
      </c>
      <c r="D151" s="11">
        <f>C151+14</f>
        <v/>
      </c>
    </row>
    <row r="152">
      <c r="A152" s="8" t="inlineStr">
        <is>
          <t>Endurance #5</t>
        </is>
      </c>
      <c r="B152" s="31" t="inlineStr">
        <is>
          <t>Endurance 1001-1250 hrs+ Service/Inspect</t>
        </is>
      </c>
      <c r="C152" s="10">
        <f>D151+1</f>
        <v/>
      </c>
      <c r="D152" s="11">
        <f>C152+14</f>
        <v/>
      </c>
    </row>
    <row r="153">
      <c r="A153" s="8" t="inlineStr">
        <is>
          <t>Endurance #6</t>
        </is>
      </c>
      <c r="B153" s="31" t="inlineStr">
        <is>
          <t>Endurance 1251-1500 hrs+ Service/Inspect</t>
        </is>
      </c>
      <c r="C153" s="10">
        <f>D152+1</f>
        <v/>
      </c>
      <c r="D153" s="11">
        <f>C153+14</f>
        <v/>
      </c>
    </row>
    <row r="154">
      <c r="A154" s="8" t="inlineStr">
        <is>
          <t>Endurance #7</t>
        </is>
      </c>
      <c r="B154" s="31" t="inlineStr">
        <is>
          <t>Endurance 1501-1750 hrs+ Service/Inspect</t>
        </is>
      </c>
      <c r="C154" s="10">
        <f>D153+1</f>
        <v/>
      </c>
      <c r="D154" s="11">
        <f>C154+14</f>
        <v/>
      </c>
    </row>
    <row r="155">
      <c r="A155" s="8" t="inlineStr">
        <is>
          <t>Endurance #8</t>
        </is>
      </c>
      <c r="B155" s="31" t="inlineStr">
        <is>
          <t>Endurance 1750-2000 hrs+ Service/Inspect</t>
        </is>
      </c>
      <c r="C155" s="10">
        <f>D154+1</f>
        <v/>
      </c>
      <c r="D155" s="11">
        <f>C155+14</f>
        <v/>
      </c>
    </row>
    <row r="156">
      <c r="A156" s="8" t="inlineStr">
        <is>
          <t>Inspection</t>
        </is>
      </c>
      <c r="B156" s="31" t="inlineStr">
        <is>
          <t>Full Inspection</t>
        </is>
      </c>
      <c r="C156" s="10">
        <f>D155+1</f>
        <v/>
      </c>
      <c r="D156" s="44">
        <f>C156+15</f>
        <v/>
      </c>
    </row>
    <row r="157">
      <c r="A157" s="34" t="inlineStr">
        <is>
          <t>Performance</t>
        </is>
      </c>
      <c r="B157" s="56" t="inlineStr">
        <is>
          <t>Productivity</t>
        </is>
      </c>
      <c r="C157" s="32">
        <f>D156+1</f>
        <v/>
      </c>
      <c r="D157" s="33">
        <f>C157+14</f>
        <v/>
      </c>
    </row>
    <row customHeight="1" ht="20" r="158">
      <c r="A158" s="27" t="n"/>
      <c r="B158" s="62" t="inlineStr">
        <is>
          <t>QPG 966GC CNR4/ Stg V Pilot #2 (SN)</t>
        </is>
      </c>
      <c r="C158" s="63">
        <f>MIN(C159:C178)</f>
        <v/>
      </c>
      <c r="D158" s="64">
        <f>MAX(D159:D178)</f>
        <v/>
      </c>
    </row>
    <row r="159">
      <c r="A159" s="8" t="inlineStr">
        <is>
          <t>Machine Build</t>
        </is>
      </c>
      <c r="B159" s="25" t="inlineStr">
        <is>
          <t>Machine Build</t>
        </is>
      </c>
      <c r="C159" s="32" t="n">
        <v>44228</v>
      </c>
      <c r="D159" s="33">
        <f>C159+9</f>
        <v/>
      </c>
    </row>
    <row r="160">
      <c r="A160" s="8" t="inlineStr">
        <is>
          <t>Machine Check</t>
        </is>
      </c>
      <c r="B160" s="56" t="inlineStr">
        <is>
          <t>China New Year</t>
        </is>
      </c>
      <c r="C160" s="32" t="n">
        <v>44238</v>
      </c>
      <c r="D160" s="33">
        <f>C160+7</f>
        <v/>
      </c>
    </row>
    <row r="161">
      <c r="A161" s="8" t="inlineStr">
        <is>
          <t>Machine Build</t>
        </is>
      </c>
      <c r="B161" s="43" t="inlineStr">
        <is>
          <t>Machine Build</t>
        </is>
      </c>
      <c r="C161" s="32">
        <f>WORKDAY(D160,1)</f>
        <v/>
      </c>
      <c r="D161" s="33">
        <f>WORKDAY(C161,10)</f>
        <v/>
      </c>
    </row>
    <row r="162">
      <c r="A162" s="8" t="inlineStr">
        <is>
          <t>Machine Ship</t>
        </is>
      </c>
      <c r="B162" s="25" t="inlineStr">
        <is>
          <t>Machine Checkout STP-64</t>
        </is>
      </c>
      <c r="C162" s="32">
        <f>WORKDAY(D160,25)</f>
        <v/>
      </c>
      <c r="D162" s="33">
        <f>WORKDAY(C162,12)</f>
        <v/>
      </c>
    </row>
    <row r="163">
      <c r="A163" s="34" t="inlineStr">
        <is>
          <t>Audit</t>
        </is>
      </c>
      <c r="B163" s="56" t="inlineStr">
        <is>
          <t>Safety/Serviceability audit</t>
        </is>
      </c>
      <c r="C163" s="32">
        <f>WORKDAY(D162,1)</f>
        <v/>
      </c>
      <c r="D163" s="32">
        <f>WORKDAY(C163,0)</f>
        <v/>
      </c>
    </row>
    <row r="164">
      <c r="A164" s="8" t="inlineStr">
        <is>
          <t>SW</t>
        </is>
      </c>
      <c r="B164" s="25" t="inlineStr">
        <is>
          <t>SW Checkout # 1</t>
        </is>
      </c>
      <c r="C164" s="10">
        <f>D163+1</f>
        <v/>
      </c>
      <c r="D164" s="32">
        <f>WORKDAY(C164,7)</f>
        <v/>
      </c>
    </row>
    <row r="165">
      <c r="A165" s="78" t="inlineStr">
        <is>
          <t>Safety</t>
        </is>
      </c>
      <c r="B165" s="65" t="inlineStr">
        <is>
          <t>MLIT Practice &amp; Witness</t>
        </is>
      </c>
      <c r="C165" s="32">
        <f>WORKDAY(D164,1)</f>
        <v/>
      </c>
      <c r="D165" s="33">
        <f>WORKDAY(C165,25)</f>
        <v/>
      </c>
    </row>
    <row r="166">
      <c r="A166" s="8" t="inlineStr">
        <is>
          <t>NVH</t>
        </is>
      </c>
      <c r="B166" s="25" t="inlineStr">
        <is>
          <t>Sound Test</t>
        </is>
      </c>
      <c r="C166" s="10">
        <f>D165+1</f>
        <v/>
      </c>
      <c r="D166" s="33">
        <f>WORKDAY(C166,3)</f>
        <v/>
      </c>
    </row>
    <row r="167">
      <c r="A167" s="8" t="inlineStr">
        <is>
          <t>Safety</t>
        </is>
      </c>
      <c r="B167" s="25" t="inlineStr">
        <is>
          <t>ISO 3450- Brake CERT</t>
        </is>
      </c>
      <c r="C167" s="32">
        <f>WORKDAY(D166,1)</f>
        <v/>
      </c>
      <c r="D167" s="33">
        <f>WORKDAY(C167,15)</f>
        <v/>
      </c>
    </row>
    <row r="168">
      <c r="A168" s="8" t="inlineStr">
        <is>
          <t>Safety</t>
        </is>
      </c>
      <c r="B168" s="25" t="inlineStr">
        <is>
          <t>ISO 5010- Steering CERT</t>
        </is>
      </c>
      <c r="C168" s="32">
        <f>WORKDAY(D167,1)</f>
        <v/>
      </c>
      <c r="D168" s="33">
        <f>WORKDAY(C168,13)</f>
        <v/>
      </c>
    </row>
    <row r="169">
      <c r="A169" s="78" t="inlineStr">
        <is>
          <t>Safety</t>
        </is>
      </c>
      <c r="B169" s="65" t="inlineStr">
        <is>
          <t>ISO 10570-Articulation Lock CERT</t>
        </is>
      </c>
      <c r="C169" s="32">
        <f>WORKDAY(D168,1)</f>
        <v/>
      </c>
      <c r="D169" s="33">
        <f>WORKDAY(C169,6)</f>
        <v/>
      </c>
    </row>
    <row r="170">
      <c r="A170" s="74" t="inlineStr">
        <is>
          <t>Safety</t>
        </is>
      </c>
      <c r="B170" s="31" t="inlineStr">
        <is>
          <t>Stage V EMC Test CERT</t>
        </is>
      </c>
      <c r="C170" s="32">
        <f>WORKDAY(D169,1)</f>
        <v/>
      </c>
      <c r="D170" s="11">
        <f>C170+6</f>
        <v/>
      </c>
    </row>
    <row r="171">
      <c r="A171" s="8" t="inlineStr">
        <is>
          <t>Endurance #1</t>
        </is>
      </c>
      <c r="B171" s="25" t="inlineStr">
        <is>
          <t>0-250 hrs</t>
        </is>
      </c>
      <c r="C171" s="32">
        <f>WORKDAY(D170,1)</f>
        <v/>
      </c>
      <c r="D171" s="32">
        <f>WORKDAY(C171,23)</f>
        <v/>
      </c>
    </row>
    <row r="172">
      <c r="A172" s="8" t="inlineStr">
        <is>
          <t>Inspection</t>
        </is>
      </c>
      <c r="B172" s="25" t="inlineStr">
        <is>
          <t>Endurance Inspection</t>
        </is>
      </c>
      <c r="C172" s="32">
        <f>WORKDAY(D171,1)</f>
        <v/>
      </c>
      <c r="D172" s="32">
        <f>WORKDAY(C172,3)</f>
        <v/>
      </c>
    </row>
    <row r="173">
      <c r="A173" s="8" t="inlineStr">
        <is>
          <t>Endurance #2</t>
        </is>
      </c>
      <c r="B173" s="25" t="inlineStr">
        <is>
          <t>251-500 hrs</t>
        </is>
      </c>
      <c r="C173" s="32">
        <f>WORKDAY(D172,1)</f>
        <v/>
      </c>
      <c r="D173" s="32">
        <f>WORKDAY(C173,23)</f>
        <v/>
      </c>
    </row>
    <row r="174">
      <c r="A174" s="8" t="inlineStr">
        <is>
          <t>Inspection</t>
        </is>
      </c>
      <c r="B174" s="25" t="inlineStr">
        <is>
          <t>Endurance Inspection</t>
        </is>
      </c>
      <c r="C174" s="32">
        <f>WORKDAY(D173,1)</f>
        <v/>
      </c>
      <c r="D174" s="32">
        <f>WORKDAY(C174,3)</f>
        <v/>
      </c>
    </row>
    <row r="175">
      <c r="A175" s="8" t="inlineStr">
        <is>
          <t>Endurance #3</t>
        </is>
      </c>
      <c r="B175" s="25" t="inlineStr">
        <is>
          <t>501-750 hrs</t>
        </is>
      </c>
      <c r="C175" s="32">
        <f>WORKDAY(D174,1)</f>
        <v/>
      </c>
      <c r="D175" s="32">
        <f>WORKDAY(C175,23)</f>
        <v/>
      </c>
    </row>
    <row r="176">
      <c r="A176" s="8" t="inlineStr">
        <is>
          <t>Inspection</t>
        </is>
      </c>
      <c r="B176" s="25" t="inlineStr">
        <is>
          <t>Endurance Inspection</t>
        </is>
      </c>
      <c r="C176" s="32">
        <f>WORKDAY(D175,1)</f>
        <v/>
      </c>
      <c r="D176" s="32">
        <f>WORKDAY(C176,3)</f>
        <v/>
      </c>
    </row>
    <row r="177">
      <c r="A177" s="8" t="inlineStr">
        <is>
          <t>Endurance #4</t>
        </is>
      </c>
      <c r="B177" s="25" t="inlineStr">
        <is>
          <t>751-1000 hrs</t>
        </is>
      </c>
      <c r="C177" s="32">
        <f>WORKDAY(D176,1)</f>
        <v/>
      </c>
      <c r="D177" s="32">
        <f>WORKDAY(C177,23)</f>
        <v/>
      </c>
    </row>
    <row r="178">
      <c r="A178" s="8" t="inlineStr">
        <is>
          <t>Inspection</t>
        </is>
      </c>
      <c r="B178" s="25" t="inlineStr">
        <is>
          <t>Endurance Inspection</t>
        </is>
      </c>
      <c r="C178" s="32">
        <f>WORKDAY(D177,1)</f>
        <v/>
      </c>
      <c r="D178" s="32">
        <f>WORKDAY(C178,15)</f>
        <v/>
      </c>
    </row>
    <row customHeight="1" ht="20" r="179">
      <c r="A179" s="79" t="n"/>
      <c r="B179" s="66" t="inlineStr">
        <is>
          <t>QPG 966GC Pre-Production</t>
        </is>
      </c>
      <c r="C179" s="67">
        <f>MIN(C180:C180)</f>
        <v/>
      </c>
      <c r="D179" s="67">
        <f>MAX(D180:D180)</f>
        <v/>
      </c>
    </row>
    <row r="180">
      <c r="A180" s="70" t="inlineStr">
        <is>
          <t>Safety</t>
        </is>
      </c>
      <c r="B180" s="31" t="inlineStr">
        <is>
          <t xml:space="preserve">MLIT Witness </t>
        </is>
      </c>
      <c r="C180" s="32" t="n">
        <v>44713</v>
      </c>
      <c r="D180" s="32">
        <f>WORKDAY(C180,9)</f>
        <v/>
      </c>
    </row>
  </sheetData>
  <pageMargins bottom="0.75" footer="0.3" header="0.3" left="0.7" right="0.7" top="0.75"/>
  <pageSetup orientation="portrait"/>
  <headerFooter>
    <oddHeader/>
    <oddFooter>&amp;L&amp;"Calibri"&amp;10 &amp;K737373#Caterpillar: Confidential Green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N15"/>
  <sheetViews>
    <sheetView workbookViewId="0">
      <selection activeCell="A1" sqref="A1"/>
    </sheetView>
  </sheetViews>
  <sheetFormatPr baseColWidth="8" defaultRowHeight="15"/>
  <cols>
    <col customWidth="1" max="1" min="1" width="41"/>
    <col customWidth="1" max="2" min="2" width="54"/>
  </cols>
  <sheetData>
    <row customHeight="1" ht="50" r="1">
      <c r="A1" s="80" t="inlineStr">
        <is>
          <t>Machine S/N</t>
        </is>
      </c>
      <c r="B1" s="80" t="inlineStr">
        <is>
          <t>Phase</t>
        </is>
      </c>
      <c r="C1" s="81" t="inlineStr">
        <is>
          <t>11/4/2019</t>
        </is>
      </c>
      <c r="D1" s="82" t="n"/>
      <c r="E1" s="82" t="n"/>
      <c r="F1" s="82" t="n"/>
      <c r="G1" s="82" t="n"/>
      <c r="H1" s="82" t="n"/>
      <c r="I1" s="83" t="n"/>
      <c r="J1" s="81" t="inlineStr">
        <is>
          <t>11/11/2019</t>
        </is>
      </c>
      <c r="K1" s="82" t="n"/>
      <c r="L1" s="82" t="n"/>
      <c r="M1" s="82" t="n"/>
      <c r="N1" s="82" t="n"/>
      <c r="O1" s="82" t="n"/>
      <c r="P1" s="83" t="n"/>
      <c r="Q1" s="81" t="inlineStr">
        <is>
          <t>11/18/2019</t>
        </is>
      </c>
      <c r="R1" s="82" t="n"/>
      <c r="S1" s="82" t="n"/>
      <c r="T1" s="82" t="n"/>
      <c r="U1" s="82" t="n"/>
      <c r="V1" s="82" t="n"/>
      <c r="W1" s="83" t="n"/>
      <c r="X1" s="81" t="inlineStr">
        <is>
          <t>11/25/2019</t>
        </is>
      </c>
      <c r="Y1" s="82" t="n"/>
      <c r="Z1" s="82" t="n"/>
      <c r="AA1" s="82" t="n"/>
      <c r="AB1" s="82" t="n"/>
      <c r="AC1" s="82" t="n"/>
      <c r="AD1" s="83" t="n"/>
      <c r="AE1" s="81" t="inlineStr">
        <is>
          <t>12/2/2019</t>
        </is>
      </c>
      <c r="AF1" s="82" t="n"/>
      <c r="AG1" s="82" t="n"/>
      <c r="AH1" s="82" t="n"/>
      <c r="AI1" s="82" t="n"/>
      <c r="AJ1" s="82" t="n"/>
      <c r="AK1" s="83" t="n"/>
      <c r="AL1" s="81" t="inlineStr">
        <is>
          <t>12/9/2019</t>
        </is>
      </c>
      <c r="AM1" s="82" t="n"/>
      <c r="AN1" s="82" t="n"/>
      <c r="AO1" s="82" t="n"/>
      <c r="AP1" s="82" t="n"/>
      <c r="AQ1" s="82" t="n"/>
      <c r="AR1" s="83" t="n"/>
      <c r="AS1" s="81" t="inlineStr">
        <is>
          <t>12/16/2019</t>
        </is>
      </c>
      <c r="AT1" s="82" t="n"/>
      <c r="AU1" s="82" t="n"/>
      <c r="AV1" s="82" t="n"/>
      <c r="AW1" s="82" t="n"/>
      <c r="AX1" s="82" t="n"/>
      <c r="AY1" s="83" t="n"/>
      <c r="AZ1" s="81" t="inlineStr">
        <is>
          <t>12/23/2019</t>
        </is>
      </c>
      <c r="BA1" s="82" t="n"/>
      <c r="BB1" s="82" t="n"/>
      <c r="BC1" s="82" t="n"/>
      <c r="BD1" s="82" t="n"/>
      <c r="BE1" s="82" t="n"/>
      <c r="BF1" s="83" t="n"/>
      <c r="BG1" s="81" t="inlineStr">
        <is>
          <t>12/30/2019</t>
        </is>
      </c>
      <c r="BH1" s="82" t="n"/>
      <c r="BI1" s="82" t="n"/>
      <c r="BJ1" s="82" t="n"/>
      <c r="BK1" s="82" t="n"/>
      <c r="BL1" s="82" t="n"/>
      <c r="BM1" s="83" t="n"/>
      <c r="BN1" s="81" t="inlineStr">
        <is>
          <t>1/6/2020</t>
        </is>
      </c>
      <c r="BO1" s="82" t="n"/>
      <c r="BP1" s="82" t="n"/>
      <c r="BQ1" s="82" t="n"/>
      <c r="BR1" s="82" t="n"/>
      <c r="BS1" s="82" t="n"/>
      <c r="BT1" s="83" t="n"/>
      <c r="BU1" s="81" t="inlineStr">
        <is>
          <t>1/13/2020</t>
        </is>
      </c>
      <c r="BV1" s="82" t="n"/>
      <c r="BW1" s="82" t="n"/>
      <c r="BX1" s="82" t="n"/>
      <c r="BY1" s="82" t="n"/>
      <c r="BZ1" s="82" t="n"/>
      <c r="CA1" s="83" t="n"/>
      <c r="CB1" s="81" t="inlineStr">
        <is>
          <t>1/20/2020</t>
        </is>
      </c>
      <c r="CC1" s="82" t="n"/>
      <c r="CD1" s="82" t="n"/>
      <c r="CE1" s="82" t="n"/>
      <c r="CF1" s="82" t="n"/>
      <c r="CG1" s="82" t="n"/>
      <c r="CH1" s="83" t="n"/>
      <c r="CI1" s="81" t="inlineStr">
        <is>
          <t>1/27/2020</t>
        </is>
      </c>
      <c r="CJ1" s="82" t="n"/>
      <c r="CK1" s="82" t="n"/>
      <c r="CL1" s="82" t="n"/>
      <c r="CM1" s="82" t="n"/>
      <c r="CN1" s="82" t="n"/>
      <c r="CO1" s="83" t="n"/>
      <c r="CP1" s="81" t="inlineStr">
        <is>
          <t>2/3/2020</t>
        </is>
      </c>
      <c r="CQ1" s="82" t="n"/>
      <c r="CR1" s="82" t="n"/>
      <c r="CS1" s="82" t="n"/>
      <c r="CT1" s="82" t="n"/>
      <c r="CU1" s="82" t="n"/>
      <c r="CV1" s="83" t="n"/>
      <c r="CW1" s="81" t="inlineStr">
        <is>
          <t>2/10/2020</t>
        </is>
      </c>
      <c r="CX1" s="82" t="n"/>
      <c r="CY1" s="82" t="n"/>
      <c r="CZ1" s="82" t="n"/>
      <c r="DA1" s="82" t="n"/>
      <c r="DB1" s="82" t="n"/>
      <c r="DC1" s="83" t="n"/>
      <c r="DD1" s="81" t="inlineStr">
        <is>
          <t>2/17/2020</t>
        </is>
      </c>
      <c r="DE1" s="82" t="n"/>
      <c r="DF1" s="82" t="n"/>
      <c r="DG1" s="82" t="n"/>
      <c r="DH1" s="82" t="n"/>
      <c r="DI1" s="82" t="n"/>
      <c r="DJ1" s="83" t="n"/>
      <c r="DK1" s="81" t="inlineStr">
        <is>
          <t>2/24/2020</t>
        </is>
      </c>
      <c r="DL1" s="82" t="n"/>
      <c r="DM1" s="82" t="n"/>
      <c r="DN1" s="82" t="n"/>
      <c r="DO1" s="82" t="n"/>
      <c r="DP1" s="82" t="n"/>
      <c r="DQ1" s="83" t="n"/>
      <c r="DR1" s="81" t="inlineStr">
        <is>
          <t>3/2/2020</t>
        </is>
      </c>
      <c r="DS1" s="82" t="n"/>
      <c r="DT1" s="82" t="n"/>
      <c r="DU1" s="82" t="n"/>
      <c r="DV1" s="82" t="n"/>
      <c r="DW1" s="82" t="n"/>
      <c r="DX1" s="83" t="n"/>
      <c r="DY1" s="81" t="inlineStr">
        <is>
          <t>3/9/2020</t>
        </is>
      </c>
      <c r="DZ1" s="82" t="n"/>
      <c r="EA1" s="82" t="n"/>
      <c r="EB1" s="82" t="n"/>
      <c r="EC1" s="82" t="n"/>
      <c r="ED1" s="82" t="n"/>
      <c r="EE1" s="83" t="n"/>
      <c r="EF1" s="81" t="inlineStr">
        <is>
          <t>3/16/2020</t>
        </is>
      </c>
      <c r="EG1" s="82" t="n"/>
      <c r="EH1" s="82" t="n"/>
      <c r="EI1" s="82" t="n"/>
      <c r="EJ1" s="82" t="n"/>
      <c r="EK1" s="82" t="n"/>
      <c r="EL1" s="83" t="n"/>
      <c r="EM1" s="81" t="inlineStr">
        <is>
          <t>3/23/2020</t>
        </is>
      </c>
      <c r="EN1" s="82" t="n"/>
      <c r="EO1" s="82" t="n"/>
      <c r="EP1" s="82" t="n"/>
      <c r="EQ1" s="82" t="n"/>
      <c r="ER1" s="82" t="n"/>
      <c r="ES1" s="83" t="n"/>
      <c r="ET1" s="81" t="inlineStr">
        <is>
          <t>3/30/2020</t>
        </is>
      </c>
      <c r="EU1" s="82" t="n"/>
      <c r="EV1" s="82" t="n"/>
      <c r="EW1" s="82" t="n"/>
      <c r="EX1" s="82" t="n"/>
      <c r="EY1" s="82" t="n"/>
      <c r="EZ1" s="83" t="n"/>
      <c r="FA1" s="81" t="inlineStr">
        <is>
          <t>4/6/2020</t>
        </is>
      </c>
      <c r="FB1" s="82" t="n"/>
      <c r="FC1" s="82" t="n"/>
      <c r="FD1" s="82" t="n"/>
      <c r="FE1" s="82" t="n"/>
      <c r="FF1" s="82" t="n"/>
      <c r="FG1" s="83" t="n"/>
      <c r="FH1" s="81" t="inlineStr">
        <is>
          <t>4/13/2020</t>
        </is>
      </c>
      <c r="FI1" s="82" t="n"/>
      <c r="FJ1" s="82" t="n"/>
      <c r="FK1" s="82" t="n"/>
      <c r="FL1" s="82" t="n"/>
      <c r="FM1" s="82" t="n"/>
      <c r="FN1" s="83" t="n"/>
      <c r="FO1" s="81" t="inlineStr">
        <is>
          <t>4/20/2020</t>
        </is>
      </c>
      <c r="FP1" s="82" t="n"/>
      <c r="FQ1" s="82" t="n"/>
      <c r="FR1" s="82" t="n"/>
      <c r="FS1" s="82" t="n"/>
      <c r="FT1" s="82" t="n"/>
      <c r="FU1" s="83" t="n"/>
      <c r="FV1" s="81" t="inlineStr">
        <is>
          <t>4/27/2020</t>
        </is>
      </c>
      <c r="FW1" s="82" t="n"/>
      <c r="FX1" s="82" t="n"/>
      <c r="FY1" s="82" t="n"/>
      <c r="FZ1" s="82" t="n"/>
      <c r="GA1" s="82" t="n"/>
      <c r="GB1" s="83" t="n"/>
      <c r="GC1" s="81" t="inlineStr">
        <is>
          <t>5/4/2020</t>
        </is>
      </c>
      <c r="GD1" s="82" t="n"/>
      <c r="GE1" s="82" t="n"/>
      <c r="GF1" s="82" t="n"/>
      <c r="GG1" s="82" t="n"/>
      <c r="GH1" s="82" t="n"/>
      <c r="GI1" s="83" t="n"/>
      <c r="GJ1" s="81" t="inlineStr">
        <is>
          <t>5/11/2020</t>
        </is>
      </c>
      <c r="GK1" s="82" t="n"/>
      <c r="GL1" s="82" t="n"/>
      <c r="GM1" s="82" t="n"/>
      <c r="GN1" s="82" t="n"/>
      <c r="GO1" s="82" t="n"/>
      <c r="GP1" s="83" t="n"/>
      <c r="GQ1" s="81" t="inlineStr">
        <is>
          <t>5/18/2020</t>
        </is>
      </c>
      <c r="GR1" s="82" t="n"/>
      <c r="GS1" s="82" t="n"/>
      <c r="GT1" s="82" t="n"/>
      <c r="GU1" s="82" t="n"/>
      <c r="GV1" s="82" t="n"/>
      <c r="GW1" s="83" t="n"/>
      <c r="GX1" s="81" t="inlineStr">
        <is>
          <t>5/25/2020</t>
        </is>
      </c>
      <c r="GY1" s="82" t="n"/>
      <c r="GZ1" s="82" t="n"/>
      <c r="HA1" s="82" t="n"/>
      <c r="HB1" s="82" t="n"/>
      <c r="HC1" s="82" t="n"/>
      <c r="HD1" s="83" t="n"/>
      <c r="HE1" s="81" t="inlineStr">
        <is>
          <t>6/1/2020</t>
        </is>
      </c>
      <c r="HF1" s="82" t="n"/>
      <c r="HG1" s="82" t="n"/>
      <c r="HH1" s="82" t="n"/>
      <c r="HI1" s="82" t="n"/>
      <c r="HJ1" s="82" t="n"/>
      <c r="HK1" s="83" t="n"/>
      <c r="HL1" s="81" t="inlineStr">
        <is>
          <t>6/8/2020</t>
        </is>
      </c>
      <c r="HM1" s="82" t="n"/>
      <c r="HN1" s="82" t="n"/>
      <c r="HO1" s="82" t="n"/>
      <c r="HP1" s="82" t="n"/>
      <c r="HQ1" s="82" t="n"/>
      <c r="HR1" s="83" t="n"/>
      <c r="HS1" s="81" t="inlineStr">
        <is>
          <t>6/15/2020</t>
        </is>
      </c>
      <c r="HT1" s="82" t="n"/>
      <c r="HU1" s="82" t="n"/>
      <c r="HV1" s="82" t="n"/>
      <c r="HW1" s="82" t="n"/>
      <c r="HX1" s="82" t="n"/>
      <c r="HY1" s="83" t="n"/>
      <c r="HZ1" s="81" t="inlineStr">
        <is>
          <t>6/22/2020</t>
        </is>
      </c>
      <c r="IA1" s="82" t="n"/>
      <c r="IB1" s="82" t="n"/>
      <c r="IC1" s="82" t="n"/>
      <c r="ID1" s="82" t="n"/>
      <c r="IE1" s="82" t="n"/>
      <c r="IF1" s="83" t="n"/>
      <c r="IG1" s="81" t="inlineStr">
        <is>
          <t>6/29/2020</t>
        </is>
      </c>
      <c r="IH1" s="82" t="n"/>
      <c r="II1" s="82" t="n"/>
      <c r="IJ1" s="82" t="n"/>
      <c r="IK1" s="82" t="n"/>
      <c r="IL1" s="82" t="n"/>
      <c r="IM1" s="83" t="n"/>
      <c r="IN1" s="81" t="inlineStr">
        <is>
          <t>7/6/2020</t>
        </is>
      </c>
      <c r="IO1" s="82" t="n"/>
      <c r="IP1" s="82" t="n"/>
      <c r="IQ1" s="82" t="n"/>
      <c r="IR1" s="82" t="n"/>
      <c r="IS1" s="82" t="n"/>
      <c r="IT1" s="83" t="n"/>
      <c r="IU1" s="81" t="inlineStr">
        <is>
          <t>7/13/2020</t>
        </is>
      </c>
      <c r="IV1" s="82" t="n"/>
      <c r="IW1" s="82" t="n"/>
      <c r="IX1" s="82" t="n"/>
      <c r="IY1" s="82" t="n"/>
      <c r="IZ1" s="82" t="n"/>
      <c r="JA1" s="83" t="n"/>
      <c r="JB1" s="81" t="inlineStr">
        <is>
          <t>7/20/2020</t>
        </is>
      </c>
      <c r="JC1" s="82" t="n"/>
      <c r="JD1" s="82" t="n"/>
      <c r="JE1" s="82" t="n"/>
      <c r="JF1" s="82" t="n"/>
      <c r="JG1" s="82" t="n"/>
      <c r="JH1" s="83" t="n"/>
      <c r="JI1" s="81" t="inlineStr">
        <is>
          <t>7/27/2020</t>
        </is>
      </c>
      <c r="JJ1" s="82" t="n"/>
      <c r="JK1" s="82" t="n"/>
      <c r="JL1" s="82" t="n"/>
      <c r="JM1" s="82" t="n"/>
      <c r="JN1" s="82" t="n"/>
      <c r="JO1" s="83" t="n"/>
      <c r="JP1" s="81" t="inlineStr">
        <is>
          <t>8/3/2020</t>
        </is>
      </c>
      <c r="JQ1" s="82" t="n"/>
      <c r="JR1" s="82" t="n"/>
      <c r="JS1" s="82" t="n"/>
      <c r="JT1" s="82" t="n"/>
      <c r="JU1" s="82" t="n"/>
      <c r="JV1" s="83" t="n"/>
      <c r="JW1" s="81" t="inlineStr">
        <is>
          <t>8/10/2020</t>
        </is>
      </c>
      <c r="JX1" s="82" t="n"/>
      <c r="JY1" s="82" t="n"/>
      <c r="JZ1" s="82" t="n"/>
      <c r="KA1" s="82" t="n"/>
      <c r="KB1" s="82" t="n"/>
      <c r="KC1" s="83" t="n"/>
      <c r="KD1" s="81" t="inlineStr">
        <is>
          <t>8/17/2020</t>
        </is>
      </c>
      <c r="KE1" s="82" t="n"/>
      <c r="KF1" s="82" t="n"/>
      <c r="KG1" s="82" t="n"/>
      <c r="KH1" s="82" t="n"/>
      <c r="KI1" s="82" t="n"/>
      <c r="KJ1" s="83" t="n"/>
      <c r="KK1" s="81" t="inlineStr">
        <is>
          <t>8/24/2020</t>
        </is>
      </c>
      <c r="KL1" s="82" t="n"/>
      <c r="KM1" s="82" t="n"/>
      <c r="KN1" s="82" t="n"/>
      <c r="KO1" s="82" t="n"/>
      <c r="KP1" s="82" t="n"/>
      <c r="KQ1" s="83" t="n"/>
      <c r="KR1" s="81" t="inlineStr">
        <is>
          <t>8/31/2020</t>
        </is>
      </c>
      <c r="KS1" s="82" t="n"/>
      <c r="KT1" s="82" t="n"/>
      <c r="KU1" s="82" t="n"/>
      <c r="KV1" s="82" t="n"/>
      <c r="KW1" s="82" t="n"/>
      <c r="KX1" s="83" t="n"/>
      <c r="KY1" s="81" t="inlineStr">
        <is>
          <t>9/7/2020</t>
        </is>
      </c>
      <c r="KZ1" s="82" t="n"/>
      <c r="LA1" s="82" t="n"/>
      <c r="LB1" s="82" t="n"/>
      <c r="LC1" s="82" t="n"/>
      <c r="LD1" s="82" t="n"/>
      <c r="LE1" s="83" t="n"/>
      <c r="LF1" s="81" t="inlineStr">
        <is>
          <t>9/14/2020</t>
        </is>
      </c>
      <c r="LG1" s="82" t="n"/>
      <c r="LH1" s="82" t="n"/>
      <c r="LI1" s="82" t="n"/>
      <c r="LJ1" s="82" t="n"/>
      <c r="LK1" s="82" t="n"/>
      <c r="LL1" s="83" t="n"/>
      <c r="LM1" s="81" t="inlineStr">
        <is>
          <t>9/21/2020</t>
        </is>
      </c>
      <c r="LN1" s="82" t="n"/>
      <c r="LO1" s="82" t="n"/>
      <c r="LP1" s="82" t="n"/>
      <c r="LQ1" s="82" t="n"/>
      <c r="LR1" s="82" t="n"/>
      <c r="LS1" s="83" t="n"/>
      <c r="LT1" s="81" t="inlineStr">
        <is>
          <t>9/28/2020</t>
        </is>
      </c>
      <c r="LU1" s="82" t="n"/>
      <c r="LV1" s="82" t="n"/>
      <c r="LW1" s="82" t="n"/>
      <c r="LX1" s="82" t="n"/>
      <c r="LY1" s="82" t="n"/>
      <c r="LZ1" s="83" t="n"/>
      <c r="MA1" s="81" t="inlineStr">
        <is>
          <t>10/5/2020</t>
        </is>
      </c>
      <c r="MB1" s="82" t="n"/>
      <c r="MC1" s="82" t="n"/>
      <c r="MD1" s="82" t="n"/>
      <c r="ME1" s="82" t="n"/>
      <c r="MF1" s="82" t="n"/>
      <c r="MG1" s="83" t="n"/>
      <c r="MH1" s="81" t="inlineStr">
        <is>
          <t>10/12/2020</t>
        </is>
      </c>
      <c r="MI1" s="82" t="n"/>
      <c r="MJ1" s="82" t="n"/>
      <c r="MK1" s="82" t="n"/>
      <c r="ML1" s="82" t="n"/>
      <c r="MM1" s="82" t="n"/>
      <c r="MN1" s="83" t="n"/>
      <c r="MO1" s="81" t="inlineStr">
        <is>
          <t>10/19/2020</t>
        </is>
      </c>
      <c r="MP1" s="82" t="n"/>
      <c r="MQ1" s="82" t="n"/>
      <c r="MR1" s="82" t="n"/>
      <c r="MS1" s="82" t="n"/>
      <c r="MT1" s="82" t="n"/>
      <c r="MU1" s="83" t="n"/>
      <c r="MV1" s="81" t="inlineStr">
        <is>
          <t>10/26/2020</t>
        </is>
      </c>
      <c r="MW1" s="82" t="n"/>
      <c r="MX1" s="82" t="n"/>
      <c r="MY1" s="82" t="n"/>
      <c r="MZ1" s="82" t="n"/>
      <c r="NA1" s="82" t="n"/>
      <c r="NB1" s="83" t="n"/>
      <c r="NC1" s="81" t="inlineStr">
        <is>
          <t>11/2/2020</t>
        </is>
      </c>
      <c r="ND1" s="82" t="n"/>
      <c r="NE1" s="82" t="n"/>
      <c r="NF1" s="82" t="n"/>
      <c r="NG1" s="82" t="n"/>
      <c r="NH1" s="82" t="n"/>
      <c r="NI1" s="83" t="n"/>
      <c r="NJ1" s="81" t="inlineStr">
        <is>
          <t>11/9/2020</t>
        </is>
      </c>
      <c r="NK1" s="82" t="n"/>
      <c r="NL1" s="82" t="n"/>
      <c r="NM1" s="82" t="n"/>
      <c r="NN1" s="82" t="n"/>
      <c r="NO1" s="82" t="n"/>
      <c r="NP1" s="83" t="n"/>
      <c r="NQ1" s="81" t="inlineStr">
        <is>
          <t>11/16/2020</t>
        </is>
      </c>
      <c r="NR1" s="82" t="n"/>
      <c r="NS1" s="82" t="n"/>
      <c r="NT1" s="82" t="n"/>
      <c r="NU1" s="82" t="n"/>
      <c r="NV1" s="82" t="n"/>
      <c r="NW1" s="83" t="n"/>
      <c r="NX1" s="81" t="inlineStr">
        <is>
          <t>11/23/2020</t>
        </is>
      </c>
      <c r="NY1" s="82" t="n"/>
      <c r="NZ1" s="82" t="n"/>
      <c r="OA1" s="82" t="n"/>
      <c r="OB1" s="82" t="n"/>
      <c r="OC1" s="82" t="n"/>
      <c r="OD1" s="83" t="n"/>
      <c r="OE1" s="81" t="inlineStr">
        <is>
          <t>11/30/2020</t>
        </is>
      </c>
      <c r="OF1" s="82" t="n"/>
      <c r="OG1" s="82" t="n"/>
      <c r="OH1" s="82" t="n"/>
      <c r="OI1" s="82" t="n"/>
      <c r="OJ1" s="82" t="n"/>
      <c r="OK1" s="83" t="n"/>
      <c r="OL1" s="81" t="inlineStr">
        <is>
          <t>12/7/2020</t>
        </is>
      </c>
      <c r="OM1" s="82" t="n"/>
      <c r="ON1" s="82" t="n"/>
      <c r="OO1" s="82" t="n"/>
      <c r="OP1" s="82" t="n"/>
      <c r="OQ1" s="82" t="n"/>
      <c r="OR1" s="83" t="n"/>
      <c r="OS1" s="81" t="inlineStr">
        <is>
          <t>12/14/2020</t>
        </is>
      </c>
      <c r="OT1" s="82" t="n"/>
      <c r="OU1" s="82" t="n"/>
      <c r="OV1" s="82" t="n"/>
      <c r="OW1" s="82" t="n"/>
      <c r="OX1" s="82" t="n"/>
      <c r="OY1" s="83" t="n"/>
      <c r="OZ1" s="81" t="inlineStr">
        <is>
          <t>12/21/2020</t>
        </is>
      </c>
      <c r="PA1" s="82" t="n"/>
      <c r="PB1" s="82" t="n"/>
      <c r="PC1" s="82" t="n"/>
      <c r="PD1" s="82" t="n"/>
      <c r="PE1" s="82" t="n"/>
      <c r="PF1" s="83" t="n"/>
      <c r="PG1" s="81" t="inlineStr">
        <is>
          <t>12/28/2020</t>
        </is>
      </c>
      <c r="PH1" s="82" t="n"/>
      <c r="PI1" s="82" t="n"/>
      <c r="PJ1" s="82" t="n"/>
      <c r="PK1" s="82" t="n"/>
      <c r="PL1" s="82" t="n"/>
      <c r="PM1" s="83" t="n"/>
      <c r="PN1" s="81" t="inlineStr">
        <is>
          <t>1/4/2021</t>
        </is>
      </c>
      <c r="PO1" s="82" t="n"/>
      <c r="PP1" s="82" t="n"/>
      <c r="PQ1" s="82" t="n"/>
      <c r="PR1" s="82" t="n"/>
      <c r="PS1" s="82" t="n"/>
      <c r="PT1" s="83" t="n"/>
      <c r="PU1" s="81" t="inlineStr">
        <is>
          <t>1/11/2021</t>
        </is>
      </c>
      <c r="PV1" s="82" t="n"/>
      <c r="PW1" s="82" t="n"/>
      <c r="PX1" s="82" t="n"/>
      <c r="PY1" s="82" t="n"/>
      <c r="PZ1" s="82" t="n"/>
      <c r="QA1" s="83" t="n"/>
      <c r="QB1" s="81" t="inlineStr">
        <is>
          <t>1/18/2021</t>
        </is>
      </c>
      <c r="QC1" s="82" t="n"/>
      <c r="QD1" s="82" t="n"/>
      <c r="QE1" s="82" t="n"/>
      <c r="QF1" s="82" t="n"/>
      <c r="QG1" s="82" t="n"/>
      <c r="QH1" s="83" t="n"/>
      <c r="QI1" s="81" t="inlineStr">
        <is>
          <t>1/25/2021</t>
        </is>
      </c>
      <c r="QJ1" s="82" t="n"/>
      <c r="QK1" s="82" t="n"/>
      <c r="QL1" s="82" t="n"/>
      <c r="QM1" s="82" t="n"/>
      <c r="QN1" s="82" t="n"/>
      <c r="QO1" s="83" t="n"/>
      <c r="QP1" s="81" t="inlineStr">
        <is>
          <t>2/1/2021</t>
        </is>
      </c>
      <c r="QQ1" s="82" t="n"/>
      <c r="QR1" s="82" t="n"/>
      <c r="QS1" s="82" t="n"/>
      <c r="QT1" s="82" t="n"/>
      <c r="QU1" s="82" t="n"/>
      <c r="QV1" s="83" t="n"/>
      <c r="QW1" s="81" t="inlineStr">
        <is>
          <t>2/8/2021</t>
        </is>
      </c>
      <c r="QX1" s="82" t="n"/>
      <c r="QY1" s="82" t="n"/>
      <c r="QZ1" s="82" t="n"/>
      <c r="RA1" s="82" t="n"/>
      <c r="RB1" s="82" t="n"/>
      <c r="RC1" s="83" t="n"/>
      <c r="RD1" s="81" t="inlineStr">
        <is>
          <t>2/15/2021</t>
        </is>
      </c>
      <c r="RE1" s="82" t="n"/>
      <c r="RF1" s="82" t="n"/>
      <c r="RG1" s="82" t="n"/>
      <c r="RH1" s="82" t="n"/>
      <c r="RI1" s="82" t="n"/>
      <c r="RJ1" s="83" t="n"/>
      <c r="RK1" s="81" t="inlineStr">
        <is>
          <t>2/22/2021</t>
        </is>
      </c>
      <c r="RL1" s="82" t="n"/>
      <c r="RM1" s="82" t="n"/>
      <c r="RN1" s="82" t="n"/>
      <c r="RO1" s="82" t="n"/>
      <c r="RP1" s="82" t="n"/>
      <c r="RQ1" s="83" t="n"/>
      <c r="RR1" s="81" t="inlineStr">
        <is>
          <t>3/1/2021</t>
        </is>
      </c>
      <c r="RS1" s="82" t="n"/>
      <c r="RT1" s="82" t="n"/>
      <c r="RU1" s="82" t="n"/>
      <c r="RV1" s="82" t="n"/>
      <c r="RW1" s="82" t="n"/>
      <c r="RX1" s="83" t="n"/>
      <c r="RY1" s="81" t="inlineStr">
        <is>
          <t>3/8/2021</t>
        </is>
      </c>
      <c r="RZ1" s="82" t="n"/>
      <c r="SA1" s="82" t="n"/>
      <c r="SB1" s="82" t="n"/>
      <c r="SC1" s="82" t="n"/>
      <c r="SD1" s="82" t="n"/>
      <c r="SE1" s="83" t="n"/>
      <c r="SF1" s="81" t="inlineStr">
        <is>
          <t>3/15/2021</t>
        </is>
      </c>
      <c r="SG1" s="82" t="n"/>
      <c r="SH1" s="82" t="n"/>
      <c r="SI1" s="82" t="n"/>
      <c r="SJ1" s="82" t="n"/>
      <c r="SK1" s="82" t="n"/>
      <c r="SL1" s="83" t="n"/>
      <c r="SM1" s="81" t="inlineStr">
        <is>
          <t>3/22/2021</t>
        </is>
      </c>
      <c r="SN1" s="82" t="n"/>
      <c r="SO1" s="82" t="n"/>
      <c r="SP1" s="82" t="n"/>
      <c r="SQ1" s="82" t="n"/>
      <c r="SR1" s="82" t="n"/>
      <c r="SS1" s="83" t="n"/>
      <c r="ST1" s="81" t="inlineStr">
        <is>
          <t>3/29/2021</t>
        </is>
      </c>
      <c r="SU1" s="82" t="n"/>
      <c r="SV1" s="82" t="n"/>
      <c r="SW1" s="82" t="n"/>
      <c r="SX1" s="82" t="n"/>
      <c r="SY1" s="82" t="n"/>
      <c r="SZ1" s="83" t="n"/>
      <c r="TA1" s="81" t="inlineStr">
        <is>
          <t>4/5/2021</t>
        </is>
      </c>
      <c r="TB1" s="82" t="n"/>
      <c r="TC1" s="82" t="n"/>
      <c r="TD1" s="82" t="n"/>
      <c r="TE1" s="82" t="n"/>
      <c r="TF1" s="82" t="n"/>
      <c r="TG1" s="83" t="n"/>
      <c r="TH1" s="81" t="inlineStr">
        <is>
          <t>4/12/2021</t>
        </is>
      </c>
      <c r="TI1" s="82" t="n"/>
      <c r="TJ1" s="82" t="n"/>
      <c r="TK1" s="82" t="n"/>
      <c r="TL1" s="82" t="n"/>
      <c r="TM1" s="82" t="n"/>
      <c r="TN1" s="83" t="n"/>
      <c r="TO1" s="81" t="inlineStr">
        <is>
          <t>4/19/2021</t>
        </is>
      </c>
      <c r="TP1" s="82" t="n"/>
      <c r="TQ1" s="82" t="n"/>
      <c r="TR1" s="82" t="n"/>
      <c r="TS1" s="82" t="n"/>
      <c r="TT1" s="82" t="n"/>
      <c r="TU1" s="83" t="n"/>
      <c r="TV1" s="81" t="inlineStr">
        <is>
          <t>4/26/2021</t>
        </is>
      </c>
      <c r="TW1" s="82" t="n"/>
      <c r="TX1" s="82" t="n"/>
      <c r="TY1" s="82" t="n"/>
      <c r="TZ1" s="82" t="n"/>
      <c r="UA1" s="82" t="n"/>
      <c r="UB1" s="83" t="n"/>
      <c r="UC1" s="81" t="inlineStr">
        <is>
          <t>5/3/2021</t>
        </is>
      </c>
      <c r="UD1" s="82" t="n"/>
      <c r="UE1" s="82" t="n"/>
      <c r="UF1" s="82" t="n"/>
      <c r="UG1" s="82" t="n"/>
      <c r="UH1" s="82" t="n"/>
      <c r="UI1" s="83" t="n"/>
      <c r="UJ1" s="81" t="inlineStr">
        <is>
          <t>5/10/2021</t>
        </is>
      </c>
      <c r="UK1" s="82" t="n"/>
      <c r="UL1" s="82" t="n"/>
      <c r="UM1" s="82" t="n"/>
      <c r="UN1" s="82" t="n"/>
      <c r="UO1" s="82" t="n"/>
      <c r="UP1" s="83" t="n"/>
      <c r="UQ1" s="81" t="inlineStr">
        <is>
          <t>5/17/2021</t>
        </is>
      </c>
      <c r="UR1" s="82" t="n"/>
      <c r="US1" s="82" t="n"/>
      <c r="UT1" s="82" t="n"/>
      <c r="UU1" s="82" t="n"/>
      <c r="UV1" s="82" t="n"/>
      <c r="UW1" s="83" t="n"/>
      <c r="UX1" s="81" t="inlineStr">
        <is>
          <t>5/24/2021</t>
        </is>
      </c>
      <c r="UY1" s="82" t="n"/>
      <c r="UZ1" s="82" t="n"/>
      <c r="VA1" s="82" t="n"/>
      <c r="VB1" s="82" t="n"/>
      <c r="VC1" s="82" t="n"/>
      <c r="VD1" s="83" t="n"/>
      <c r="VE1" s="81" t="inlineStr">
        <is>
          <t>5/31/2021</t>
        </is>
      </c>
      <c r="VF1" s="82" t="n"/>
      <c r="VG1" s="82" t="n"/>
      <c r="VH1" s="82" t="n"/>
      <c r="VI1" s="82" t="n"/>
      <c r="VJ1" s="82" t="n"/>
      <c r="VK1" s="83" t="n"/>
      <c r="VL1" s="81" t="inlineStr">
        <is>
          <t>6/7/2021</t>
        </is>
      </c>
      <c r="VM1" s="82" t="n"/>
      <c r="VN1" s="82" t="n"/>
      <c r="VO1" s="82" t="n"/>
      <c r="VP1" s="82" t="n"/>
      <c r="VQ1" s="82" t="n"/>
      <c r="VR1" s="83" t="n"/>
      <c r="VS1" s="81" t="inlineStr">
        <is>
          <t>6/14/2021</t>
        </is>
      </c>
      <c r="VT1" s="82" t="n"/>
      <c r="VU1" s="82" t="n"/>
      <c r="VV1" s="82" t="n"/>
      <c r="VW1" s="82" t="n"/>
      <c r="VX1" s="82" t="n"/>
      <c r="VY1" s="83" t="n"/>
      <c r="VZ1" s="81" t="inlineStr">
        <is>
          <t>6/21/2021</t>
        </is>
      </c>
      <c r="WA1" s="82" t="n"/>
      <c r="WB1" s="82" t="n"/>
      <c r="WC1" s="82" t="n"/>
      <c r="WD1" s="82" t="n"/>
      <c r="WE1" s="82" t="n"/>
      <c r="WF1" s="83" t="n"/>
      <c r="WG1" s="81" t="inlineStr">
        <is>
          <t>6/28/2021</t>
        </is>
      </c>
      <c r="WH1" s="82" t="n"/>
      <c r="WI1" s="82" t="n"/>
      <c r="WJ1" s="82" t="n"/>
      <c r="WK1" s="82" t="n"/>
      <c r="WL1" s="82" t="n"/>
      <c r="WM1" s="83" t="n"/>
      <c r="WN1" s="81" t="inlineStr">
        <is>
          <t>7/5/2021</t>
        </is>
      </c>
      <c r="WO1" s="82" t="n"/>
      <c r="WP1" s="82" t="n"/>
      <c r="WQ1" s="82" t="n"/>
      <c r="WR1" s="82" t="n"/>
      <c r="WS1" s="82" t="n"/>
      <c r="WT1" s="83" t="n"/>
      <c r="WU1" s="81" t="inlineStr">
        <is>
          <t>7/12/2021</t>
        </is>
      </c>
      <c r="WV1" s="82" t="n"/>
      <c r="WW1" s="82" t="n"/>
      <c r="WX1" s="82" t="n"/>
      <c r="WY1" s="82" t="n"/>
      <c r="WZ1" s="82" t="n"/>
      <c r="XA1" s="83" t="n"/>
      <c r="XB1" s="81" t="inlineStr">
        <is>
          <t>7/19/2021</t>
        </is>
      </c>
      <c r="XC1" s="82" t="n"/>
      <c r="XD1" s="82" t="n"/>
      <c r="XE1" s="82" t="n"/>
      <c r="XF1" s="82" t="n"/>
      <c r="XG1" s="82" t="n"/>
      <c r="XH1" s="83" t="n"/>
      <c r="XI1" s="81" t="inlineStr">
        <is>
          <t>7/26/2021</t>
        </is>
      </c>
      <c r="XJ1" s="82" t="n"/>
      <c r="XK1" s="82" t="n"/>
      <c r="XL1" s="82" t="n"/>
      <c r="XM1" s="82" t="n"/>
      <c r="XN1" s="82" t="n"/>
      <c r="XO1" s="83" t="n"/>
      <c r="XP1" s="81" t="inlineStr">
        <is>
          <t>8/2/2021</t>
        </is>
      </c>
      <c r="XQ1" s="82" t="n"/>
      <c r="XR1" s="82" t="n"/>
      <c r="XS1" s="82" t="n"/>
      <c r="XT1" s="82" t="n"/>
      <c r="XU1" s="82" t="n"/>
      <c r="XV1" s="83" t="n"/>
      <c r="XW1" s="81" t="inlineStr">
        <is>
          <t>8/9/2021</t>
        </is>
      </c>
      <c r="XX1" s="82" t="n"/>
      <c r="XY1" s="82" t="n"/>
      <c r="XZ1" s="82" t="n"/>
      <c r="YA1" s="82" t="n"/>
      <c r="YB1" s="82" t="n"/>
      <c r="YC1" s="83" t="n"/>
      <c r="YD1" s="81" t="inlineStr">
        <is>
          <t>8/16/2021</t>
        </is>
      </c>
      <c r="YE1" s="82" t="n"/>
      <c r="YF1" s="82" t="n"/>
      <c r="YG1" s="82" t="n"/>
      <c r="YH1" s="82" t="n"/>
      <c r="YI1" s="82" t="n"/>
      <c r="YJ1" s="83" t="n"/>
      <c r="YK1" s="81" t="inlineStr">
        <is>
          <t>8/23/2021</t>
        </is>
      </c>
      <c r="YL1" s="82" t="n"/>
      <c r="YM1" s="82" t="n"/>
      <c r="YN1" s="82" t="n"/>
      <c r="YO1" s="82" t="n"/>
      <c r="YP1" s="82" t="n"/>
      <c r="YQ1" s="83" t="n"/>
      <c r="YR1" s="81" t="inlineStr">
        <is>
          <t>8/30/2021</t>
        </is>
      </c>
      <c r="YS1" s="82" t="n"/>
      <c r="YT1" s="82" t="n"/>
      <c r="YU1" s="82" t="n"/>
      <c r="YV1" s="82" t="n"/>
      <c r="YW1" s="82" t="n"/>
      <c r="YX1" s="83" t="n"/>
      <c r="YY1" s="81" t="inlineStr">
        <is>
          <t>9/6/2021</t>
        </is>
      </c>
      <c r="YZ1" s="82" t="n"/>
      <c r="ZA1" s="82" t="n"/>
      <c r="ZB1" s="82" t="n"/>
      <c r="ZC1" s="82" t="n"/>
      <c r="ZD1" s="82" t="n"/>
      <c r="ZE1" s="83" t="n"/>
      <c r="ZF1" s="81" t="inlineStr">
        <is>
          <t>9/13/2021</t>
        </is>
      </c>
      <c r="ZG1" s="82" t="n"/>
      <c r="ZH1" s="82" t="n"/>
      <c r="ZI1" s="82" t="n"/>
      <c r="ZJ1" s="82" t="n"/>
      <c r="ZK1" s="82" t="n"/>
      <c r="ZL1" s="83" t="n"/>
      <c r="ZM1" s="81" t="inlineStr">
        <is>
          <t>9/20/2021</t>
        </is>
      </c>
      <c r="ZN1" s="82" t="n"/>
      <c r="ZO1" s="82" t="n"/>
      <c r="ZP1" s="82" t="n"/>
      <c r="ZQ1" s="82" t="n"/>
      <c r="ZR1" s="82" t="n"/>
      <c r="ZS1" s="83" t="n"/>
      <c r="ZT1" s="81" t="inlineStr">
        <is>
          <t>9/27/2021</t>
        </is>
      </c>
      <c r="ZU1" s="82" t="n"/>
      <c r="ZV1" s="82" t="n"/>
      <c r="ZW1" s="82" t="n"/>
      <c r="ZX1" s="82" t="n"/>
      <c r="ZY1" s="82" t="n"/>
      <c r="ZZ1" s="83" t="n"/>
      <c r="AAA1" s="81" t="inlineStr">
        <is>
          <t>10/4/2021</t>
        </is>
      </c>
      <c r="AAB1" s="82" t="n"/>
      <c r="AAC1" s="82" t="n"/>
      <c r="AAD1" s="82" t="n"/>
      <c r="AAE1" s="82" t="n"/>
      <c r="AAF1" s="82" t="n"/>
      <c r="AAG1" s="83" t="n"/>
      <c r="AAH1" s="81" t="inlineStr">
        <is>
          <t>10/11/2021</t>
        </is>
      </c>
      <c r="AAI1" s="82" t="n"/>
      <c r="AAJ1" s="82" t="n"/>
      <c r="AAK1" s="82" t="n"/>
      <c r="AAL1" s="82" t="n"/>
      <c r="AAM1" s="82" t="n"/>
      <c r="AAN1" s="83" t="n"/>
      <c r="AAO1" s="81" t="inlineStr">
        <is>
          <t>10/18/2021</t>
        </is>
      </c>
      <c r="AAP1" s="82" t="n"/>
      <c r="AAQ1" s="82" t="n"/>
      <c r="AAR1" s="82" t="n"/>
      <c r="AAS1" s="82" t="n"/>
      <c r="AAT1" s="82" t="n"/>
      <c r="AAU1" s="83" t="n"/>
      <c r="AAV1" s="81" t="inlineStr">
        <is>
          <t>10/25/2021</t>
        </is>
      </c>
      <c r="AAW1" s="82" t="n"/>
      <c r="AAX1" s="82" t="n"/>
      <c r="AAY1" s="82" t="n"/>
      <c r="AAZ1" s="82" t="n"/>
      <c r="ABA1" s="82" t="n"/>
      <c r="ABB1" s="83" t="n"/>
      <c r="ABC1" s="81" t="inlineStr">
        <is>
          <t>11/1/2021</t>
        </is>
      </c>
      <c r="ABD1" s="82" t="n"/>
      <c r="ABE1" s="82" t="n"/>
      <c r="ABF1" s="82" t="n"/>
      <c r="ABG1" s="82" t="n"/>
      <c r="ABH1" s="82" t="n"/>
      <c r="ABI1" s="83" t="n"/>
      <c r="ABJ1" s="81" t="inlineStr">
        <is>
          <t>11/8/2021</t>
        </is>
      </c>
      <c r="ABK1" s="82" t="n"/>
      <c r="ABL1" s="82" t="n"/>
      <c r="ABM1" s="82" t="n"/>
      <c r="ABN1" s="82" t="n"/>
      <c r="ABO1" s="82" t="n"/>
      <c r="ABP1" s="83" t="n"/>
      <c r="ABQ1" s="81" t="inlineStr">
        <is>
          <t>11/15/2021</t>
        </is>
      </c>
      <c r="ABR1" s="82" t="n"/>
      <c r="ABS1" s="82" t="n"/>
      <c r="ABT1" s="82" t="n"/>
      <c r="ABU1" s="82" t="n"/>
      <c r="ABV1" s="82" t="n"/>
      <c r="ABW1" s="83" t="n"/>
      <c r="ABX1" s="81" t="inlineStr">
        <is>
          <t>11/22/2021</t>
        </is>
      </c>
      <c r="ABY1" s="82" t="n"/>
      <c r="ABZ1" s="82" t="n"/>
      <c r="ACA1" s="82" t="n"/>
      <c r="ACB1" s="82" t="n"/>
      <c r="ACC1" s="82" t="n"/>
      <c r="ACD1" s="83" t="n"/>
      <c r="ACE1" s="81" t="inlineStr">
        <is>
          <t>11/29/2021</t>
        </is>
      </c>
      <c r="ACF1" s="82" t="n"/>
      <c r="ACG1" s="82" t="n"/>
      <c r="ACH1" s="82" t="n"/>
      <c r="ACI1" s="82" t="n"/>
      <c r="ACJ1" s="82" t="n"/>
      <c r="ACK1" s="83" t="n"/>
      <c r="ACL1" s="81" t="inlineStr">
        <is>
          <t>12/6/2021</t>
        </is>
      </c>
      <c r="ACM1" s="82" t="n"/>
      <c r="ACN1" s="82" t="n"/>
      <c r="ACO1" s="82" t="n"/>
      <c r="ACP1" s="82" t="n"/>
      <c r="ACQ1" s="82" t="n"/>
      <c r="ACR1" s="83" t="n"/>
      <c r="ACS1" s="81" t="inlineStr">
        <is>
          <t>12/13/2021</t>
        </is>
      </c>
      <c r="ACT1" s="82" t="n"/>
      <c r="ACU1" s="82" t="n"/>
      <c r="ACV1" s="82" t="n"/>
      <c r="ACW1" s="82" t="n"/>
      <c r="ACX1" s="82" t="n"/>
      <c r="ACY1" s="83" t="n"/>
      <c r="ACZ1" s="81" t="inlineStr">
        <is>
          <t>12/20/2021</t>
        </is>
      </c>
      <c r="ADA1" s="82" t="n"/>
      <c r="ADB1" s="82" t="n"/>
      <c r="ADC1" s="82" t="n"/>
      <c r="ADD1" s="82" t="n"/>
      <c r="ADE1" s="82" t="n"/>
      <c r="ADF1" s="83" t="n"/>
      <c r="ADG1" s="81" t="inlineStr">
        <is>
          <t>12/27/2021</t>
        </is>
      </c>
      <c r="ADH1" s="82" t="n"/>
      <c r="ADI1" s="82" t="n"/>
      <c r="ADJ1" s="82" t="n"/>
      <c r="ADK1" s="82" t="n"/>
      <c r="ADL1" s="82" t="n"/>
      <c r="ADM1" s="83" t="n"/>
      <c r="ADN1" s="81" t="inlineStr">
        <is>
          <t>1/3/2022</t>
        </is>
      </c>
      <c r="ADO1" s="82" t="n"/>
      <c r="ADP1" s="82" t="n"/>
      <c r="ADQ1" s="82" t="n"/>
      <c r="ADR1" s="82" t="n"/>
      <c r="ADS1" s="82" t="n"/>
      <c r="ADT1" s="83" t="n"/>
      <c r="ADU1" s="81" t="inlineStr">
        <is>
          <t>1/10/2022</t>
        </is>
      </c>
      <c r="ADV1" s="82" t="n"/>
      <c r="ADW1" s="82" t="n"/>
      <c r="ADX1" s="82" t="n"/>
      <c r="ADY1" s="82" t="n"/>
      <c r="ADZ1" s="82" t="n"/>
      <c r="AEA1" s="83" t="n"/>
      <c r="AEB1" s="81" t="inlineStr">
        <is>
          <t>1/17/2022</t>
        </is>
      </c>
      <c r="AEC1" s="82" t="n"/>
      <c r="AED1" s="82" t="n"/>
      <c r="AEE1" s="82" t="n"/>
      <c r="AEF1" s="82" t="n"/>
      <c r="AEG1" s="82" t="n"/>
      <c r="AEH1" s="83" t="n"/>
      <c r="AEI1" s="81" t="inlineStr">
        <is>
          <t>1/24/2022</t>
        </is>
      </c>
      <c r="AEJ1" s="82" t="n"/>
      <c r="AEK1" s="82" t="n"/>
      <c r="AEL1" s="82" t="n"/>
      <c r="AEM1" s="82" t="n"/>
      <c r="AEN1" s="82" t="n"/>
      <c r="AEO1" s="83" t="n"/>
      <c r="AEP1" s="81" t="inlineStr">
        <is>
          <t>1/31/2022</t>
        </is>
      </c>
      <c r="AEQ1" s="82" t="n"/>
      <c r="AER1" s="82" t="n"/>
      <c r="AES1" s="82" t="n"/>
      <c r="AET1" s="82" t="n"/>
      <c r="AEU1" s="82" t="n"/>
      <c r="AEV1" s="83" t="n"/>
      <c r="AEW1" s="81" t="inlineStr">
        <is>
          <t>2/7/2022</t>
        </is>
      </c>
      <c r="AEX1" s="82" t="n"/>
      <c r="AEY1" s="82" t="n"/>
      <c r="AEZ1" s="82" t="n"/>
      <c r="AFA1" s="82" t="n"/>
      <c r="AFB1" s="82" t="n"/>
      <c r="AFC1" s="83" t="n"/>
      <c r="AFD1" s="81" t="inlineStr">
        <is>
          <t>2/14/2022</t>
        </is>
      </c>
      <c r="AFE1" s="82" t="n"/>
      <c r="AFF1" s="82" t="n"/>
      <c r="AFG1" s="82" t="n"/>
      <c r="AFH1" s="82" t="n"/>
      <c r="AFI1" s="82" t="n"/>
      <c r="AFJ1" s="83" t="n"/>
      <c r="AFK1" s="81" t="inlineStr">
        <is>
          <t>2/21/2022</t>
        </is>
      </c>
      <c r="AFL1" s="82" t="n"/>
      <c r="AFM1" s="82" t="n"/>
      <c r="AFN1" s="82" t="n"/>
      <c r="AFO1" s="82" t="n"/>
      <c r="AFP1" s="82" t="n"/>
      <c r="AFQ1" s="83" t="n"/>
      <c r="AFR1" s="81" t="inlineStr">
        <is>
          <t>2/28/2022</t>
        </is>
      </c>
      <c r="AFS1" s="82" t="n"/>
      <c r="AFT1" s="82" t="n"/>
      <c r="AFU1" s="82" t="n"/>
      <c r="AFV1" s="82" t="n"/>
      <c r="AFW1" s="82" t="n"/>
      <c r="AFX1" s="83" t="n"/>
      <c r="AFY1" s="81" t="inlineStr">
        <is>
          <t>3/7/2022</t>
        </is>
      </c>
      <c r="AFZ1" s="82" t="n"/>
      <c r="AGA1" s="82" t="n"/>
      <c r="AGB1" s="82" t="n"/>
      <c r="AGC1" s="82" t="n"/>
      <c r="AGD1" s="82" t="n"/>
      <c r="AGE1" s="83" t="n"/>
      <c r="AGF1" s="81" t="inlineStr">
        <is>
          <t>3/14/2022</t>
        </is>
      </c>
      <c r="AGG1" s="82" t="n"/>
      <c r="AGH1" s="82" t="n"/>
      <c r="AGI1" s="82" t="n"/>
      <c r="AGJ1" s="82" t="n"/>
      <c r="AGK1" s="82" t="n"/>
      <c r="AGL1" s="83" t="n"/>
      <c r="AGM1" s="81" t="inlineStr">
        <is>
          <t>3/21/2022</t>
        </is>
      </c>
      <c r="AGN1" s="82" t="n"/>
      <c r="AGO1" s="82" t="n"/>
      <c r="AGP1" s="82" t="n"/>
      <c r="AGQ1" s="82" t="n"/>
      <c r="AGR1" s="82" t="n"/>
      <c r="AGS1" s="83" t="n"/>
      <c r="AGT1" s="81" t="inlineStr">
        <is>
          <t>3/28/2022</t>
        </is>
      </c>
      <c r="AGU1" s="82" t="n"/>
      <c r="AGV1" s="82" t="n"/>
      <c r="AGW1" s="82" t="n"/>
      <c r="AGX1" s="82" t="n"/>
      <c r="AGY1" s="82" t="n"/>
      <c r="AGZ1" s="83" t="n"/>
      <c r="AHA1" s="81" t="inlineStr">
        <is>
          <t>4/4/2022</t>
        </is>
      </c>
      <c r="AHB1" s="82" t="n"/>
      <c r="AHC1" s="82" t="n"/>
      <c r="AHD1" s="82" t="n"/>
      <c r="AHE1" s="82" t="n"/>
      <c r="AHF1" s="82" t="n"/>
      <c r="AHG1" s="83" t="n"/>
      <c r="AHH1" s="81" t="inlineStr">
        <is>
          <t>4/11/2022</t>
        </is>
      </c>
      <c r="AHI1" s="82" t="n"/>
      <c r="AHJ1" s="82" t="n"/>
      <c r="AHK1" s="82" t="n"/>
      <c r="AHL1" s="82" t="n"/>
      <c r="AHM1" s="82" t="n"/>
      <c r="AHN1" s="83" t="n"/>
      <c r="AHO1" s="81" t="inlineStr">
        <is>
          <t>4/18/2022</t>
        </is>
      </c>
      <c r="AHP1" s="82" t="n"/>
      <c r="AHQ1" s="82" t="n"/>
      <c r="AHR1" s="82" t="n"/>
      <c r="AHS1" s="82" t="n"/>
      <c r="AHT1" s="82" t="n"/>
      <c r="AHU1" s="83" t="n"/>
      <c r="AHV1" s="81" t="inlineStr">
        <is>
          <t>4/25/2022</t>
        </is>
      </c>
      <c r="AHW1" s="82" t="n"/>
      <c r="AHX1" s="82" t="n"/>
      <c r="AHY1" s="82" t="n"/>
      <c r="AHZ1" s="82" t="n"/>
      <c r="AIA1" s="82" t="n"/>
      <c r="AIB1" s="83" t="n"/>
      <c r="AIC1" s="81" t="inlineStr">
        <is>
          <t>5/2/2022</t>
        </is>
      </c>
      <c r="AID1" s="82" t="n"/>
      <c r="AIE1" s="82" t="n"/>
      <c r="AIF1" s="82" t="n"/>
      <c r="AIG1" s="82" t="n"/>
      <c r="AIH1" s="82" t="n"/>
      <c r="AII1" s="83" t="n"/>
      <c r="AIJ1" s="81" t="inlineStr">
        <is>
          <t>5/9/2022</t>
        </is>
      </c>
      <c r="AIK1" s="82" t="n"/>
      <c r="AIL1" s="82" t="n"/>
      <c r="AIM1" s="82" t="n"/>
      <c r="AIN1" s="82" t="n"/>
      <c r="AIO1" s="82" t="n"/>
      <c r="AIP1" s="83" t="n"/>
      <c r="AIQ1" s="81" t="inlineStr">
        <is>
          <t>5/16/2022</t>
        </is>
      </c>
      <c r="AIR1" s="82" t="n"/>
      <c r="AIS1" s="82" t="n"/>
      <c r="AIT1" s="82" t="n"/>
      <c r="AIU1" s="82" t="n"/>
      <c r="AIV1" s="82" t="n"/>
      <c r="AIW1" s="83" t="n"/>
      <c r="AIX1" s="81" t="inlineStr">
        <is>
          <t>5/23/2022</t>
        </is>
      </c>
      <c r="AIY1" s="82" t="n"/>
      <c r="AIZ1" s="82" t="n"/>
      <c r="AJA1" s="82" t="n"/>
      <c r="AJB1" s="82" t="n"/>
      <c r="AJC1" s="82" t="n"/>
      <c r="AJD1" s="83" t="n"/>
      <c r="AJE1" s="81" t="inlineStr">
        <is>
          <t>5/30/2022</t>
        </is>
      </c>
      <c r="AJF1" s="82" t="n"/>
      <c r="AJG1" s="82" t="n"/>
      <c r="AJH1" s="82" t="n"/>
      <c r="AJI1" s="82" t="n"/>
      <c r="AJJ1" s="82" t="n"/>
      <c r="AJK1" s="83" t="n"/>
      <c r="AJL1" s="81" t="inlineStr">
        <is>
          <t>6/6/2022</t>
        </is>
      </c>
      <c r="AJM1" s="82" t="n"/>
      <c r="AJN1" s="82" t="n"/>
      <c r="AJO1" s="82" t="n"/>
      <c r="AJP1" s="82" t="n"/>
      <c r="AJQ1" s="82" t="n"/>
      <c r="AJR1" s="83" t="n"/>
      <c r="AJS1" s="81" t="inlineStr">
        <is>
          <t>6/13/2022</t>
        </is>
      </c>
      <c r="AJT1" s="82" t="n"/>
      <c r="AJU1" s="82" t="n"/>
      <c r="AJV1" s="82" t="n"/>
      <c r="AJW1" s="82" t="n"/>
      <c r="AJX1" s="82" t="n"/>
      <c r="AJY1" s="83" t="n"/>
      <c r="AJZ1" s="81" t="inlineStr">
        <is>
          <t>6/20/2022</t>
        </is>
      </c>
      <c r="AKA1" s="82" t="n"/>
      <c r="AKB1" s="82" t="n"/>
      <c r="AKC1" s="82" t="n"/>
      <c r="AKD1" s="82" t="n"/>
      <c r="AKE1" s="82" t="n"/>
      <c r="AKF1" s="83" t="n"/>
      <c r="AKG1" s="81" t="inlineStr">
        <is>
          <t>6/27/2022</t>
        </is>
      </c>
      <c r="AKH1" s="82" t="n"/>
      <c r="AKI1" s="82" t="n"/>
      <c r="AKJ1" s="82" t="n"/>
      <c r="AKK1" s="82" t="n"/>
      <c r="AKL1" s="82" t="n"/>
      <c r="AKM1" s="83" t="n"/>
    </row>
    <row r="2">
      <c r="A2" s="84" t="inlineStr">
        <is>
          <t>Key Project Milestone</t>
        </is>
      </c>
      <c r="B2" s="84" t="inlineStr">
        <is>
          <t>Key Project Milestone</t>
        </is>
      </c>
      <c r="DS2" s="85" t="inlineStr">
        <is>
          <t>Quality Gate 3</t>
        </is>
      </c>
      <c r="DT2" s="82" t="n"/>
      <c r="DU2" s="83" t="n"/>
      <c r="FQ2" s="86" t="inlineStr">
        <is>
          <t>GW 3</t>
        </is>
      </c>
      <c r="FR2" s="83" t="n"/>
      <c r="IT2" s="87" t="inlineStr">
        <is>
          <t>Pilot Design Freeze</t>
        </is>
      </c>
      <c r="IU2" s="83" t="n"/>
      <c r="KA2" s="86" t="inlineStr">
        <is>
          <t>Machine Ready for Field  (Regs)</t>
        </is>
      </c>
      <c r="KB2" s="83" t="n"/>
      <c r="KU2" s="87" t="inlineStr">
        <is>
          <t>Pilot EDS Freeze</t>
        </is>
      </c>
      <c r="KV2" s="82" t="n"/>
      <c r="KW2" s="83" t="n"/>
      <c r="LJ2" s="86" t="inlineStr">
        <is>
          <t>GW 4</t>
        </is>
      </c>
      <c r="LK2" s="83" t="n"/>
      <c r="LT2" s="88" t="inlineStr">
        <is>
          <t>Stg V Hood Iron arrives at PPG</t>
        </is>
      </c>
      <c r="LU2" s="82" t="n"/>
      <c r="LV2" s="83" t="n"/>
      <c r="MK2" s="89" t="inlineStr">
        <is>
          <t>Ship DL Axle Arrives China Supplier</t>
        </is>
      </c>
      <c r="ML2" s="82" t="n"/>
      <c r="MM2" s="83" t="n"/>
      <c r="NO2" s="86" t="inlineStr">
        <is>
          <t>GW 5</t>
        </is>
      </c>
      <c r="NP2" s="82" t="n"/>
      <c r="NQ2" s="83" t="n"/>
      <c r="ZX2" s="87" t="inlineStr">
        <is>
          <t>Production DF</t>
        </is>
      </c>
      <c r="ZY2" s="82" t="n"/>
      <c r="ZZ2" s="83" t="n"/>
      <c r="AAL2" s="89" t="inlineStr">
        <is>
          <t>LPT (Axle) Design Freeze</t>
        </is>
      </c>
      <c r="AAM2" s="82" t="n"/>
      <c r="AAN2" s="83" t="n"/>
      <c r="AAQ2" s="86" t="inlineStr">
        <is>
          <t>GW 5.5</t>
        </is>
      </c>
      <c r="AAR2" s="83" t="n"/>
      <c r="ACG2" s="87" t="inlineStr">
        <is>
          <t>Production EDS Freeze</t>
        </is>
      </c>
      <c r="ACH2" s="82" t="n"/>
      <c r="ACI2" s="83" t="n"/>
      <c r="AFT2" s="86" t="inlineStr">
        <is>
          <t>GW 6</t>
        </is>
      </c>
      <c r="AFU2" s="82" t="n"/>
      <c r="AFV2" s="82" t="n"/>
      <c r="AFW2" s="83" t="n"/>
    </row>
    <row r="3">
      <c r="A3" s="84" t="inlineStr">
        <is>
          <t>Key Validation review</t>
        </is>
      </c>
      <c r="B3" s="84" t="inlineStr">
        <is>
          <t>Key Validation review</t>
        </is>
      </c>
      <c r="DS3" s="90" t="inlineStr">
        <is>
          <t>Validation Review 3</t>
        </is>
      </c>
      <c r="DT3" s="82" t="n"/>
      <c r="DU3" s="83" t="n"/>
      <c r="JN3" s="90" t="inlineStr">
        <is>
          <t>Validation Review 4</t>
        </is>
      </c>
      <c r="NC3" s="90" t="inlineStr">
        <is>
          <t>Validation Review 5</t>
        </is>
      </c>
    </row>
    <row r="4">
      <c r="A4" s="84" t="inlineStr">
        <is>
          <t>Software Milestone</t>
        </is>
      </c>
      <c r="B4" s="84" t="inlineStr">
        <is>
          <t>Software Milestone</t>
        </is>
      </c>
      <c r="CB4" s="91" t="inlineStr">
        <is>
          <t>V01 SW Content Freeze</t>
        </is>
      </c>
      <c r="CC4" s="83" t="n"/>
      <c r="EF4" s="91" t="inlineStr">
        <is>
          <t>Receive V01 SW</t>
        </is>
      </c>
      <c r="EG4" s="83" t="n"/>
      <c r="IA4" s="91" t="inlineStr">
        <is>
          <t>V02 SW Content Freeze</t>
        </is>
      </c>
      <c r="IB4" s="83" t="n"/>
      <c r="JW4" s="91" t="inlineStr">
        <is>
          <t>Receive V02 SW</t>
        </is>
      </c>
      <c r="JX4" s="83" t="n"/>
      <c r="LO4" s="91" t="inlineStr">
        <is>
          <t>V03 SW Content Freeze</t>
        </is>
      </c>
      <c r="LP4" s="83" t="n"/>
      <c r="NL4" s="91" t="inlineStr">
        <is>
          <t>Receive V03 SW</t>
        </is>
      </c>
      <c r="NM4" s="83" t="n"/>
      <c r="OT4" s="91" t="inlineStr">
        <is>
          <t>V04 SW Content Freeze</t>
        </is>
      </c>
      <c r="OU4" s="83" t="n"/>
      <c r="QJ4" s="91" t="inlineStr">
        <is>
          <t>Receive V04 SW (Pilot)</t>
        </is>
      </c>
      <c r="QK4" s="83" t="n"/>
    </row>
    <row r="5">
      <c r="A5" s="84" t="inlineStr">
        <is>
          <t>TIC Report Milestone</t>
        </is>
      </c>
      <c r="B5" s="84" t="inlineStr">
        <is>
          <t>TIC Report Milestone</t>
        </is>
      </c>
      <c r="ET5" s="92" t="inlineStr">
        <is>
          <t>SYC Report-Pilot</t>
        </is>
      </c>
      <c r="EU5" s="83" t="n"/>
      <c r="IK5" s="92" t="inlineStr">
        <is>
          <t>ISO 3450 Brake Feasibility (Pilot)</t>
        </is>
      </c>
      <c r="IL5" s="83" t="n"/>
      <c r="JZ5" s="92" t="inlineStr">
        <is>
          <t>EMC-Pilot- Pilot</t>
        </is>
      </c>
      <c r="KA5" s="83" t="n"/>
      <c r="KC5" s="92" t="inlineStr">
        <is>
          <t>ISO 9533 Horn, Back-up Alarm EN474 HAWB- Pilot</t>
        </is>
      </c>
      <c r="KD5" s="83" t="n"/>
      <c r="KK5" s="92" t="inlineStr">
        <is>
          <t>ISO 5010 Steering Feasibility (Pilot)</t>
        </is>
      </c>
      <c r="KL5" s="83" t="n"/>
      <c r="TU5" s="93" t="inlineStr">
        <is>
          <t>ISO 3450 Brake CERT</t>
        </is>
      </c>
      <c r="TV5" s="82" t="n"/>
      <c r="TW5" s="83" t="n"/>
      <c r="UP5" s="93" t="inlineStr">
        <is>
          <t>ISO 5010 Steering CERT</t>
        </is>
      </c>
      <c r="UQ5" s="83" t="n"/>
      <c r="UY5" s="93" t="inlineStr">
        <is>
          <t>ISO 10570-Articulation Lock CERT</t>
        </is>
      </c>
      <c r="UZ5" s="83" t="n"/>
      <c r="YJ5" s="93" t="inlineStr">
        <is>
          <t>ISO 9533 Horn, Back-up Alarm HAWB CERT</t>
        </is>
      </c>
      <c r="YK5" s="83" t="n"/>
      <c r="ZY5" s="93" t="inlineStr">
        <is>
          <t>Stg V EMC CERT</t>
        </is>
      </c>
      <c r="ZZ5" s="83" t="n"/>
    </row>
    <row r="6">
      <c r="A6" s="84" t="inlineStr">
        <is>
          <t>Tech Center ShakeTabl</t>
        </is>
      </c>
      <c r="B6" s="84" t="inlineStr">
        <is>
          <t>Tech Center ShakeTabl</t>
        </is>
      </c>
      <c r="S6" s="94" t="inlineStr">
        <is>
          <t>Hood arrives at Tech Center, Peoria (Version 1)</t>
        </is>
      </c>
      <c r="T6" s="82" t="n"/>
      <c r="U6" s="82" t="n"/>
      <c r="V6" s="82" t="n"/>
      <c r="W6" s="82" t="n"/>
      <c r="X6" s="82" t="n"/>
      <c r="Y6" s="82" t="n"/>
      <c r="Z6" s="82" t="n"/>
      <c r="AA6" s="82" t="n"/>
      <c r="AB6" s="82" t="n"/>
      <c r="AC6" s="82" t="n"/>
      <c r="AD6" s="82" t="n"/>
      <c r="AE6" s="82" t="n"/>
      <c r="AF6" s="82" t="n"/>
      <c r="AG6" s="82" t="n"/>
      <c r="AH6" s="82" t="n"/>
      <c r="AI6" s="82" t="n"/>
      <c r="AJ6" s="82" t="n"/>
      <c r="AK6" s="82" t="n"/>
      <c r="AL6" s="82" t="n"/>
      <c r="AM6" s="82" t="n"/>
      <c r="AN6" s="82" t="n"/>
      <c r="AO6" s="82" t="n"/>
      <c r="AP6" s="82" t="n"/>
      <c r="AQ6" s="82" t="n"/>
      <c r="AR6" s="83" t="n"/>
      <c r="BN6" s="95" t="inlineStr">
        <is>
          <t>Stage V Shake Table # 1 (Version 1)</t>
        </is>
      </c>
      <c r="BO6" s="82" t="n"/>
      <c r="BP6" s="82" t="n"/>
      <c r="BQ6" s="82" t="n"/>
      <c r="BR6" s="82" t="n"/>
      <c r="BS6" s="82" t="n"/>
      <c r="BT6" s="82" t="n"/>
      <c r="BU6" s="82" t="n"/>
      <c r="BV6" s="82" t="n"/>
      <c r="BW6" s="82" t="n"/>
      <c r="BX6" s="82" t="n"/>
      <c r="BY6" s="82" t="n"/>
      <c r="BZ6" s="82" t="n"/>
      <c r="CA6" s="82" t="n"/>
      <c r="CB6" s="82" t="n"/>
      <c r="CC6" s="82" t="n"/>
      <c r="CD6" s="82" t="n"/>
      <c r="CE6" s="82" t="n"/>
      <c r="CF6" s="82" t="n"/>
      <c r="CG6" s="82" t="n"/>
      <c r="CH6" s="82" t="n"/>
      <c r="CI6" s="82" t="n"/>
      <c r="CJ6" s="82" t="n"/>
      <c r="CK6" s="82" t="n"/>
      <c r="CL6" s="82" t="n"/>
      <c r="CM6" s="82" t="n"/>
      <c r="CN6" s="82" t="n"/>
      <c r="CO6" s="82" t="n"/>
      <c r="CP6" s="82" t="n"/>
      <c r="CQ6" s="82" t="n"/>
      <c r="CR6" s="82" t="n"/>
      <c r="CS6" s="82" t="n"/>
      <c r="CT6" s="82" t="n"/>
      <c r="CU6" s="82" t="n"/>
      <c r="CV6" s="82" t="n"/>
      <c r="CW6" s="82" t="n"/>
      <c r="CX6" s="82" t="n"/>
      <c r="CY6" s="82" t="n"/>
      <c r="CZ6" s="82" t="n"/>
      <c r="DA6" s="82" t="n"/>
      <c r="DB6" s="82" t="n"/>
      <c r="DC6" s="82" t="n"/>
      <c r="DD6" s="82" t="n"/>
      <c r="DE6" s="82" t="n"/>
      <c r="DF6" s="82" t="n"/>
      <c r="DG6" s="82" t="n"/>
      <c r="DH6" s="82" t="n"/>
      <c r="DI6" s="82" t="n"/>
      <c r="DJ6" s="82" t="n"/>
      <c r="DK6" s="82" t="n"/>
      <c r="DL6" s="82" t="n"/>
      <c r="DM6" s="82" t="n"/>
      <c r="DN6" s="82" t="n"/>
      <c r="DO6" s="83" t="n"/>
      <c r="JW6" s="85" t="inlineStr">
        <is>
          <t>Shake Table set-up (Version 2)</t>
        </is>
      </c>
      <c r="JX6" s="82" t="n"/>
      <c r="JY6" s="82" t="n"/>
      <c r="JZ6" s="82" t="n"/>
      <c r="KA6" s="82" t="n"/>
      <c r="KB6" s="82" t="n"/>
      <c r="KC6" s="82" t="n"/>
      <c r="KD6" s="82" t="n"/>
      <c r="KE6" s="82" t="n"/>
      <c r="KF6" s="82" t="n"/>
      <c r="KG6" s="82" t="n"/>
      <c r="KH6" s="82" t="n"/>
      <c r="KI6" s="82" t="n"/>
      <c r="KJ6" s="82" t="n"/>
      <c r="KK6" s="82" t="n"/>
      <c r="KL6" s="82" t="n"/>
      <c r="KM6" s="82" t="n"/>
      <c r="KN6" s="82" t="n"/>
      <c r="KO6" s="82" t="n"/>
      <c r="KP6" s="82" t="n"/>
      <c r="KQ6" s="82" t="n"/>
      <c r="KR6" s="82" t="n"/>
      <c r="KS6" s="82" t="n"/>
      <c r="KT6" s="82" t="n"/>
      <c r="KU6" s="82" t="n"/>
      <c r="KV6" s="83" t="n"/>
      <c r="KW6" s="86" t="inlineStr">
        <is>
          <t>Static Runs</t>
        </is>
      </c>
      <c r="KX6" s="82" t="n"/>
      <c r="KY6" s="82" t="n"/>
      <c r="KZ6" s="83" t="n"/>
      <c r="LL6" s="95" t="inlineStr">
        <is>
          <t>OMSA Drive File (Post Machine OMSA) (Version 2 hood)</t>
        </is>
      </c>
      <c r="LM6" s="83" t="n"/>
      <c r="LP6" s="87" t="inlineStr">
        <is>
          <t>Set-up, Shakeout and Dynamic Runs</t>
        </is>
      </c>
      <c r="LQ6" s="82" t="n"/>
      <c r="LR6" s="82" t="n"/>
      <c r="LS6" s="82" t="n"/>
      <c r="LT6" s="82" t="n"/>
      <c r="LU6" s="82" t="n"/>
      <c r="LV6" s="82" t="n"/>
      <c r="LW6" s="82" t="n"/>
      <c r="LX6" s="82" t="n"/>
      <c r="LY6" s="82" t="n"/>
      <c r="LZ6" s="82" t="n"/>
      <c r="MA6" s="82" t="n"/>
      <c r="MB6" s="82" t="n"/>
      <c r="MC6" s="82" t="n"/>
      <c r="MD6" s="82" t="n"/>
      <c r="ME6" s="82" t="n"/>
      <c r="MF6" s="82" t="n"/>
      <c r="MG6" s="82" t="n"/>
      <c r="MH6" s="82" t="n"/>
      <c r="MI6" s="82" t="n"/>
      <c r="MJ6" s="82" t="n"/>
      <c r="MK6" s="82" t="n"/>
      <c r="ML6" s="82" t="n"/>
      <c r="MM6" s="82" t="n"/>
      <c r="MN6" s="83" t="n"/>
      <c r="MO6" s="88" t="inlineStr">
        <is>
          <t>Durability</t>
        </is>
      </c>
      <c r="MP6" s="82" t="n"/>
      <c r="MQ6" s="82" t="n"/>
      <c r="MR6" s="82" t="n"/>
      <c r="MS6" s="82" t="n"/>
      <c r="MT6" s="82" t="n"/>
      <c r="MU6" s="82" t="n"/>
      <c r="MV6" s="82" t="n"/>
      <c r="MW6" s="82" t="n"/>
      <c r="MX6" s="82" t="n"/>
      <c r="MY6" s="82" t="n"/>
      <c r="MZ6" s="82" t="n"/>
      <c r="NA6" s="82" t="n"/>
      <c r="NB6" s="82" t="n"/>
      <c r="NC6" s="82" t="n"/>
      <c r="ND6" s="82" t="n"/>
      <c r="NE6" s="82" t="n"/>
      <c r="NF6" s="82" t="n"/>
      <c r="NG6" s="82" t="n"/>
      <c r="NH6" s="82" t="n"/>
      <c r="NI6" s="82" t="n"/>
      <c r="NJ6" s="82" t="n"/>
      <c r="NK6" s="82" t="n"/>
      <c r="NL6" s="82" t="n"/>
      <c r="NM6" s="82" t="n"/>
      <c r="NN6" s="82" t="n"/>
      <c r="NO6" s="82" t="n"/>
      <c r="NP6" s="82" t="n"/>
      <c r="NQ6" s="82" t="n"/>
      <c r="NR6" s="82" t="n"/>
      <c r="NS6" s="82" t="n"/>
      <c r="NT6" s="82" t="n"/>
      <c r="NU6" s="82" t="n"/>
      <c r="NV6" s="82" t="n"/>
      <c r="NW6" s="83" t="n"/>
      <c r="NX6" s="89" t="inlineStr">
        <is>
          <t>Teardown &amp; Preliminary Report</t>
        </is>
      </c>
      <c r="NY6" s="82" t="n"/>
      <c r="NZ6" s="82" t="n"/>
      <c r="OA6" s="82" t="n"/>
      <c r="OB6" s="82" t="n"/>
      <c r="OC6" s="82" t="n"/>
      <c r="OD6" s="82" t="n"/>
      <c r="OE6" s="82" t="n"/>
      <c r="OF6" s="82" t="n"/>
      <c r="OG6" s="82" t="n"/>
      <c r="OH6" s="82" t="n"/>
      <c r="OI6" s="82" t="n"/>
      <c r="OJ6" s="82" t="n"/>
      <c r="OK6" s="82" t="n"/>
      <c r="OL6" s="82" t="n"/>
      <c r="OM6" s="82" t="n"/>
      <c r="ON6" s="82" t="n"/>
      <c r="OO6" s="82" t="n"/>
      <c r="OP6" s="82" t="n"/>
      <c r="OQ6" s="82" t="n"/>
      <c r="OR6" s="83" t="n"/>
    </row>
    <row r="7">
      <c r="A7" s="84" t="inlineStr">
        <is>
          <t>Tech Center G LPT Axle</t>
        </is>
      </c>
      <c r="B7" s="84" t="inlineStr">
        <is>
          <t>Tech Center G LPT Axle</t>
        </is>
      </c>
      <c r="GN7" s="90" t="inlineStr">
        <is>
          <t>Test Cycle Dev</t>
        </is>
      </c>
      <c r="GO7" s="82" t="n"/>
      <c r="GP7" s="82" t="n"/>
      <c r="GQ7" s="82" t="n"/>
      <c r="GR7" s="82" t="n"/>
      <c r="GS7" s="82" t="n"/>
      <c r="GT7" s="82" t="n"/>
      <c r="GU7" s="82" t="n"/>
      <c r="GV7" s="82" t="n"/>
      <c r="GW7" s="82" t="n"/>
      <c r="GX7" s="82" t="n"/>
      <c r="GY7" s="82" t="n"/>
      <c r="GZ7" s="82" t="n"/>
      <c r="HA7" s="82" t="n"/>
      <c r="HB7" s="82" t="n"/>
      <c r="HC7" s="82" t="n"/>
      <c r="HD7" s="82" t="n"/>
      <c r="HE7" s="82" t="n"/>
      <c r="HF7" s="82" t="n"/>
      <c r="HG7" s="82" t="n"/>
      <c r="HH7" s="82" t="n"/>
      <c r="HI7" s="82" t="n"/>
      <c r="HJ7" s="82" t="n"/>
      <c r="HK7" s="82" t="n"/>
      <c r="HL7" s="82" t="n"/>
      <c r="HM7" s="82" t="n"/>
      <c r="HN7" s="82" t="n"/>
      <c r="HO7" s="82" t="n"/>
      <c r="HP7" s="82" t="n"/>
      <c r="HQ7" s="82" t="n"/>
      <c r="HR7" s="82" t="n"/>
      <c r="HS7" s="82" t="n"/>
      <c r="HT7" s="82" t="n"/>
      <c r="HU7" s="82" t="n"/>
      <c r="HV7" s="82" t="n"/>
      <c r="HW7" s="82" t="n"/>
      <c r="HX7" s="82" t="n"/>
      <c r="HY7" s="82" t="n"/>
      <c r="HZ7" s="82" t="n"/>
      <c r="IA7" s="82" t="n"/>
      <c r="IB7" s="82" t="n"/>
      <c r="IC7" s="82" t="n"/>
      <c r="ID7" s="82" t="n"/>
      <c r="IE7" s="82" t="n"/>
      <c r="IF7" s="82" t="n"/>
      <c r="IG7" s="82" t="n"/>
      <c r="IH7" s="82" t="n"/>
      <c r="II7" s="82" t="n"/>
      <c r="IJ7" s="82" t="n"/>
      <c r="IK7" s="82" t="n"/>
      <c r="IL7" s="82" t="n"/>
      <c r="IM7" s="82" t="n"/>
      <c r="IN7" s="82" t="n"/>
      <c r="IO7" s="82" t="n"/>
      <c r="IP7" s="82" t="n"/>
      <c r="IQ7" s="82" t="n"/>
      <c r="IR7" s="82" t="n"/>
      <c r="IS7" s="82" t="n"/>
      <c r="IT7" s="82" t="n"/>
      <c r="IU7" s="82" t="n"/>
      <c r="IV7" s="82" t="n"/>
      <c r="IW7" s="82" t="n"/>
      <c r="IX7" s="82" t="n"/>
      <c r="IY7" s="82" t="n"/>
      <c r="IZ7" s="82" t="n"/>
      <c r="JA7" s="82" t="n"/>
      <c r="JB7" s="82" t="n"/>
      <c r="JC7" s="82" t="n"/>
      <c r="JD7" s="82" t="n"/>
      <c r="JE7" s="82" t="n"/>
      <c r="JF7" s="82" t="n"/>
      <c r="JG7" s="82" t="n"/>
      <c r="JH7" s="82" t="n"/>
      <c r="JI7" s="82" t="n"/>
      <c r="JJ7" s="82" t="n"/>
      <c r="JK7" s="82" t="n"/>
      <c r="JL7" s="83" t="n"/>
      <c r="JZ7" s="91" t="inlineStr">
        <is>
          <t>Lab set-up and Debug</t>
        </is>
      </c>
      <c r="KA7" s="82" t="n"/>
      <c r="KB7" s="82" t="n"/>
      <c r="KC7" s="82" t="n"/>
      <c r="KD7" s="82" t="n"/>
      <c r="KE7" s="82" t="n"/>
      <c r="KF7" s="82" t="n"/>
      <c r="KG7" s="82" t="n"/>
      <c r="KH7" s="82" t="n"/>
      <c r="KI7" s="82" t="n"/>
      <c r="KJ7" s="82" t="n"/>
      <c r="KK7" s="82" t="n"/>
      <c r="KL7" s="82" t="n"/>
      <c r="KM7" s="82" t="n"/>
      <c r="KN7" s="82" t="n"/>
      <c r="KO7" s="82" t="n"/>
      <c r="KP7" s="82" t="n"/>
      <c r="KQ7" s="82" t="n"/>
      <c r="KR7" s="82" t="n"/>
      <c r="KS7" s="82" t="n"/>
      <c r="KT7" s="82" t="n"/>
      <c r="KU7" s="82" t="n"/>
      <c r="KV7" s="82" t="n"/>
      <c r="KW7" s="82" t="n"/>
      <c r="KX7" s="82" t="n"/>
      <c r="KY7" s="82" t="n"/>
      <c r="KZ7" s="82" t="n"/>
      <c r="LA7" s="82" t="n"/>
      <c r="LB7" s="82" t="n"/>
      <c r="LC7" s="82" t="n"/>
      <c r="LD7" s="82" t="n"/>
      <c r="LE7" s="82" t="n"/>
      <c r="LF7" s="82" t="n"/>
      <c r="LG7" s="82" t="n"/>
      <c r="LH7" s="82" t="n"/>
      <c r="LI7" s="82" t="n"/>
      <c r="LJ7" s="82" t="n"/>
      <c r="LK7" s="82" t="n"/>
      <c r="LL7" s="82" t="n"/>
      <c r="LM7" s="82" t="n"/>
      <c r="LN7" s="82" t="n"/>
      <c r="LO7" s="82" t="n"/>
      <c r="LP7" s="82" t="n"/>
      <c r="LQ7" s="82" t="n"/>
      <c r="LR7" s="82" t="n"/>
      <c r="LS7" s="82" t="n"/>
      <c r="LT7" s="82" t="n"/>
      <c r="LU7" s="82" t="n"/>
      <c r="LV7" s="82" t="n"/>
      <c r="LW7" s="82" t="n"/>
      <c r="LX7" s="82" t="n"/>
      <c r="LY7" s="82" t="n"/>
      <c r="LZ7" s="82" t="n"/>
      <c r="MA7" s="82" t="n"/>
      <c r="MB7" s="82" t="n"/>
      <c r="MC7" s="82" t="n"/>
      <c r="MD7" s="82" t="n"/>
      <c r="ME7" s="82" t="n"/>
      <c r="MF7" s="82" t="n"/>
      <c r="MG7" s="82" t="n"/>
      <c r="MH7" s="82" t="n"/>
      <c r="MI7" s="82" t="n"/>
      <c r="MJ7" s="82" t="n"/>
      <c r="MK7" s="82" t="n"/>
      <c r="ML7" s="82" t="n"/>
      <c r="MM7" s="82" t="n"/>
      <c r="MN7" s="82" t="n"/>
      <c r="MO7" s="82" t="n"/>
      <c r="MP7" s="82" t="n"/>
      <c r="MQ7" s="82" t="n"/>
      <c r="MR7" s="82" t="n"/>
      <c r="MS7" s="82" t="n"/>
      <c r="MT7" s="82" t="n"/>
      <c r="MU7" s="82" t="n"/>
      <c r="MV7" s="82" t="n"/>
      <c r="MW7" s="82" t="n"/>
      <c r="MX7" s="82" t="n"/>
      <c r="MY7" s="83" t="n"/>
      <c r="NC7" s="92" t="inlineStr">
        <is>
          <t>0-500 hrs+ Inspection</t>
        </is>
      </c>
      <c r="ND7" s="82" t="n"/>
      <c r="NE7" s="82" t="n"/>
      <c r="NF7" s="82" t="n"/>
      <c r="NG7" s="82" t="n"/>
      <c r="NH7" s="82" t="n"/>
      <c r="NI7" s="82" t="n"/>
      <c r="NJ7" s="82" t="n"/>
      <c r="NK7" s="82" t="n"/>
      <c r="NL7" s="82" t="n"/>
      <c r="NM7" s="82" t="n"/>
      <c r="NN7" s="82" t="n"/>
      <c r="NO7" s="82" t="n"/>
      <c r="NP7" s="82" t="n"/>
      <c r="NQ7" s="82" t="n"/>
      <c r="NR7" s="82" t="n"/>
      <c r="NS7" s="82" t="n"/>
      <c r="NT7" s="82" t="n"/>
      <c r="NU7" s="82" t="n"/>
      <c r="NV7" s="82" t="n"/>
      <c r="NW7" s="82" t="n"/>
      <c r="NX7" s="82" t="n"/>
      <c r="NY7" s="82" t="n"/>
      <c r="NZ7" s="82" t="n"/>
      <c r="OA7" s="82" t="n"/>
      <c r="OB7" s="82" t="n"/>
      <c r="OC7" s="82" t="n"/>
      <c r="OD7" s="82" t="n"/>
      <c r="OE7" s="82" t="n"/>
      <c r="OF7" s="82" t="n"/>
      <c r="OG7" s="82" t="n"/>
      <c r="OH7" s="82" t="n"/>
      <c r="OI7" s="82" t="n"/>
      <c r="OJ7" s="82" t="n"/>
      <c r="OK7" s="82" t="n"/>
      <c r="OL7" s="82" t="n"/>
      <c r="OM7" s="82" t="n"/>
      <c r="ON7" s="82" t="n"/>
      <c r="OO7" s="82" t="n"/>
      <c r="OP7" s="82" t="n"/>
      <c r="OQ7" s="82" t="n"/>
      <c r="OR7" s="82" t="n"/>
      <c r="OS7" s="82" t="n"/>
      <c r="OT7" s="82" t="n"/>
      <c r="OU7" s="82" t="n"/>
      <c r="OV7" s="82" t="n"/>
      <c r="OW7" s="82" t="n"/>
      <c r="OX7" s="82" t="n"/>
      <c r="OY7" s="82" t="n"/>
      <c r="OZ7" s="82" t="n"/>
      <c r="PA7" s="82" t="n"/>
      <c r="PB7" s="82" t="n"/>
      <c r="PC7" s="82" t="n"/>
      <c r="PD7" s="82" t="n"/>
      <c r="PE7" s="82" t="n"/>
      <c r="PF7" s="82" t="n"/>
      <c r="PG7" s="82" t="n"/>
      <c r="PH7" s="82" t="n"/>
      <c r="PI7" s="82" t="n"/>
      <c r="PJ7" s="82" t="n"/>
      <c r="PK7" s="82" t="n"/>
      <c r="PL7" s="82" t="n"/>
      <c r="PM7" s="82" t="n"/>
      <c r="PN7" s="82" t="n"/>
      <c r="PO7" s="82" t="n"/>
      <c r="PP7" s="82" t="n"/>
      <c r="PQ7" s="82" t="n"/>
      <c r="PR7" s="82" t="n"/>
      <c r="PS7" s="82" t="n"/>
      <c r="PT7" s="82" t="n"/>
      <c r="PU7" s="82" t="n"/>
      <c r="PV7" s="82" t="n"/>
      <c r="PW7" s="82" t="n"/>
      <c r="PX7" s="83" t="n"/>
      <c r="PY7" s="93" t="inlineStr">
        <is>
          <t>501-1000 hrs + Inspection</t>
        </is>
      </c>
      <c r="PZ7" s="82" t="n"/>
      <c r="QA7" s="82" t="n"/>
      <c r="QB7" s="82" t="n"/>
      <c r="QC7" s="82" t="n"/>
      <c r="QD7" s="82" t="n"/>
      <c r="QE7" s="82" t="n"/>
      <c r="QF7" s="82" t="n"/>
      <c r="QG7" s="82" t="n"/>
      <c r="QH7" s="82" t="n"/>
      <c r="QI7" s="82" t="n"/>
      <c r="QJ7" s="82" t="n"/>
      <c r="QK7" s="82" t="n"/>
      <c r="QL7" s="82" t="n"/>
      <c r="QM7" s="82" t="n"/>
      <c r="QN7" s="82" t="n"/>
      <c r="QO7" s="82" t="n"/>
      <c r="QP7" s="82" t="n"/>
      <c r="QQ7" s="82" t="n"/>
      <c r="QR7" s="82" t="n"/>
      <c r="QS7" s="82" t="n"/>
      <c r="QT7" s="82" t="n"/>
      <c r="QU7" s="82" t="n"/>
      <c r="QV7" s="82" t="n"/>
      <c r="QW7" s="82" t="n"/>
      <c r="QX7" s="82" t="n"/>
      <c r="QY7" s="82" t="n"/>
      <c r="QZ7" s="82" t="n"/>
      <c r="RA7" s="82" t="n"/>
      <c r="RB7" s="82" t="n"/>
      <c r="RC7" s="82" t="n"/>
      <c r="RD7" s="82" t="n"/>
      <c r="RE7" s="82" t="n"/>
      <c r="RF7" s="82" t="n"/>
      <c r="RG7" s="82" t="n"/>
      <c r="RH7" s="82" t="n"/>
      <c r="RI7" s="82" t="n"/>
      <c r="RJ7" s="82" t="n"/>
      <c r="RK7" s="82" t="n"/>
      <c r="RL7" s="82" t="n"/>
      <c r="RM7" s="82" t="n"/>
      <c r="RN7" s="82" t="n"/>
      <c r="RO7" s="82" t="n"/>
      <c r="RP7" s="82" t="n"/>
      <c r="RQ7" s="82" t="n"/>
      <c r="RR7" s="83" t="n"/>
    </row>
    <row r="8">
      <c r="A8" s="84" t="inlineStr">
        <is>
          <t>SGW00208</t>
        </is>
      </c>
      <c r="B8" s="84" t="inlineStr">
        <is>
          <t>966GC T3 TB #3</t>
        </is>
      </c>
      <c r="GJ8" s="94" t="inlineStr">
        <is>
          <t>CPM + Collision Avoidance</t>
        </is>
      </c>
      <c r="GK8" s="82" t="n"/>
      <c r="GL8" s="82" t="n"/>
      <c r="GM8" s="82" t="n"/>
      <c r="GN8" s="82" t="n"/>
      <c r="GO8" s="82" t="n"/>
      <c r="GP8" s="82" t="n"/>
      <c r="GQ8" s="82" t="n"/>
      <c r="GR8" s="82" t="n"/>
      <c r="GS8" s="82" t="n"/>
      <c r="GT8" s="82" t="n"/>
      <c r="GU8" s="82" t="n"/>
      <c r="GV8" s="82" t="n"/>
      <c r="GW8" s="82" t="n"/>
      <c r="GX8" s="82" t="n"/>
      <c r="GY8" s="82" t="n"/>
      <c r="GZ8" s="82" t="n"/>
      <c r="HA8" s="82" t="n"/>
      <c r="HB8" s="82" t="n"/>
      <c r="HC8" s="82" t="n"/>
      <c r="HD8" s="82" t="n"/>
      <c r="HE8" s="82" t="n"/>
      <c r="HF8" s="82" t="n"/>
      <c r="HG8" s="82" t="n"/>
      <c r="HH8" s="82" t="n"/>
      <c r="HI8" s="82" t="n"/>
      <c r="HJ8" s="82" t="n"/>
      <c r="HK8" s="82" t="n"/>
      <c r="HL8" s="82" t="n"/>
      <c r="HM8" s="82" t="n"/>
      <c r="HN8" s="82" t="n"/>
      <c r="HO8" s="82" t="n"/>
      <c r="HP8" s="82" t="n"/>
      <c r="HQ8" s="82" t="n"/>
      <c r="HR8" s="82" t="n"/>
      <c r="HS8" s="82" t="n"/>
      <c r="HT8" s="82" t="n"/>
      <c r="HU8" s="82" t="n"/>
      <c r="HV8" s="82" t="n"/>
      <c r="HW8" s="82" t="n"/>
      <c r="HX8" s="82" t="n"/>
      <c r="HY8" s="82" t="n"/>
      <c r="HZ8" s="82" t="n"/>
      <c r="IA8" s="82" t="n"/>
      <c r="IB8" s="82" t="n"/>
      <c r="IC8" s="82" t="n"/>
      <c r="ID8" s="82" t="n"/>
      <c r="IE8" s="82" t="n"/>
      <c r="IF8" s="82" t="n"/>
      <c r="IG8" s="82" t="n"/>
      <c r="IH8" s="82" t="n"/>
      <c r="II8" s="82" t="n"/>
      <c r="IJ8" s="82" t="n"/>
      <c r="IK8" s="82" t="n"/>
      <c r="IL8" s="82" t="n"/>
      <c r="IM8" s="82" t="n"/>
      <c r="IN8" s="82" t="n"/>
      <c r="IO8" s="82" t="n"/>
      <c r="IP8" s="82" t="n"/>
      <c r="IQ8" s="82" t="n"/>
      <c r="IR8" s="82" t="n"/>
      <c r="IS8" s="82" t="n"/>
      <c r="IT8" s="82" t="n"/>
      <c r="IU8" s="82" t="n"/>
      <c r="IV8" s="82" t="n"/>
      <c r="IW8" s="82" t="n"/>
      <c r="IX8" s="82" t="n"/>
      <c r="IY8" s="82" t="n"/>
      <c r="IZ8" s="82" t="n"/>
      <c r="JA8" s="82" t="n"/>
      <c r="JB8" s="82" t="n"/>
      <c r="JC8" s="82" t="n"/>
      <c r="JD8" s="82" t="n"/>
      <c r="JE8" s="82" t="n"/>
      <c r="JF8" s="82" t="n"/>
      <c r="JG8" s="82" t="n"/>
      <c r="JH8" s="82" t="n"/>
      <c r="JI8" s="82" t="n"/>
      <c r="JJ8" s="82" t="n"/>
      <c r="JK8" s="82" t="n"/>
      <c r="JL8" s="82" t="n"/>
      <c r="JM8" s="82" t="n"/>
      <c r="JN8" s="82" t="n"/>
      <c r="JO8" s="82" t="n"/>
      <c r="JP8" s="82" t="n"/>
      <c r="JQ8" s="82" t="n"/>
      <c r="JR8" s="82" t="n"/>
      <c r="JS8" s="82" t="n"/>
      <c r="JT8" s="82" t="n"/>
      <c r="JU8" s="82" t="n"/>
      <c r="JV8" s="82" t="n"/>
      <c r="JW8" s="82" t="n"/>
      <c r="JX8" s="82" t="n"/>
      <c r="JY8" s="82" t="n"/>
      <c r="JZ8" s="82" t="n"/>
      <c r="KA8" s="82" t="n"/>
      <c r="KB8" s="82" t="n"/>
      <c r="KC8" s="82" t="n"/>
      <c r="KD8" s="82" t="n"/>
      <c r="KE8" s="82" t="n"/>
      <c r="KF8" s="82" t="n"/>
      <c r="KG8" s="82" t="n"/>
      <c r="KH8" s="82" t="n"/>
      <c r="KI8" s="82" t="n"/>
      <c r="KJ8" s="82" t="n"/>
      <c r="KK8" s="82" t="n"/>
      <c r="KL8" s="82" t="n"/>
      <c r="KM8" s="82" t="n"/>
      <c r="KN8" s="82" t="n"/>
      <c r="KO8" s="82" t="n"/>
      <c r="KP8" s="82" t="n"/>
      <c r="KQ8" s="82" t="n"/>
      <c r="KR8" s="82" t="n"/>
      <c r="KS8" s="82" t="n"/>
      <c r="KT8" s="82" t="n"/>
      <c r="KU8" s="82" t="n"/>
      <c r="KV8" s="82" t="n"/>
      <c r="KW8" s="82" t="n"/>
      <c r="KX8" s="82" t="n"/>
      <c r="KY8" s="82" t="n"/>
      <c r="KZ8" s="83" t="n"/>
      <c r="ML8" s="95" t="inlineStr">
        <is>
          <t>Machine Update</t>
        </is>
      </c>
      <c r="MM8" s="82" t="n"/>
      <c r="MN8" s="82" t="n"/>
      <c r="MO8" s="82" t="n"/>
      <c r="MP8" s="82" t="n"/>
      <c r="MQ8" s="83" t="n"/>
      <c r="MR8" s="85" t="inlineStr">
        <is>
          <t>Limited Slip Differential Driveline Signature- Prototype Iron</t>
        </is>
      </c>
      <c r="MS8" s="82" t="n"/>
      <c r="MT8" s="82" t="n"/>
      <c r="MU8" s="82" t="n"/>
      <c r="MV8" s="82" t="n"/>
      <c r="MW8" s="82" t="n"/>
      <c r="MX8" s="82" t="n"/>
      <c r="MY8" s="82" t="n"/>
      <c r="MZ8" s="82" t="n"/>
      <c r="NA8" s="82" t="n"/>
      <c r="NB8" s="82" t="n"/>
      <c r="NC8" s="82" t="n"/>
      <c r="ND8" s="82" t="n"/>
      <c r="NE8" s="82" t="n"/>
      <c r="NF8" s="82" t="n"/>
      <c r="NG8" s="82" t="n"/>
      <c r="NH8" s="82" t="n"/>
      <c r="NI8" s="82" t="n"/>
      <c r="NJ8" s="82" t="n"/>
      <c r="NK8" s="82" t="n"/>
      <c r="NL8" s="82" t="n"/>
      <c r="NM8" s="82" t="n"/>
      <c r="NN8" s="82" t="n"/>
      <c r="NO8" s="82" t="n"/>
      <c r="NP8" s="82" t="n"/>
      <c r="NQ8" s="82" t="n"/>
      <c r="NR8" s="82" t="n"/>
      <c r="NS8" s="82" t="n"/>
      <c r="NT8" s="82" t="n"/>
      <c r="NU8" s="82" t="n"/>
      <c r="NV8" s="82" t="n"/>
      <c r="NW8" s="82" t="n"/>
      <c r="NX8" s="83" t="n"/>
      <c r="NY8" s="86" t="inlineStr">
        <is>
          <t>US Thanksgiving</t>
        </is>
      </c>
      <c r="NZ8" s="82" t="n"/>
      <c r="OA8" s="82" t="n"/>
      <c r="OB8" s="82" t="n"/>
      <c r="OC8" s="82" t="n"/>
      <c r="OD8" s="82" t="n"/>
      <c r="OE8" s="83" t="n"/>
      <c r="OF8" s="85" t="inlineStr">
        <is>
          <t>Driveline Signature-cont'd</t>
        </is>
      </c>
      <c r="OG8" s="82" t="n"/>
      <c r="OH8" s="82" t="n"/>
      <c r="OI8" s="82" t="n"/>
      <c r="OJ8" s="82" t="n"/>
      <c r="OK8" s="82" t="n"/>
      <c r="OL8" s="82" t="n"/>
      <c r="OM8" s="82" t="n"/>
      <c r="ON8" s="82" t="n"/>
      <c r="OO8" s="82" t="n"/>
      <c r="OP8" s="82" t="n"/>
      <c r="OQ8" s="82" t="n"/>
      <c r="OR8" s="83" t="n"/>
      <c r="OS8" s="87" t="inlineStr">
        <is>
          <t>100 hr Endurance ( With Prototype LSD iron)</t>
        </is>
      </c>
      <c r="OT8" s="82" t="n"/>
      <c r="OU8" s="82" t="n"/>
      <c r="OV8" s="82" t="n"/>
      <c r="OW8" s="82" t="n"/>
      <c r="OX8" s="82" t="n"/>
      <c r="OY8" s="82" t="n"/>
      <c r="OZ8" s="82" t="n"/>
      <c r="PA8" s="83" t="n"/>
      <c r="RI8" s="85" t="inlineStr">
        <is>
          <t>Machine Update for UPT and LPT LCP Parts</t>
        </is>
      </c>
      <c r="RJ8" s="82" t="n"/>
      <c r="RK8" s="82" t="n"/>
      <c r="RL8" s="82" t="n"/>
      <c r="RM8" s="82" t="n"/>
      <c r="RN8" s="82" t="n"/>
      <c r="RO8" s="82" t="n"/>
      <c r="RP8" s="82" t="n"/>
      <c r="RQ8" s="82" t="n"/>
      <c r="RR8" s="82" t="n"/>
      <c r="RS8" s="82" t="n"/>
      <c r="RT8" s="82" t="n"/>
      <c r="RU8" s="83" t="n"/>
      <c r="RX8" s="88" t="inlineStr">
        <is>
          <t>Machine Checkout STP-64/Opr Eval</t>
        </is>
      </c>
      <c r="RY8" s="82" t="n"/>
      <c r="RZ8" s="82" t="n"/>
      <c r="SA8" s="82" t="n"/>
      <c r="SB8" s="83" t="n"/>
      <c r="SC8" s="89" t="inlineStr">
        <is>
          <t>Endurance 0-250 hrs+ Service/Inspect</t>
        </is>
      </c>
      <c r="SD8" s="82" t="n"/>
      <c r="SE8" s="82" t="n"/>
      <c r="SF8" s="82" t="n"/>
      <c r="SG8" s="82" t="n"/>
      <c r="SH8" s="82" t="n"/>
      <c r="SI8" s="82" t="n"/>
      <c r="SJ8" s="82" t="n"/>
      <c r="SK8" s="82" t="n"/>
      <c r="SL8" s="82" t="n"/>
      <c r="SM8" s="82" t="n"/>
      <c r="SN8" s="82" t="n"/>
      <c r="SO8" s="82" t="n"/>
      <c r="SP8" s="82" t="n"/>
      <c r="SQ8" s="83" t="n"/>
      <c r="SR8" s="90" t="inlineStr">
        <is>
          <t>Endurance 251-500 hrs+ Service/Inspect</t>
        </is>
      </c>
      <c r="SS8" s="82" t="n"/>
      <c r="ST8" s="82" t="n"/>
      <c r="SU8" s="82" t="n"/>
      <c r="SV8" s="82" t="n"/>
      <c r="SW8" s="82" t="n"/>
      <c r="SX8" s="82" t="n"/>
      <c r="SY8" s="82" t="n"/>
      <c r="SZ8" s="82" t="n"/>
      <c r="TA8" s="82" t="n"/>
      <c r="TB8" s="82" t="n"/>
      <c r="TC8" s="82" t="n"/>
      <c r="TD8" s="82" t="n"/>
      <c r="TE8" s="82" t="n"/>
      <c r="TF8" s="83" t="n"/>
      <c r="TG8" s="91" t="inlineStr">
        <is>
          <t>Endurance 501-750 hrs+ Service/Inspect</t>
        </is>
      </c>
      <c r="TH8" s="82" t="n"/>
      <c r="TI8" s="82" t="n"/>
      <c r="TJ8" s="82" t="n"/>
      <c r="TK8" s="82" t="n"/>
      <c r="TL8" s="82" t="n"/>
      <c r="TM8" s="82" t="n"/>
      <c r="TN8" s="82" t="n"/>
      <c r="TO8" s="82" t="n"/>
      <c r="TP8" s="82" t="n"/>
      <c r="TQ8" s="82" t="n"/>
      <c r="TR8" s="82" t="n"/>
      <c r="TS8" s="82" t="n"/>
      <c r="TT8" s="82" t="n"/>
      <c r="TU8" s="83" t="n"/>
      <c r="TV8" s="92" t="inlineStr">
        <is>
          <t>Endurance 751-1000 hrs+ Service/Inspect</t>
        </is>
      </c>
      <c r="TW8" s="82" t="n"/>
      <c r="TX8" s="82" t="n"/>
      <c r="TY8" s="82" t="n"/>
      <c r="TZ8" s="82" t="n"/>
      <c r="UA8" s="82" t="n"/>
      <c r="UB8" s="82" t="n"/>
      <c r="UC8" s="82" t="n"/>
      <c r="UD8" s="82" t="n"/>
      <c r="UE8" s="82" t="n"/>
      <c r="UF8" s="82" t="n"/>
      <c r="UG8" s="82" t="n"/>
      <c r="UH8" s="82" t="n"/>
      <c r="UI8" s="82" t="n"/>
      <c r="UJ8" s="83" t="n"/>
      <c r="UK8" s="93" t="inlineStr">
        <is>
          <t>Endurance 1001-1250 hrs+ Service/Inspect</t>
        </is>
      </c>
      <c r="UL8" s="82" t="n"/>
      <c r="UM8" s="82" t="n"/>
      <c r="UN8" s="82" t="n"/>
      <c r="UO8" s="82" t="n"/>
      <c r="UP8" s="82" t="n"/>
      <c r="UQ8" s="82" t="n"/>
      <c r="UR8" s="82" t="n"/>
      <c r="US8" s="82" t="n"/>
      <c r="UT8" s="82" t="n"/>
      <c r="UU8" s="82" t="n"/>
      <c r="UV8" s="82" t="n"/>
      <c r="UW8" s="82" t="n"/>
      <c r="UX8" s="82" t="n"/>
      <c r="UY8" s="83" t="n"/>
      <c r="UZ8" s="94" t="inlineStr">
        <is>
          <t>Endurance 1251-1500 hrs+ Service/Inspect</t>
        </is>
      </c>
      <c r="VA8" s="82" t="n"/>
      <c r="VB8" s="82" t="n"/>
      <c r="VC8" s="82" t="n"/>
      <c r="VD8" s="82" t="n"/>
      <c r="VE8" s="82" t="n"/>
      <c r="VF8" s="82" t="n"/>
      <c r="VG8" s="82" t="n"/>
      <c r="VH8" s="82" t="n"/>
      <c r="VI8" s="82" t="n"/>
      <c r="VJ8" s="82" t="n"/>
      <c r="VK8" s="82" t="n"/>
      <c r="VL8" s="82" t="n"/>
      <c r="VM8" s="82" t="n"/>
      <c r="VN8" s="83" t="n"/>
      <c r="VO8" s="95" t="inlineStr">
        <is>
          <t>Endurance 1501-1750 hrs+ Service/Inspect</t>
        </is>
      </c>
      <c r="VP8" s="82" t="n"/>
      <c r="VQ8" s="82" t="n"/>
      <c r="VR8" s="82" t="n"/>
      <c r="VS8" s="82" t="n"/>
      <c r="VT8" s="82" t="n"/>
      <c r="VU8" s="82" t="n"/>
      <c r="VV8" s="82" t="n"/>
      <c r="VW8" s="82" t="n"/>
      <c r="VX8" s="82" t="n"/>
      <c r="VY8" s="82" t="n"/>
      <c r="VZ8" s="82" t="n"/>
      <c r="WA8" s="82" t="n"/>
      <c r="WB8" s="82" t="n"/>
      <c r="WC8" s="83" t="n"/>
      <c r="WD8" s="85" t="inlineStr">
        <is>
          <t>Endurance 1750-2000 hrs+ Service/Inspect</t>
        </is>
      </c>
      <c r="WE8" s="82" t="n"/>
      <c r="WF8" s="82" t="n"/>
      <c r="WG8" s="82" t="n"/>
      <c r="WH8" s="82" t="n"/>
      <c r="WI8" s="82" t="n"/>
      <c r="WJ8" s="82" t="n"/>
      <c r="WK8" s="82" t="n"/>
      <c r="WL8" s="82" t="n"/>
      <c r="WM8" s="82" t="n"/>
      <c r="WN8" s="82" t="n"/>
      <c r="WO8" s="82" t="n"/>
      <c r="WP8" s="82" t="n"/>
      <c r="WQ8" s="82" t="n"/>
      <c r="WR8" s="83" t="n"/>
      <c r="WS8" s="86" t="inlineStr">
        <is>
          <t>Full Inspection</t>
        </is>
      </c>
      <c r="WT8" s="82" t="n"/>
      <c r="WU8" s="82" t="n"/>
      <c r="WV8" s="82" t="n"/>
      <c r="WW8" s="82" t="n"/>
      <c r="WX8" s="82" t="n"/>
      <c r="WY8" s="82" t="n"/>
      <c r="WZ8" s="82" t="n"/>
      <c r="XA8" s="82" t="n"/>
      <c r="XB8" s="82" t="n"/>
      <c r="XC8" s="82" t="n"/>
      <c r="XD8" s="82" t="n"/>
      <c r="XE8" s="82" t="n"/>
      <c r="XF8" s="82" t="n"/>
      <c r="XG8" s="83" t="n"/>
    </row>
    <row r="9">
      <c r="A9" s="84" t="inlineStr">
        <is>
          <t>SGW00203</t>
        </is>
      </c>
      <c r="B9" s="84" t="inlineStr">
        <is>
          <t>966GC T3 TB #4</t>
        </is>
      </c>
      <c r="CR9" s="87" t="inlineStr">
        <is>
          <t>SYC Type Certification- Report 30 days after completion of Evaluation</t>
        </is>
      </c>
      <c r="CS9" s="82" t="n"/>
      <c r="CT9" s="82" t="n"/>
      <c r="CU9" s="82" t="n"/>
      <c r="CV9" s="82" t="n"/>
      <c r="CW9" s="82" t="n"/>
      <c r="CX9" s="82" t="n"/>
      <c r="CY9" s="83" t="n"/>
      <c r="EV9" s="88" t="inlineStr">
        <is>
          <t>AOC Fit-up and Perf Checkout</t>
        </is>
      </c>
      <c r="EW9" s="82" t="n"/>
      <c r="EX9" s="82" t="n"/>
      <c r="EY9" s="82" t="n"/>
      <c r="EZ9" s="82" t="n"/>
      <c r="FA9" s="82" t="n"/>
      <c r="FB9" s="82" t="n"/>
      <c r="FC9" s="82" t="n"/>
      <c r="FD9" s="82" t="n"/>
      <c r="FE9" s="82" t="n"/>
      <c r="FF9" s="82" t="n"/>
      <c r="FG9" s="82" t="n"/>
      <c r="FH9" s="82" t="n"/>
      <c r="FI9" s="82" t="n"/>
      <c r="FJ9" s="82" t="n"/>
      <c r="FK9" s="82" t="n"/>
      <c r="FL9" s="82" t="n"/>
      <c r="FM9" s="82" t="n"/>
      <c r="FN9" s="82" t="n"/>
      <c r="FO9" s="82" t="n"/>
      <c r="FP9" s="82" t="n"/>
      <c r="FQ9" s="82" t="n"/>
      <c r="FR9" s="82" t="n"/>
      <c r="FS9" s="82" t="n"/>
      <c r="FT9" s="82" t="n"/>
      <c r="FU9" s="82" t="n"/>
      <c r="FV9" s="82" t="n"/>
      <c r="FW9" s="82" t="n"/>
      <c r="FX9" s="82" t="n"/>
      <c r="FY9" s="82" t="n"/>
      <c r="FZ9" s="83" t="n"/>
    </row>
    <row r="10">
      <c r="A10" s="84" t="inlineStr">
        <is>
          <t>SG700101</t>
        </is>
      </c>
      <c r="B10" s="84" t="inlineStr">
        <is>
          <t>966GC Stage V TB #1</t>
        </is>
      </c>
      <c r="BN10" s="89" t="inlineStr">
        <is>
          <t>Ship Machine Aurora MDC</t>
        </is>
      </c>
      <c r="BO10" s="82" t="n"/>
      <c r="BP10" s="83" t="n"/>
      <c r="BU10" s="85" t="inlineStr">
        <is>
          <t xml:space="preserve">Machine Build </t>
        </is>
      </c>
      <c r="BV10" s="82" t="n"/>
      <c r="BW10" s="82" t="n"/>
      <c r="BX10" s="82" t="n"/>
      <c r="BY10" s="82" t="n"/>
      <c r="BZ10" s="82" t="n"/>
      <c r="CA10" s="82" t="n"/>
      <c r="CB10" s="82" t="n"/>
      <c r="CC10" s="82" t="n"/>
      <c r="CD10" s="82" t="n"/>
      <c r="CE10" s="82" t="n"/>
      <c r="CF10" s="82" t="n"/>
      <c r="CG10" s="82" t="n"/>
      <c r="CH10" s="82" t="n"/>
      <c r="CI10" s="82" t="n"/>
      <c r="CJ10" s="82" t="n"/>
      <c r="CK10" s="82" t="n"/>
      <c r="CL10" s="82" t="n"/>
      <c r="CM10" s="82" t="n"/>
      <c r="CN10" s="82" t="n"/>
      <c r="CO10" s="82" t="n"/>
      <c r="CP10" s="82" t="n"/>
      <c r="CQ10" s="82" t="n"/>
      <c r="CR10" s="82" t="n"/>
      <c r="CS10" s="82" t="n"/>
      <c r="CT10" s="82" t="n"/>
      <c r="CU10" s="82" t="n"/>
      <c r="CV10" s="82" t="n"/>
      <c r="CW10" s="82" t="n"/>
      <c r="CX10" s="82" t="n"/>
      <c r="CY10" s="82" t="n"/>
      <c r="CZ10" s="82" t="n"/>
      <c r="DA10" s="82" t="n"/>
      <c r="DB10" s="82" t="n"/>
      <c r="DC10" s="82" t="n"/>
      <c r="DD10" s="82" t="n"/>
      <c r="DE10" s="82" t="n"/>
      <c r="DF10" s="82" t="n"/>
      <c r="DG10" s="82" t="n"/>
      <c r="DH10" s="82" t="n"/>
      <c r="DI10" s="82" t="n"/>
      <c r="DJ10" s="82" t="n"/>
      <c r="DK10" s="82" t="n"/>
      <c r="DL10" s="82" t="n"/>
      <c r="DM10" s="82" t="n"/>
      <c r="DN10" s="82" t="n"/>
      <c r="DO10" s="82" t="n"/>
      <c r="DP10" s="82" t="n"/>
      <c r="DQ10" s="82" t="n"/>
      <c r="DR10" s="83" t="n"/>
      <c r="DS10" s="85" t="inlineStr">
        <is>
          <t xml:space="preserve">Build Issue resolution </t>
        </is>
      </c>
      <c r="DT10" s="82" t="n"/>
      <c r="DU10" s="82" t="n"/>
      <c r="DV10" s="82" t="n"/>
      <c r="DW10" s="82" t="n"/>
      <c r="DX10" s="82" t="n"/>
      <c r="DY10" s="82" t="n"/>
      <c r="DZ10" s="83" t="n"/>
      <c r="EB10" s="89" t="inlineStr">
        <is>
          <t>Ship Machine PPG</t>
        </is>
      </c>
      <c r="EC10" s="82" t="n"/>
      <c r="ED10" s="82" t="n"/>
      <c r="EE10" s="82" t="n"/>
      <c r="EF10" s="83" t="n"/>
      <c r="EM10" s="88" t="inlineStr">
        <is>
          <t>Machine Checkout STP-64</t>
        </is>
      </c>
      <c r="EN10" s="82" t="n"/>
      <c r="EO10" s="82" t="n"/>
      <c r="EP10" s="82" t="n"/>
      <c r="EQ10" s="83" t="n"/>
      <c r="FV10" s="91" t="inlineStr">
        <is>
          <t>Ver 01 SW (STP 230/289) (Steering, L5, XSMN)</t>
        </is>
      </c>
      <c r="FW10" s="82" t="n"/>
      <c r="FX10" s="82" t="n"/>
      <c r="FY10" s="82" t="n"/>
      <c r="FZ10" s="82" t="n"/>
      <c r="GA10" s="82" t="n"/>
      <c r="GB10" s="82" t="n"/>
      <c r="GC10" s="82" t="n"/>
      <c r="GD10" s="82" t="n"/>
      <c r="GE10" s="82" t="n"/>
      <c r="GF10" s="82" t="n"/>
      <c r="GG10" s="82" t="n"/>
      <c r="GH10" s="82" t="n"/>
      <c r="GI10" s="82" t="n"/>
      <c r="GJ10" s="82" t="n"/>
      <c r="GK10" s="82" t="n"/>
      <c r="GL10" s="83" t="n"/>
      <c r="GM10" s="90" t="inlineStr">
        <is>
          <t>L5 Performance Check (Include Thermal Mgmt Valve)</t>
        </is>
      </c>
      <c r="GN10" s="82" t="n"/>
      <c r="GO10" s="82" t="n"/>
      <c r="GP10" s="82" t="n"/>
      <c r="GQ10" s="82" t="n"/>
      <c r="GR10" s="82" t="n"/>
      <c r="GS10" s="82" t="n"/>
      <c r="GT10" s="82" t="n"/>
      <c r="GU10" s="82" t="n"/>
      <c r="GV10" s="82" t="n"/>
      <c r="GW10" s="82" t="n"/>
      <c r="GX10" s="83" t="n"/>
      <c r="GY10" s="91" t="inlineStr">
        <is>
          <t>Sound Development (Machine, Cab Sound)</t>
        </is>
      </c>
      <c r="GZ10" s="82" t="n"/>
      <c r="HA10" s="82" t="n"/>
      <c r="HB10" s="82" t="n"/>
      <c r="HC10" s="82" t="n"/>
      <c r="HD10" s="82" t="n"/>
      <c r="HE10" s="82" t="n"/>
      <c r="HF10" s="83" t="n"/>
      <c r="HH10" s="92" t="inlineStr">
        <is>
          <t>C9.3B Stage V Engine Performance</t>
        </is>
      </c>
      <c r="HI10" s="83" t="n"/>
      <c r="HL10" s="93" t="inlineStr">
        <is>
          <t>Trans Tuning</t>
        </is>
      </c>
      <c r="HM10" s="82" t="n"/>
      <c r="HN10" s="82" t="n"/>
      <c r="HO10" s="82" t="n"/>
      <c r="HP10" s="83" t="n"/>
      <c r="HS10" s="90" t="inlineStr">
        <is>
          <t>L5 Tuning # 1</t>
        </is>
      </c>
      <c r="HT10" s="82" t="n"/>
      <c r="HU10" s="82" t="n"/>
      <c r="HV10" s="83" t="n"/>
      <c r="HW10" s="90" t="inlineStr">
        <is>
          <t>Rimpull/Response</t>
        </is>
      </c>
      <c r="HX10" s="82" t="n"/>
      <c r="HY10" s="82" t="n"/>
      <c r="HZ10" s="82" t="n"/>
      <c r="IA10" s="82" t="n"/>
      <c r="IB10" s="82" t="n"/>
      <c r="IC10" s="82" t="n"/>
      <c r="ID10" s="82" t="n"/>
      <c r="IE10" s="82" t="n"/>
      <c r="IF10" s="82" t="n"/>
      <c r="IG10" s="82" t="n"/>
      <c r="IH10" s="82" t="n"/>
      <c r="II10" s="82" t="n"/>
      <c r="IJ10" s="82" t="n"/>
      <c r="IK10" s="82" t="n"/>
      <c r="IL10" s="82" t="n"/>
      <c r="IM10" s="82" t="n"/>
      <c r="IN10" s="82" t="n"/>
      <c r="IO10" s="82" t="n"/>
      <c r="IP10" s="83" t="n"/>
      <c r="IR10" s="94" t="inlineStr">
        <is>
          <t>Issue Resolution # 1</t>
        </is>
      </c>
      <c r="IS10" s="82" t="n"/>
      <c r="IT10" s="82" t="n"/>
      <c r="IU10" s="82" t="n"/>
      <c r="IV10" s="82" t="n"/>
      <c r="IW10" s="82" t="n"/>
      <c r="IX10" s="82" t="n"/>
      <c r="IY10" s="82" t="n"/>
      <c r="IZ10" s="82" t="n"/>
      <c r="JA10" s="82" t="n"/>
      <c r="JB10" s="83" t="n"/>
      <c r="JC10" s="95" t="inlineStr">
        <is>
          <t>HVAC Perf Checkout</t>
        </is>
      </c>
      <c r="JD10" s="82" t="n"/>
      <c r="JE10" s="83" t="n"/>
      <c r="JF10" s="85" t="inlineStr">
        <is>
          <t xml:space="preserve">Water Flow and Water System </t>
        </is>
      </c>
      <c r="JG10" s="82" t="n"/>
      <c r="JH10" s="82" t="n"/>
      <c r="JI10" s="82" t="n"/>
      <c r="JJ10" s="82" t="n"/>
      <c r="JK10" s="82" t="n"/>
      <c r="JL10" s="82" t="n"/>
      <c r="JM10" s="82" t="n"/>
      <c r="JN10" s="82" t="n"/>
      <c r="JO10" s="82" t="n"/>
      <c r="JP10" s="82" t="n"/>
      <c r="JQ10" s="83" t="n"/>
      <c r="JR10" s="86" t="inlineStr">
        <is>
          <t xml:space="preserve">Stg V Ambient Capability and UHT </t>
        </is>
      </c>
      <c r="JS10" s="82" t="n"/>
      <c r="JT10" s="82" t="n"/>
      <c r="JU10" s="82" t="n"/>
      <c r="JV10" s="82" t="n"/>
      <c r="JW10" s="82" t="n"/>
      <c r="JX10" s="82" t="n"/>
      <c r="JY10" s="82" t="n"/>
      <c r="JZ10" s="82" t="n"/>
      <c r="KA10" s="82" t="n"/>
      <c r="KB10" s="82" t="n"/>
      <c r="KC10" s="82" t="n"/>
      <c r="KD10" s="82" t="n"/>
      <c r="KE10" s="82" t="n"/>
      <c r="KF10" s="82" t="n"/>
      <c r="KG10" s="82" t="n"/>
      <c r="KH10" s="82" t="n"/>
      <c r="KI10" s="82" t="n"/>
      <c r="KJ10" s="82" t="n"/>
      <c r="KK10" s="82" t="n"/>
      <c r="KL10" s="82" t="n"/>
      <c r="KM10" s="82" t="n"/>
      <c r="KN10" s="82" t="n"/>
      <c r="KO10" s="82" t="n"/>
      <c r="KP10" s="82" t="n"/>
      <c r="KQ10" s="82" t="n"/>
      <c r="KR10" s="82" t="n"/>
      <c r="KS10" s="82" t="n"/>
      <c r="KT10" s="82" t="n"/>
      <c r="KU10" s="82" t="n"/>
      <c r="KV10" s="82" t="n"/>
      <c r="KW10" s="82" t="n"/>
      <c r="KX10" s="82" t="n"/>
      <c r="KY10" s="82" t="n"/>
      <c r="KZ10" s="82" t="n"/>
      <c r="LA10" s="82" t="n"/>
      <c r="LB10" s="82" t="n"/>
      <c r="LC10" s="82" t="n"/>
      <c r="LD10" s="82" t="n"/>
      <c r="LE10" s="82" t="n"/>
      <c r="LF10" s="82" t="n"/>
      <c r="LG10" s="82" t="n"/>
      <c r="LH10" s="82" t="n"/>
      <c r="LI10" s="82" t="n"/>
      <c r="LJ10" s="82" t="n"/>
      <c r="LK10" s="82" t="n"/>
      <c r="LL10" s="82" t="n"/>
      <c r="LM10" s="82" t="n"/>
      <c r="LN10" s="82" t="n"/>
      <c r="LO10" s="82" t="n"/>
      <c r="LP10" s="82" t="n"/>
      <c r="LQ10" s="82" t="n"/>
      <c r="LR10" s="82" t="n"/>
      <c r="LS10" s="82" t="n"/>
      <c r="LT10" s="82" t="n"/>
      <c r="LU10" s="83" t="n"/>
      <c r="LV10" s="91" t="inlineStr">
        <is>
          <t>Ver 02 SW (STP 230/289) (Steering, L5, XSMN)</t>
        </is>
      </c>
      <c r="LW10" s="83" t="n"/>
      <c r="LX10" s="85" t="inlineStr">
        <is>
          <t>Machine Update</t>
        </is>
      </c>
      <c r="LY10" s="82" t="n"/>
      <c r="LZ10" s="82" t="n"/>
      <c r="MA10" s="82" t="n"/>
      <c r="MB10" s="82" t="n"/>
      <c r="MC10" s="83" t="n"/>
      <c r="MD10" s="87" t="inlineStr">
        <is>
          <t>Light Structures (Stg V Hood-Version 2) OMSA</t>
        </is>
      </c>
      <c r="ME10" s="82" t="n"/>
      <c r="MF10" s="82" t="n"/>
      <c r="MG10" s="82" t="n"/>
      <c r="MH10" s="82" t="n"/>
      <c r="MI10" s="82" t="n"/>
      <c r="MJ10" s="82" t="n"/>
      <c r="MK10" s="82" t="n"/>
      <c r="ML10" s="82" t="n"/>
      <c r="MM10" s="82" t="n"/>
      <c r="MN10" s="82" t="n"/>
      <c r="MO10" s="82" t="n"/>
      <c r="MP10" s="82" t="n"/>
      <c r="MQ10" s="82" t="n"/>
      <c r="MR10" s="82" t="n"/>
      <c r="MS10" s="82" t="n"/>
      <c r="MT10" s="82" t="n"/>
      <c r="MU10" s="82" t="n"/>
      <c r="MV10" s="82" t="n"/>
      <c r="MW10" s="82" t="n"/>
      <c r="MX10" s="82" t="n"/>
      <c r="MY10" s="82" t="n"/>
      <c r="MZ10" s="82" t="n"/>
      <c r="NA10" s="82" t="n"/>
      <c r="NB10" s="82" t="n"/>
      <c r="NC10" s="82" t="n"/>
      <c r="ND10" s="82" t="n"/>
      <c r="NE10" s="82" t="n"/>
      <c r="NF10" s="82" t="n"/>
      <c r="NG10" s="82" t="n"/>
      <c r="NH10" s="82" t="n"/>
      <c r="NI10" s="82" t="n"/>
      <c r="NJ10" s="82" t="n"/>
      <c r="NK10" s="82" t="n"/>
      <c r="NL10" s="82" t="n"/>
      <c r="NM10" s="82" t="n"/>
      <c r="NN10" s="82" t="n"/>
      <c r="NO10" s="82" t="n"/>
      <c r="NP10" s="82" t="n"/>
      <c r="NQ10" s="82" t="n"/>
      <c r="NR10" s="82" t="n"/>
      <c r="NS10" s="82" t="n"/>
      <c r="NT10" s="82" t="n"/>
      <c r="NU10" s="82" t="n"/>
      <c r="NV10" s="82" t="n"/>
      <c r="NW10" s="82" t="n"/>
      <c r="NX10" s="82" t="n"/>
      <c r="NY10" s="82" t="n"/>
      <c r="NZ10" s="82" t="n"/>
      <c r="OA10" s="82" t="n"/>
      <c r="OB10" s="82" t="n"/>
      <c r="OC10" s="82" t="n"/>
      <c r="OD10" s="82" t="n"/>
      <c r="OE10" s="83" t="n"/>
      <c r="OF10" s="86" t="inlineStr">
        <is>
          <t>US Thanksgiving</t>
        </is>
      </c>
      <c r="OG10" s="82" t="n"/>
      <c r="OH10" s="82" t="n"/>
      <c r="OI10" s="82" t="n"/>
      <c r="OJ10" s="82" t="n"/>
      <c r="OK10" s="82" t="n"/>
      <c r="OL10" s="83" t="n"/>
      <c r="OM10" s="87" t="inlineStr">
        <is>
          <t>Light Structures (Stg V Hood-Version 2) OMSA- Teardown</t>
        </is>
      </c>
      <c r="ON10" s="82" t="n"/>
      <c r="OO10" s="82" t="n"/>
      <c r="OP10" s="82" t="n"/>
      <c r="OQ10" s="82" t="n"/>
      <c r="OR10" s="82" t="n"/>
      <c r="OS10" s="83" t="n"/>
      <c r="OT10" s="91" t="inlineStr">
        <is>
          <t>Ver 03 SW (STP 230/289) (L5, XSMN, Engine)</t>
        </is>
      </c>
      <c r="OU10" s="83" t="n"/>
      <c r="OV10" s="92" t="inlineStr">
        <is>
          <t>STP 401 Engine Install Audit</t>
        </is>
      </c>
      <c r="OW10" s="83" t="n"/>
      <c r="OZ10" s="88" t="inlineStr">
        <is>
          <t>DEF and Fuel Tank Calibration</t>
        </is>
      </c>
      <c r="PA10" s="83" t="n"/>
      <c r="PB10" s="86" t="inlineStr">
        <is>
          <t>US Christmas and New Year Holiday</t>
        </is>
      </c>
      <c r="PC10" s="82" t="n"/>
      <c r="PD10" s="82" t="n"/>
      <c r="PE10" s="82" t="n"/>
      <c r="PF10" s="82" t="n"/>
      <c r="PG10" s="82" t="n"/>
      <c r="PH10" s="82" t="n"/>
      <c r="PI10" s="82" t="n"/>
      <c r="PJ10" s="82" t="n"/>
      <c r="PK10" s="82" t="n"/>
      <c r="PL10" s="82" t="n"/>
      <c r="PM10" s="82" t="n"/>
      <c r="PN10" s="83" t="n"/>
      <c r="PO10" s="92" t="inlineStr">
        <is>
          <t>Thermal Mgmt</t>
        </is>
      </c>
      <c r="PP10" s="83" t="n"/>
      <c r="PQ10" s="92" t="inlineStr">
        <is>
          <t>Thermal Mgmt endurance-300 hrs</t>
        </is>
      </c>
      <c r="PR10" s="82" t="n"/>
      <c r="PS10" s="82" t="n"/>
      <c r="PT10" s="82" t="n"/>
      <c r="PU10" s="82" t="n"/>
      <c r="PV10" s="82" t="n"/>
      <c r="PW10" s="82" t="n"/>
      <c r="PX10" s="82" t="n"/>
      <c r="PY10" s="82" t="n"/>
      <c r="PZ10" s="82" t="n"/>
      <c r="QA10" s="82" t="n"/>
      <c r="QB10" s="82" t="n"/>
      <c r="QC10" s="82" t="n"/>
      <c r="QD10" s="82" t="n"/>
      <c r="QE10" s="83" t="n"/>
      <c r="QF10" s="94" t="inlineStr">
        <is>
          <t>Issue Resolution # 2</t>
        </is>
      </c>
      <c r="QG10" s="82" t="n"/>
      <c r="QH10" s="82" t="n"/>
      <c r="QI10" s="82" t="n"/>
      <c r="QJ10" s="82" t="n"/>
      <c r="QK10" s="82" t="n"/>
      <c r="QL10" s="82" t="n"/>
      <c r="QM10" s="83" t="n"/>
      <c r="QP10" s="90" t="inlineStr">
        <is>
          <t>L5 Tuning and Performance Check # 2</t>
        </is>
      </c>
      <c r="QQ10" s="82" t="n"/>
      <c r="QR10" s="82" t="n"/>
      <c r="QS10" s="82" t="n"/>
      <c r="QT10" s="82" t="n"/>
      <c r="QU10" s="82" t="n"/>
      <c r="QV10" s="82" t="n"/>
      <c r="QW10" s="83" t="n"/>
      <c r="QX10" s="91" t="inlineStr">
        <is>
          <t>Ver 04 SW (STP 230/289) (Steering, L5, XSMN, Engine) BOB</t>
        </is>
      </c>
      <c r="QY10" s="82" t="n"/>
      <c r="QZ10" s="82" t="n"/>
      <c r="RA10" s="82" t="n"/>
      <c r="RB10" s="82" t="n"/>
      <c r="RC10" s="82" t="n"/>
      <c r="RD10" s="82" t="n"/>
      <c r="RE10" s="82" t="n"/>
      <c r="RF10" s="82" t="n"/>
      <c r="RG10" s="82" t="n"/>
      <c r="RH10" s="82" t="n"/>
      <c r="RI10" s="82" t="n"/>
      <c r="RJ10" s="82" t="n"/>
      <c r="RK10" s="82" t="n"/>
      <c r="RL10" s="82" t="n"/>
      <c r="RM10" s="82" t="n"/>
      <c r="RN10" s="83" t="n"/>
      <c r="RS10" s="88" t="inlineStr">
        <is>
          <t>Dust Ejector Measurement</t>
        </is>
      </c>
      <c r="RT10" s="82" t="n"/>
      <c r="RU10" s="82" t="n"/>
      <c r="RV10" s="83" t="n"/>
      <c r="SB10" s="85" t="inlineStr">
        <is>
          <t>Limited Slip Differential Driveline Signature- Prod Iron</t>
        </is>
      </c>
      <c r="SC10" s="82" t="n"/>
      <c r="SD10" s="82" t="n"/>
      <c r="SE10" s="82" t="n"/>
      <c r="SF10" s="82" t="n"/>
      <c r="SG10" s="82" t="n"/>
      <c r="SH10" s="82" t="n"/>
      <c r="SI10" s="82" t="n"/>
      <c r="SJ10" s="82" t="n"/>
      <c r="SK10" s="82" t="n"/>
      <c r="SL10" s="82" t="n"/>
      <c r="SM10" s="82" t="n"/>
      <c r="SN10" s="82" t="n"/>
      <c r="SO10" s="82" t="n"/>
      <c r="SP10" s="82" t="n"/>
      <c r="SQ10" s="82" t="n"/>
      <c r="SR10" s="82" t="n"/>
      <c r="SS10" s="82" t="n"/>
      <c r="ST10" s="82" t="n"/>
      <c r="SU10" s="82" t="n"/>
      <c r="SV10" s="82" t="n"/>
      <c r="SW10" s="82" t="n"/>
      <c r="SX10" s="82" t="n"/>
      <c r="SY10" s="82" t="n"/>
      <c r="SZ10" s="82" t="n"/>
      <c r="TA10" s="82" t="n"/>
      <c r="TB10" s="82" t="n"/>
      <c r="TC10" s="82" t="n"/>
      <c r="TD10" s="82" t="n"/>
      <c r="TE10" s="82" t="n"/>
      <c r="TF10" s="82" t="n"/>
      <c r="TG10" s="82" t="n"/>
      <c r="TH10" s="82" t="n"/>
      <c r="TI10" s="82" t="n"/>
      <c r="TJ10" s="82" t="n"/>
      <c r="TK10" s="82" t="n"/>
      <c r="TL10" s="82" t="n"/>
      <c r="TM10" s="82" t="n"/>
      <c r="TN10" s="82" t="n"/>
      <c r="TO10" s="82" t="n"/>
      <c r="TP10" s="82" t="n"/>
      <c r="TQ10" s="82" t="n"/>
      <c r="TR10" s="82" t="n"/>
      <c r="TS10" s="82" t="n"/>
      <c r="TT10" s="82" t="n"/>
      <c r="TU10" s="82" t="n"/>
      <c r="TV10" s="82" t="n"/>
      <c r="TW10" s="82" t="n"/>
      <c r="TX10" s="82" t="n"/>
      <c r="TY10" s="83" t="n"/>
      <c r="UF10" s="94" t="inlineStr">
        <is>
          <t>Issue Resolution # 3</t>
        </is>
      </c>
      <c r="UG10" s="82" t="n"/>
      <c r="UH10" s="82" t="n"/>
      <c r="UI10" s="82" t="n"/>
      <c r="UJ10" s="82" t="n"/>
      <c r="UK10" s="82" t="n"/>
      <c r="UL10" s="82" t="n"/>
      <c r="UM10" s="82" t="n"/>
      <c r="UN10" s="82" t="n"/>
      <c r="UO10" s="82" t="n"/>
      <c r="UP10" s="82" t="n"/>
      <c r="UQ10" s="82" t="n"/>
      <c r="UR10" s="82" t="n"/>
      <c r="US10" s="82" t="n"/>
      <c r="UT10" s="82" t="n"/>
      <c r="UU10" s="82" t="n"/>
      <c r="UV10" s="82" t="n"/>
      <c r="UW10" s="82" t="n"/>
      <c r="UX10" s="82" t="n"/>
      <c r="UY10" s="83" t="n"/>
    </row>
    <row r="11">
      <c r="A11" s="84" t="inlineStr">
        <is>
          <t>SG800101</t>
        </is>
      </c>
      <c r="B11" s="84" t="inlineStr">
        <is>
          <t>QPG 966GC CNR4 TB#2</t>
        </is>
      </c>
      <c r="AD11" s="85" t="inlineStr">
        <is>
          <t>Machine Build + Issue Resolution</t>
        </is>
      </c>
      <c r="AE11" s="82" t="n"/>
      <c r="AF11" s="82" t="n"/>
      <c r="AG11" s="82" t="n"/>
      <c r="AH11" s="82" t="n"/>
      <c r="AI11" s="82" t="n"/>
      <c r="AJ11" s="82" t="n"/>
      <c r="AK11" s="82" t="n"/>
      <c r="AL11" s="82" t="n"/>
      <c r="AM11" s="82" t="n"/>
      <c r="AN11" s="82" t="n"/>
      <c r="AO11" s="82" t="n"/>
      <c r="AP11" s="82" t="n"/>
      <c r="AQ11" s="82" t="n"/>
      <c r="AR11" s="82" t="n"/>
      <c r="AS11" s="82" t="n"/>
      <c r="AT11" s="82" t="n"/>
      <c r="AU11" s="82" t="n"/>
      <c r="AV11" s="82" t="n"/>
      <c r="AW11" s="82" t="n"/>
      <c r="AX11" s="82" t="n"/>
      <c r="AY11" s="82" t="n"/>
      <c r="AZ11" s="82" t="n"/>
      <c r="BA11" s="82" t="n"/>
      <c r="BB11" s="82" t="n"/>
      <c r="BC11" s="82" t="n"/>
      <c r="BD11" s="82" t="n"/>
      <c r="BE11" s="82" t="n"/>
      <c r="BF11" s="83" t="n"/>
      <c r="CF11" s="89" t="inlineStr">
        <is>
          <t>China New Year</t>
        </is>
      </c>
      <c r="CG11" s="82" t="n"/>
      <c r="CH11" s="82" t="n"/>
      <c r="CI11" s="82" t="n"/>
      <c r="CJ11" s="82" t="n"/>
      <c r="CK11" s="82" t="n"/>
      <c r="CL11" s="82" t="n"/>
      <c r="CM11" s="83" t="n"/>
      <c r="CY11" s="90" t="inlineStr">
        <is>
          <t>L5 Checkout</t>
        </is>
      </c>
      <c r="CZ11" s="82" t="n"/>
      <c r="DA11" s="82" t="n"/>
      <c r="DB11" s="82" t="n"/>
      <c r="DC11" s="82" t="n"/>
      <c r="DD11" s="82" t="n"/>
      <c r="DE11" s="82" t="n"/>
      <c r="DF11" s="82" t="n"/>
      <c r="DG11" s="82" t="n"/>
      <c r="DH11" s="82" t="n"/>
      <c r="DI11" s="82" t="n"/>
      <c r="DJ11" s="82" t="n"/>
      <c r="DK11" s="82" t="n"/>
      <c r="DL11" s="83" t="n"/>
      <c r="DM11" s="88" t="inlineStr">
        <is>
          <t>Machine Checkout STP-64</t>
        </is>
      </c>
      <c r="DN11" s="82" t="n"/>
      <c r="DO11" s="82" t="n"/>
      <c r="DP11" s="82" t="n"/>
      <c r="DQ11" s="82" t="n"/>
      <c r="DR11" s="82" t="n"/>
      <c r="DS11" s="82" t="n"/>
      <c r="DT11" s="82" t="n"/>
      <c r="DU11" s="82" t="n"/>
      <c r="DV11" s="82" t="n"/>
      <c r="DW11" s="82" t="n"/>
      <c r="DX11" s="82" t="n"/>
      <c r="DY11" s="82" t="n"/>
      <c r="DZ11" s="83" t="n"/>
      <c r="EA11" s="91" t="inlineStr">
        <is>
          <t>Sound Test screening</t>
        </is>
      </c>
      <c r="EB11" s="83" t="n"/>
      <c r="EI11" s="93" t="inlineStr">
        <is>
          <t>Trans checkout (Lead by CRDC UPT team)</t>
        </is>
      </c>
      <c r="EJ11" s="82" t="n"/>
      <c r="EK11" s="82" t="n"/>
      <c r="EL11" s="82" t="n"/>
      <c r="EM11" s="82" t="n"/>
      <c r="EN11" s="82" t="n"/>
      <c r="EO11" s="82" t="n"/>
      <c r="EP11" s="82" t="n"/>
      <c r="EQ11" s="82" t="n"/>
      <c r="ER11" s="82" t="n"/>
      <c r="ES11" s="82" t="n"/>
      <c r="ET11" s="82" t="n"/>
      <c r="EU11" s="82" t="n"/>
      <c r="EV11" s="83" t="n"/>
      <c r="EW11" s="91" t="inlineStr">
        <is>
          <t>Sound Test (including cab glass) ISO 9533, HAWB</t>
        </is>
      </c>
      <c r="EX11" s="82" t="n"/>
      <c r="EY11" s="82" t="n"/>
      <c r="EZ11" s="82" t="n"/>
      <c r="FA11" s="82" t="n"/>
      <c r="FB11" s="82" t="n"/>
      <c r="FC11" s="82" t="n"/>
      <c r="FD11" s="82" t="n"/>
      <c r="FE11" s="82" t="n"/>
      <c r="FF11" s="82" t="n"/>
      <c r="FG11" s="82" t="n"/>
      <c r="FH11" s="82" t="n"/>
      <c r="FI11" s="82" t="n"/>
      <c r="FJ11" s="83" t="n"/>
      <c r="FK11" s="91" t="inlineStr">
        <is>
          <t>Stg V Ver 01 SW (STP 230)</t>
        </is>
      </c>
      <c r="FL11" s="82" t="n"/>
      <c r="FM11" s="82" t="n"/>
      <c r="FN11" s="82" t="n"/>
      <c r="FO11" s="82" t="n"/>
      <c r="FP11" s="83" t="n"/>
      <c r="FQ11" s="94" t="inlineStr">
        <is>
          <t>Issue Resolution # 1</t>
        </is>
      </c>
      <c r="FR11" s="82" t="n"/>
      <c r="FS11" s="82" t="n"/>
      <c r="FT11" s="82" t="n"/>
      <c r="FU11" s="82" t="n"/>
      <c r="FV11" s="82" t="n"/>
      <c r="FW11" s="82" t="n"/>
      <c r="FX11" s="83" t="n"/>
      <c r="FY11" s="88" t="inlineStr">
        <is>
          <t>Engine Installation Audit</t>
        </is>
      </c>
      <c r="FZ11" s="82" t="n"/>
      <c r="GA11" s="82" t="n"/>
      <c r="GB11" s="82" t="n"/>
      <c r="GC11" s="82" t="n"/>
      <c r="GD11" s="82" t="n"/>
      <c r="GE11" s="82" t="n"/>
      <c r="GF11" s="82" t="n"/>
      <c r="GG11" s="82" t="n"/>
      <c r="GH11" s="82" t="n"/>
      <c r="GI11" s="82" t="n"/>
      <c r="GJ11" s="82" t="n"/>
      <c r="GK11" s="82" t="n"/>
      <c r="GL11" s="83" t="n"/>
      <c r="GM11" s="90" t="inlineStr">
        <is>
          <t>Safety/Serviceability audit</t>
        </is>
      </c>
      <c r="GN11" s="91" t="inlineStr">
        <is>
          <t>ISO 3450 Brake Feasibility</t>
        </is>
      </c>
      <c r="GO11" s="82" t="n"/>
      <c r="GP11" s="82" t="n"/>
      <c r="GQ11" s="82" t="n"/>
      <c r="GR11" s="82" t="n"/>
      <c r="GS11" s="82" t="n"/>
      <c r="GT11" s="82" t="n"/>
      <c r="GU11" s="82" t="n"/>
      <c r="GV11" s="82" t="n"/>
      <c r="GW11" s="82" t="n"/>
      <c r="GX11" s="82" t="n"/>
      <c r="GY11" s="82" t="n"/>
      <c r="GZ11" s="82" t="n"/>
      <c r="HA11" s="82" t="n"/>
      <c r="HB11" s="82" t="n"/>
      <c r="HC11" s="82" t="n"/>
      <c r="HD11" s="82" t="n"/>
      <c r="HE11" s="82" t="n"/>
      <c r="HF11" s="82" t="n"/>
      <c r="HG11" s="82" t="n"/>
      <c r="HH11" s="82" t="n"/>
      <c r="HI11" s="83" t="n"/>
      <c r="HL11" s="91" t="inlineStr">
        <is>
          <t>ISO 5010 Steering Feasibility (Include Secondary Steering)</t>
        </is>
      </c>
      <c r="HM11" s="82" t="n"/>
      <c r="HN11" s="82" t="n"/>
      <c r="HO11" s="82" t="n"/>
      <c r="HP11" s="82" t="n"/>
      <c r="HQ11" s="82" t="n"/>
      <c r="HR11" s="82" t="n"/>
      <c r="HS11" s="82" t="n"/>
      <c r="HT11" s="82" t="n"/>
      <c r="HU11" s="82" t="n"/>
      <c r="HV11" s="82" t="n"/>
      <c r="HW11" s="82" t="n"/>
      <c r="HX11" s="82" t="n"/>
      <c r="HY11" s="82" t="n"/>
      <c r="HZ11" s="82" t="n"/>
      <c r="IA11" s="82" t="n"/>
      <c r="IB11" s="82" t="n"/>
      <c r="IC11" s="82" t="n"/>
      <c r="ID11" s="82" t="n"/>
      <c r="IE11" s="82" t="n"/>
      <c r="IF11" s="82" t="n"/>
      <c r="IG11" s="83" t="n"/>
      <c r="IH11" s="91" t="inlineStr">
        <is>
          <t>EMC Feasibility</t>
        </is>
      </c>
      <c r="II11" s="82" t="n"/>
      <c r="IJ11" s="82" t="n"/>
      <c r="IK11" s="82" t="n"/>
      <c r="IL11" s="82" t="n"/>
      <c r="IM11" s="82" t="n"/>
      <c r="IN11" s="82" t="n"/>
      <c r="IO11" s="82" t="n"/>
      <c r="IP11" s="82" t="n"/>
      <c r="IQ11" s="82" t="n"/>
      <c r="IR11" s="82" t="n"/>
      <c r="IS11" s="82" t="n"/>
      <c r="IT11" s="82" t="n"/>
      <c r="IU11" s="82" t="n"/>
      <c r="IV11" s="82" t="n"/>
      <c r="IW11" s="82" t="n"/>
      <c r="IX11" s="82" t="n"/>
      <c r="IY11" s="82" t="n"/>
      <c r="IZ11" s="82" t="n"/>
      <c r="JA11" s="82" t="n"/>
      <c r="JB11" s="82" t="n"/>
      <c r="JC11" s="83" t="n"/>
      <c r="LX11" s="91" t="inlineStr">
        <is>
          <t>Stg V Ver 02 SW (STP 230)</t>
        </is>
      </c>
      <c r="LY11" s="82" t="n"/>
      <c r="LZ11" s="82" t="n"/>
      <c r="MA11" s="83" t="n"/>
      <c r="PK11" s="91" t="inlineStr">
        <is>
          <t>Stage V Ver 03 SW (STP 230)</t>
        </is>
      </c>
      <c r="PL11" s="82" t="n"/>
      <c r="PM11" s="82" t="n"/>
      <c r="PN11" s="83" t="n"/>
      <c r="PU11" s="85" t="inlineStr">
        <is>
          <t>UPT and LPT LCP (NPI Workshop)</t>
        </is>
      </c>
      <c r="PV11" s="82" t="n"/>
      <c r="PW11" s="82" t="n"/>
      <c r="PX11" s="82" t="n"/>
      <c r="PY11" s="82" t="n"/>
      <c r="PZ11" s="82" t="n"/>
      <c r="QA11" s="82" t="n"/>
      <c r="QB11" s="82" t="n"/>
      <c r="QC11" s="82" t="n"/>
      <c r="QD11" s="83" t="n"/>
      <c r="QE11" s="92" t="inlineStr">
        <is>
          <t>STP 64/Opr Eval</t>
        </is>
      </c>
      <c r="QF11" s="82" t="n"/>
      <c r="QG11" s="82" t="n"/>
      <c r="QH11" s="82" t="n"/>
      <c r="QI11" s="82" t="n"/>
      <c r="QJ11" s="83" t="n"/>
      <c r="QK11" s="89" t="inlineStr">
        <is>
          <t>0-250 hrs</t>
        </is>
      </c>
      <c r="QL11" s="82" t="n"/>
      <c r="QM11" s="82" t="n"/>
      <c r="QN11" s="82" t="n"/>
      <c r="QO11" s="82" t="n"/>
      <c r="QP11" s="82" t="n"/>
      <c r="QQ11" s="82" t="n"/>
      <c r="QR11" s="82" t="n"/>
      <c r="QS11" s="82" t="n"/>
      <c r="QT11" s="82" t="n"/>
      <c r="QU11" s="82" t="n"/>
      <c r="QV11" s="82" t="n"/>
      <c r="QW11" s="82" t="n"/>
      <c r="QX11" s="82" t="n"/>
      <c r="QY11" s="82" t="n"/>
      <c r="QZ11" s="82" t="n"/>
      <c r="RA11" s="82" t="n"/>
      <c r="RB11" s="82" t="n"/>
      <c r="RC11" s="82" t="n"/>
      <c r="RD11" s="82" t="n"/>
      <c r="RE11" s="82" t="n"/>
      <c r="RF11" s="82" t="n"/>
      <c r="RG11" s="82" t="n"/>
      <c r="RH11" s="82" t="n"/>
      <c r="RI11" s="82" t="n"/>
      <c r="RJ11" s="82" t="n"/>
      <c r="RK11" s="82" t="n"/>
      <c r="RL11" s="82" t="n"/>
      <c r="RM11" s="82" t="n"/>
      <c r="RN11" s="82" t="n"/>
      <c r="RO11" s="82" t="n"/>
      <c r="RP11" s="82" t="n"/>
      <c r="RQ11" s="82" t="n"/>
      <c r="RR11" s="83" t="n"/>
      <c r="RS11" s="86" t="inlineStr">
        <is>
          <t>Endurance Inspection</t>
        </is>
      </c>
      <c r="RT11" s="82" t="n"/>
      <c r="RU11" s="82" t="n"/>
      <c r="RV11" s="83" t="n"/>
      <c r="RY11" s="90" t="inlineStr">
        <is>
          <t>251-500 hrs</t>
        </is>
      </c>
      <c r="RZ11" s="82" t="n"/>
      <c r="SA11" s="82" t="n"/>
      <c r="SB11" s="82" t="n"/>
      <c r="SC11" s="82" t="n"/>
      <c r="SD11" s="82" t="n"/>
      <c r="SE11" s="82" t="n"/>
      <c r="SF11" s="82" t="n"/>
      <c r="SG11" s="82" t="n"/>
      <c r="SH11" s="82" t="n"/>
      <c r="SI11" s="82" t="n"/>
      <c r="SJ11" s="82" t="n"/>
      <c r="SK11" s="82" t="n"/>
      <c r="SL11" s="82" t="n"/>
      <c r="SM11" s="82" t="n"/>
      <c r="SN11" s="82" t="n"/>
      <c r="SO11" s="82" t="n"/>
      <c r="SP11" s="82" t="n"/>
      <c r="SQ11" s="82" t="n"/>
      <c r="SR11" s="82" t="n"/>
      <c r="SS11" s="82" t="n"/>
      <c r="ST11" s="82" t="n"/>
      <c r="SU11" s="82" t="n"/>
      <c r="SV11" s="82" t="n"/>
      <c r="SW11" s="82" t="n"/>
      <c r="SX11" s="82" t="n"/>
      <c r="SY11" s="82" t="n"/>
      <c r="SZ11" s="82" t="n"/>
      <c r="TA11" s="82" t="n"/>
      <c r="TB11" s="82" t="n"/>
      <c r="TC11" s="82" t="n"/>
      <c r="TD11" s="83" t="n"/>
      <c r="TE11" s="86" t="inlineStr">
        <is>
          <t>Endurance Inspection</t>
        </is>
      </c>
      <c r="TF11" s="82" t="n"/>
      <c r="TG11" s="82" t="n"/>
      <c r="TH11" s="82" t="n"/>
      <c r="TI11" s="82" t="n"/>
      <c r="TJ11" s="83" t="n"/>
      <c r="TK11" s="91" t="inlineStr">
        <is>
          <t>501-750 hrs</t>
        </is>
      </c>
      <c r="TL11" s="82" t="n"/>
      <c r="TM11" s="82" t="n"/>
      <c r="TN11" s="82" t="n"/>
      <c r="TO11" s="82" t="n"/>
      <c r="TP11" s="82" t="n"/>
      <c r="TQ11" s="82" t="n"/>
      <c r="TR11" s="82" t="n"/>
      <c r="TS11" s="82" t="n"/>
      <c r="TT11" s="82" t="n"/>
      <c r="TU11" s="82" t="n"/>
      <c r="TV11" s="82" t="n"/>
      <c r="TW11" s="82" t="n"/>
      <c r="TX11" s="82" t="n"/>
      <c r="TY11" s="82" t="n"/>
      <c r="TZ11" s="82" t="n"/>
      <c r="UA11" s="82" t="n"/>
      <c r="UB11" s="82" t="n"/>
      <c r="UC11" s="82" t="n"/>
      <c r="UD11" s="82" t="n"/>
      <c r="UE11" s="82" t="n"/>
      <c r="UF11" s="82" t="n"/>
      <c r="UG11" s="82" t="n"/>
      <c r="UH11" s="82" t="n"/>
      <c r="UI11" s="82" t="n"/>
      <c r="UJ11" s="82" t="n"/>
      <c r="UK11" s="82" t="n"/>
      <c r="UL11" s="82" t="n"/>
      <c r="UM11" s="82" t="n"/>
      <c r="UN11" s="82" t="n"/>
      <c r="UO11" s="82" t="n"/>
      <c r="UP11" s="82" t="n"/>
      <c r="UQ11" s="82" t="n"/>
      <c r="UR11" s="83" t="n"/>
      <c r="US11" s="86" t="inlineStr">
        <is>
          <t>Endurance Inspection</t>
        </is>
      </c>
      <c r="UT11" s="82" t="n"/>
      <c r="UU11" s="82" t="n"/>
      <c r="UV11" s="82" t="n"/>
      <c r="UW11" s="82" t="n"/>
      <c r="UX11" s="83" t="n"/>
      <c r="UY11" s="92" t="inlineStr">
        <is>
          <t>751-1000 hrs</t>
        </is>
      </c>
      <c r="UZ11" s="82" t="n"/>
      <c r="VA11" s="82" t="n"/>
      <c r="VB11" s="82" t="n"/>
      <c r="VC11" s="82" t="n"/>
      <c r="VD11" s="82" t="n"/>
      <c r="VE11" s="82" t="n"/>
      <c r="VF11" s="82" t="n"/>
      <c r="VG11" s="82" t="n"/>
      <c r="VH11" s="82" t="n"/>
      <c r="VI11" s="82" t="n"/>
      <c r="VJ11" s="82" t="n"/>
      <c r="VK11" s="82" t="n"/>
      <c r="VL11" s="82" t="n"/>
      <c r="VM11" s="82" t="n"/>
      <c r="VN11" s="82" t="n"/>
      <c r="VO11" s="82" t="n"/>
      <c r="VP11" s="82" t="n"/>
      <c r="VQ11" s="82" t="n"/>
      <c r="VR11" s="82" t="n"/>
      <c r="VS11" s="82" t="n"/>
      <c r="VT11" s="82" t="n"/>
      <c r="VU11" s="82" t="n"/>
      <c r="VV11" s="82" t="n"/>
      <c r="VW11" s="82" t="n"/>
      <c r="VX11" s="82" t="n"/>
      <c r="VY11" s="82" t="n"/>
      <c r="VZ11" s="82" t="n"/>
      <c r="WA11" s="82" t="n"/>
      <c r="WB11" s="82" t="n"/>
      <c r="WC11" s="82" t="n"/>
      <c r="WD11" s="83" t="n"/>
      <c r="WG11" s="86" t="inlineStr">
        <is>
          <t>Endurance Inspection</t>
        </is>
      </c>
      <c r="WH11" s="82" t="n"/>
      <c r="WI11" s="82" t="n"/>
      <c r="WJ11" s="83" t="n"/>
    </row>
    <row r="12">
      <c r="A12" s="84" t="inlineStr">
        <is>
          <t>SN</t>
        </is>
      </c>
      <c r="B12" s="84" t="inlineStr">
        <is>
          <t>PPG 966GC Stage V Pilot #1</t>
        </is>
      </c>
      <c r="QP12" s="85" t="inlineStr">
        <is>
          <t>Machine Build</t>
        </is>
      </c>
      <c r="QQ12" s="82" t="n"/>
      <c r="QR12" s="82" t="n"/>
      <c r="QS12" s="82" t="n"/>
      <c r="QT12" s="82" t="n"/>
      <c r="QU12" s="82" t="n"/>
      <c r="QV12" s="82" t="n"/>
      <c r="QW12" s="82" t="n"/>
      <c r="QX12" s="82" t="n"/>
      <c r="QY12" s="83" t="n"/>
      <c r="QZ12" s="89" t="inlineStr">
        <is>
          <t>China New Year</t>
        </is>
      </c>
      <c r="RA12" s="82" t="n"/>
      <c r="RB12" s="82" t="n"/>
      <c r="RC12" s="82" t="n"/>
      <c r="RD12" s="82" t="n"/>
      <c r="RE12" s="82" t="n"/>
      <c r="RF12" s="82" t="n"/>
      <c r="RG12" s="83" t="n"/>
      <c r="RH12" s="85" t="inlineStr">
        <is>
          <t>Machine Build</t>
        </is>
      </c>
      <c r="RI12" s="82" t="n"/>
      <c r="RJ12" s="82" t="n"/>
      <c r="RK12" s="82" t="n"/>
      <c r="RL12" s="82" t="n"/>
      <c r="RM12" s="82" t="n"/>
      <c r="RN12" s="82" t="n"/>
      <c r="RO12" s="82" t="n"/>
      <c r="RP12" s="82" t="n"/>
      <c r="RQ12" s="82" t="n"/>
      <c r="RR12" s="82" t="n"/>
      <c r="RS12" s="82" t="n"/>
      <c r="RT12" s="82" t="n"/>
      <c r="RU12" s="82" t="n"/>
      <c r="RV12" s="83" t="n"/>
      <c r="SA12" s="89" t="inlineStr">
        <is>
          <t>Machine Ship</t>
        </is>
      </c>
      <c r="SB12" s="82" t="n"/>
      <c r="SC12" s="82" t="n"/>
      <c r="SD12" s="82" t="n"/>
      <c r="SE12" s="82" t="n"/>
      <c r="SF12" s="82" t="n"/>
      <c r="SG12" s="82" t="n"/>
      <c r="SH12" s="82" t="n"/>
      <c r="SI12" s="82" t="n"/>
      <c r="SJ12" s="82" t="n"/>
      <c r="SK12" s="82" t="n"/>
      <c r="SL12" s="82" t="n"/>
      <c r="SM12" s="82" t="n"/>
      <c r="SN12" s="82" t="n"/>
      <c r="SO12" s="82" t="n"/>
      <c r="SP12" s="82" t="n"/>
      <c r="SQ12" s="82" t="n"/>
      <c r="SR12" s="82" t="n"/>
      <c r="SS12" s="82" t="n"/>
      <c r="ST12" s="82" t="n"/>
      <c r="SU12" s="82" t="n"/>
      <c r="SV12" s="82" t="n"/>
      <c r="SW12" s="82" t="n"/>
      <c r="SX12" s="82" t="n"/>
      <c r="SY12" s="82" t="n"/>
      <c r="SZ12" s="82" t="n"/>
      <c r="TA12" s="82" t="n"/>
      <c r="TB12" s="82" t="n"/>
      <c r="TC12" s="82" t="n"/>
      <c r="TD12" s="82" t="n"/>
      <c r="TE12" s="82" t="n"/>
      <c r="TF12" s="82" t="n"/>
      <c r="TG12" s="82" t="n"/>
      <c r="TH12" s="82" t="n"/>
      <c r="TI12" s="82" t="n"/>
      <c r="TJ12" s="82" t="n"/>
      <c r="TK12" s="82" t="n"/>
      <c r="TL12" s="82" t="n"/>
      <c r="TM12" s="82" t="n"/>
      <c r="TN12" s="82" t="n"/>
      <c r="TO12" s="82" t="n"/>
      <c r="TP12" s="82" t="n"/>
      <c r="TQ12" s="82" t="n"/>
      <c r="TR12" s="82" t="n"/>
      <c r="TS12" s="82" t="n"/>
      <c r="TT12" s="82" t="n"/>
      <c r="TU12" s="82" t="n"/>
      <c r="TV12" s="82" t="n"/>
      <c r="TW12" s="82" t="n"/>
      <c r="TX12" s="82" t="n"/>
      <c r="TY12" s="83" t="n"/>
      <c r="UY12" s="88" t="inlineStr">
        <is>
          <t>Machine Checkout STP-64</t>
        </is>
      </c>
      <c r="UZ12" s="82" t="n"/>
      <c r="VA12" s="82" t="n"/>
      <c r="VB12" s="82" t="n"/>
      <c r="VC12" s="82" t="n"/>
      <c r="VD12" s="82" t="n"/>
      <c r="VE12" s="83" t="n"/>
      <c r="VF12" s="91" t="inlineStr">
        <is>
          <t>SW Checkout # Pilot V01</t>
        </is>
      </c>
      <c r="VG12" s="83" t="n"/>
      <c r="VH12" s="92" t="inlineStr">
        <is>
          <t>C9.3B Stage V Engine Performance</t>
        </is>
      </c>
      <c r="VI12" s="83" t="n"/>
      <c r="VL12" s="90" t="inlineStr">
        <is>
          <t>L5 Performance Check</t>
        </is>
      </c>
      <c r="VM12" s="82" t="n"/>
      <c r="VN12" s="82" t="n"/>
      <c r="VO12" s="83" t="n"/>
      <c r="VP12" s="89" t="inlineStr">
        <is>
          <t>Machine Endurance- 100 hrs</t>
        </is>
      </c>
      <c r="VQ12" s="82" t="n"/>
      <c r="VR12" s="82" t="n"/>
      <c r="VS12" s="82" t="n"/>
      <c r="VT12" s="82" t="n"/>
      <c r="VU12" s="82" t="n"/>
      <c r="VV12" s="83" t="n"/>
      <c r="VW12" s="91" t="inlineStr">
        <is>
          <t>Stg V Alarm, FWD Horn, HAWB CERT</t>
        </is>
      </c>
      <c r="VX12" s="82" t="n"/>
      <c r="VY12" s="82" t="n"/>
      <c r="VZ12" s="83" t="n"/>
      <c r="XR12" s="89" t="inlineStr">
        <is>
          <t>Endurance 0-250 hrs+ Service/Inspect</t>
        </is>
      </c>
      <c r="XS12" s="82" t="n"/>
      <c r="XT12" s="82" t="n"/>
      <c r="XU12" s="82" t="n"/>
      <c r="XV12" s="82" t="n"/>
      <c r="XW12" s="82" t="n"/>
      <c r="XX12" s="82" t="n"/>
      <c r="XY12" s="82" t="n"/>
      <c r="XZ12" s="82" t="n"/>
      <c r="YA12" s="82" t="n"/>
      <c r="YB12" s="82" t="n"/>
      <c r="YC12" s="82" t="n"/>
      <c r="YD12" s="82" t="n"/>
      <c r="YE12" s="82" t="n"/>
      <c r="YF12" s="83" t="n"/>
      <c r="YG12" s="90" t="inlineStr">
        <is>
          <t>Endurance 251-500 hrs+ Service/Inspect</t>
        </is>
      </c>
      <c r="YH12" s="82" t="n"/>
      <c r="YI12" s="82" t="n"/>
      <c r="YJ12" s="82" t="n"/>
      <c r="YK12" s="82" t="n"/>
      <c r="YL12" s="82" t="n"/>
      <c r="YM12" s="82" t="n"/>
      <c r="YN12" s="82" t="n"/>
      <c r="YO12" s="82" t="n"/>
      <c r="YP12" s="82" t="n"/>
      <c r="YQ12" s="82" t="n"/>
      <c r="YR12" s="82" t="n"/>
      <c r="YS12" s="82" t="n"/>
      <c r="YT12" s="82" t="n"/>
      <c r="YU12" s="83" t="n"/>
      <c r="YV12" s="91" t="inlineStr">
        <is>
          <t>Endurance 501-750 hrs+ Service/Inspect</t>
        </is>
      </c>
      <c r="YW12" s="82" t="n"/>
      <c r="YX12" s="82" t="n"/>
      <c r="YY12" s="82" t="n"/>
      <c r="YZ12" s="82" t="n"/>
      <c r="ZA12" s="82" t="n"/>
      <c r="ZB12" s="82" t="n"/>
      <c r="ZC12" s="82" t="n"/>
      <c r="ZD12" s="82" t="n"/>
      <c r="ZE12" s="82" t="n"/>
      <c r="ZF12" s="82" t="n"/>
      <c r="ZG12" s="82" t="n"/>
      <c r="ZH12" s="82" t="n"/>
      <c r="ZI12" s="82" t="n"/>
      <c r="ZJ12" s="83" t="n"/>
      <c r="ZK12" s="92" t="inlineStr">
        <is>
          <t>Endurance 751-1000 hrs+ Service/Inspect</t>
        </is>
      </c>
      <c r="ZL12" s="82" t="n"/>
      <c r="ZM12" s="82" t="n"/>
      <c r="ZN12" s="82" t="n"/>
      <c r="ZO12" s="82" t="n"/>
      <c r="ZP12" s="82" t="n"/>
      <c r="ZQ12" s="82" t="n"/>
      <c r="ZR12" s="82" t="n"/>
      <c r="ZS12" s="82" t="n"/>
      <c r="ZT12" s="82" t="n"/>
      <c r="ZU12" s="82" t="n"/>
      <c r="ZV12" s="82" t="n"/>
      <c r="ZW12" s="82" t="n"/>
      <c r="ZX12" s="82" t="n"/>
      <c r="ZY12" s="83" t="n"/>
      <c r="ZZ12" s="93" t="inlineStr">
        <is>
          <t>Endurance 1001-1250 hrs+ Service/Inspect</t>
        </is>
      </c>
      <c r="AAA12" s="82" t="n"/>
      <c r="AAB12" s="82" t="n"/>
      <c r="AAC12" s="82" t="n"/>
      <c r="AAD12" s="82" t="n"/>
      <c r="AAE12" s="82" t="n"/>
      <c r="AAF12" s="82" t="n"/>
      <c r="AAG12" s="82" t="n"/>
      <c r="AAH12" s="82" t="n"/>
      <c r="AAI12" s="82" t="n"/>
      <c r="AAJ12" s="82" t="n"/>
      <c r="AAK12" s="82" t="n"/>
      <c r="AAL12" s="82" t="n"/>
      <c r="AAM12" s="82" t="n"/>
      <c r="AAN12" s="83" t="n"/>
      <c r="AAO12" s="94" t="inlineStr">
        <is>
          <t>Endurance 1251-1500 hrs+ Service/Inspect</t>
        </is>
      </c>
      <c r="AAP12" s="82" t="n"/>
      <c r="AAQ12" s="82" t="n"/>
      <c r="AAR12" s="82" t="n"/>
      <c r="AAS12" s="82" t="n"/>
      <c r="AAT12" s="82" t="n"/>
      <c r="AAU12" s="82" t="n"/>
      <c r="AAV12" s="82" t="n"/>
      <c r="AAW12" s="82" t="n"/>
      <c r="AAX12" s="82" t="n"/>
      <c r="AAY12" s="82" t="n"/>
      <c r="AAZ12" s="82" t="n"/>
      <c r="ABA12" s="82" t="n"/>
      <c r="ABB12" s="82" t="n"/>
      <c r="ABC12" s="83" t="n"/>
      <c r="ABD12" s="95" t="inlineStr">
        <is>
          <t>Endurance 1501-1750 hrs+ Service/Inspect</t>
        </is>
      </c>
      <c r="ABE12" s="82" t="n"/>
      <c r="ABF12" s="82" t="n"/>
      <c r="ABG12" s="82" t="n"/>
      <c r="ABH12" s="82" t="n"/>
      <c r="ABI12" s="82" t="n"/>
      <c r="ABJ12" s="82" t="n"/>
      <c r="ABK12" s="82" t="n"/>
      <c r="ABL12" s="82" t="n"/>
      <c r="ABM12" s="82" t="n"/>
      <c r="ABN12" s="82" t="n"/>
      <c r="ABO12" s="82" t="n"/>
      <c r="ABP12" s="82" t="n"/>
      <c r="ABQ12" s="82" t="n"/>
      <c r="ABR12" s="83" t="n"/>
      <c r="ABS12" s="85" t="inlineStr">
        <is>
          <t>Endurance 1750-2000 hrs+ Service/Inspect</t>
        </is>
      </c>
      <c r="ABT12" s="82" t="n"/>
      <c r="ABU12" s="82" t="n"/>
      <c r="ABV12" s="82" t="n"/>
      <c r="ABW12" s="82" t="n"/>
      <c r="ABX12" s="82" t="n"/>
      <c r="ABY12" s="82" t="n"/>
      <c r="ABZ12" s="82" t="n"/>
      <c r="ACA12" s="82" t="n"/>
      <c r="ACB12" s="82" t="n"/>
      <c r="ACC12" s="82" t="n"/>
      <c r="ACD12" s="82" t="n"/>
      <c r="ACE12" s="82" t="n"/>
      <c r="ACF12" s="82" t="n"/>
      <c r="ACG12" s="83" t="n"/>
      <c r="ACH12" s="86" t="inlineStr">
        <is>
          <t>Full Inspection</t>
        </is>
      </c>
      <c r="ACI12" s="82" t="n"/>
      <c r="ACJ12" s="82" t="n"/>
      <c r="ACK12" s="82" t="n"/>
      <c r="ACL12" s="82" t="n"/>
      <c r="ACM12" s="82" t="n"/>
      <c r="ACN12" s="82" t="n"/>
      <c r="ACO12" s="82" t="n"/>
      <c r="ACP12" s="82" t="n"/>
      <c r="ACQ12" s="82" t="n"/>
      <c r="ACR12" s="82" t="n"/>
      <c r="ACS12" s="82" t="n"/>
      <c r="ACT12" s="82" t="n"/>
      <c r="ACU12" s="82" t="n"/>
      <c r="ACV12" s="82" t="n"/>
      <c r="ACW12" s="83" t="n"/>
      <c r="ACX12" s="90" t="inlineStr">
        <is>
          <t>Productivity</t>
        </is>
      </c>
      <c r="ACY12" s="82" t="n"/>
      <c r="ACZ12" s="82" t="n"/>
      <c r="ADA12" s="82" t="n"/>
      <c r="ADB12" s="82" t="n"/>
      <c r="ADC12" s="82" t="n"/>
      <c r="ADD12" s="82" t="n"/>
      <c r="ADE12" s="82" t="n"/>
      <c r="ADF12" s="82" t="n"/>
      <c r="ADG12" s="82" t="n"/>
      <c r="ADH12" s="82" t="n"/>
      <c r="ADI12" s="82" t="n"/>
      <c r="ADJ12" s="82" t="n"/>
      <c r="ADK12" s="82" t="n"/>
      <c r="ADL12" s="83" t="n"/>
    </row>
    <row r="13">
      <c r="A13" s="84" t="inlineStr">
        <is>
          <t>SN</t>
        </is>
      </c>
      <c r="B13" s="84" t="inlineStr">
        <is>
          <t>QPG 966GC CNR4/ Stg V Pilot #2</t>
        </is>
      </c>
      <c r="QP13" s="85" t="inlineStr">
        <is>
          <t>Machine Build</t>
        </is>
      </c>
      <c r="QQ13" s="82" t="n"/>
      <c r="QR13" s="82" t="n"/>
      <c r="QS13" s="82" t="n"/>
      <c r="QT13" s="82" t="n"/>
      <c r="QU13" s="82" t="n"/>
      <c r="QV13" s="82" t="n"/>
      <c r="QW13" s="82" t="n"/>
      <c r="QX13" s="82" t="n"/>
      <c r="QY13" s="83" t="n"/>
      <c r="QZ13" s="88" t="inlineStr">
        <is>
          <t>China New Year</t>
        </is>
      </c>
      <c r="RA13" s="82" t="n"/>
      <c r="RB13" s="82" t="n"/>
      <c r="RC13" s="82" t="n"/>
      <c r="RD13" s="82" t="n"/>
      <c r="RE13" s="82" t="n"/>
      <c r="RF13" s="82" t="n"/>
      <c r="RG13" s="83" t="n"/>
      <c r="RH13" s="85" t="inlineStr">
        <is>
          <t>Machine Build</t>
        </is>
      </c>
      <c r="RI13" s="82" t="n"/>
      <c r="RJ13" s="82" t="n"/>
      <c r="RK13" s="82" t="n"/>
      <c r="RL13" s="82" t="n"/>
      <c r="RM13" s="82" t="n"/>
      <c r="RN13" s="82" t="n"/>
      <c r="RO13" s="82" t="n"/>
      <c r="RP13" s="82" t="n"/>
      <c r="RQ13" s="82" t="n"/>
      <c r="RR13" s="82" t="n"/>
      <c r="RS13" s="82" t="n"/>
      <c r="RT13" s="82" t="n"/>
      <c r="RU13" s="82" t="n"/>
      <c r="RV13" s="83" t="n"/>
      <c r="SP13" s="89" t="inlineStr">
        <is>
          <t>Machine Checkout STP-64</t>
        </is>
      </c>
      <c r="SQ13" s="82" t="n"/>
      <c r="SR13" s="82" t="n"/>
      <c r="SS13" s="82" t="n"/>
      <c r="ST13" s="82" t="n"/>
      <c r="SU13" s="82" t="n"/>
      <c r="SV13" s="82" t="n"/>
      <c r="SW13" s="82" t="n"/>
      <c r="SX13" s="82" t="n"/>
      <c r="SY13" s="82" t="n"/>
      <c r="SZ13" s="82" t="n"/>
      <c r="TA13" s="82" t="n"/>
      <c r="TB13" s="82" t="n"/>
      <c r="TC13" s="82" t="n"/>
      <c r="TD13" s="82" t="n"/>
      <c r="TE13" s="82" t="n"/>
      <c r="TF13" s="82" t="n"/>
      <c r="TG13" s="82" t="n"/>
      <c r="TH13" s="83" t="n"/>
      <c r="TI13" s="90" t="inlineStr">
        <is>
          <t>Safety/Serviceability audit</t>
        </is>
      </c>
      <c r="TJ13" s="91" t="inlineStr">
        <is>
          <t>SW Checkout # 1</t>
        </is>
      </c>
      <c r="TK13" s="82" t="n"/>
      <c r="TL13" s="82" t="n"/>
      <c r="TM13" s="82" t="n"/>
      <c r="TN13" s="82" t="n"/>
      <c r="TO13" s="82" t="n"/>
      <c r="TP13" s="82" t="n"/>
      <c r="TQ13" s="82" t="n"/>
      <c r="TR13" s="82" t="n"/>
      <c r="TS13" s="83" t="n"/>
      <c r="TV13" s="91" t="inlineStr">
        <is>
          <t>MLIT Practice &amp; Witness</t>
        </is>
      </c>
      <c r="TW13" s="82" t="n"/>
      <c r="TX13" s="82" t="n"/>
      <c r="TY13" s="82" t="n"/>
      <c r="TZ13" s="82" t="n"/>
      <c r="UA13" s="82" t="n"/>
      <c r="UB13" s="82" t="n"/>
      <c r="UC13" s="82" t="n"/>
      <c r="UD13" s="82" t="n"/>
      <c r="UE13" s="82" t="n"/>
      <c r="UF13" s="82" t="n"/>
      <c r="UG13" s="82" t="n"/>
      <c r="UH13" s="82" t="n"/>
      <c r="UI13" s="82" t="n"/>
      <c r="UJ13" s="82" t="n"/>
      <c r="UK13" s="82" t="n"/>
      <c r="UL13" s="82" t="n"/>
      <c r="UM13" s="82" t="n"/>
      <c r="UN13" s="82" t="n"/>
      <c r="UO13" s="82" t="n"/>
      <c r="UP13" s="82" t="n"/>
      <c r="UQ13" s="82" t="n"/>
      <c r="UR13" s="82" t="n"/>
      <c r="US13" s="82" t="n"/>
      <c r="UT13" s="82" t="n"/>
      <c r="UU13" s="82" t="n"/>
      <c r="UV13" s="82" t="n"/>
      <c r="UW13" s="82" t="n"/>
      <c r="UX13" s="82" t="n"/>
      <c r="UY13" s="82" t="n"/>
      <c r="UZ13" s="82" t="n"/>
      <c r="VA13" s="82" t="n"/>
      <c r="VB13" s="82" t="n"/>
      <c r="VC13" s="82" t="n"/>
      <c r="VD13" s="82" t="n"/>
      <c r="VE13" s="83" t="n"/>
      <c r="VF13" s="91" t="inlineStr">
        <is>
          <t>Sound Test</t>
        </is>
      </c>
      <c r="VG13" s="82" t="n"/>
      <c r="VH13" s="82" t="n"/>
      <c r="VI13" s="83" t="n"/>
      <c r="VL13" s="91" t="inlineStr">
        <is>
          <t>ISO 3450- Brake CERT</t>
        </is>
      </c>
      <c r="VM13" s="82" t="n"/>
      <c r="VN13" s="82" t="n"/>
      <c r="VO13" s="82" t="n"/>
      <c r="VP13" s="82" t="n"/>
      <c r="VQ13" s="82" t="n"/>
      <c r="VR13" s="82" t="n"/>
      <c r="VS13" s="82" t="n"/>
      <c r="VT13" s="82" t="n"/>
      <c r="VU13" s="82" t="n"/>
      <c r="VV13" s="82" t="n"/>
      <c r="VW13" s="82" t="n"/>
      <c r="VX13" s="82" t="n"/>
      <c r="VY13" s="82" t="n"/>
      <c r="VZ13" s="82" t="n"/>
      <c r="WA13" s="82" t="n"/>
      <c r="WB13" s="82" t="n"/>
      <c r="WC13" s="82" t="n"/>
      <c r="WD13" s="82" t="n"/>
      <c r="WE13" s="82" t="n"/>
      <c r="WF13" s="82" t="n"/>
      <c r="WG13" s="83" t="n"/>
      <c r="WH13" s="91" t="inlineStr">
        <is>
          <t>ISO 5010- Steering CERT</t>
        </is>
      </c>
      <c r="WI13" s="82" t="n"/>
      <c r="WJ13" s="82" t="n"/>
      <c r="WK13" s="82" t="n"/>
      <c r="WL13" s="82" t="n"/>
      <c r="WM13" s="82" t="n"/>
      <c r="WN13" s="82" t="n"/>
      <c r="WO13" s="82" t="n"/>
      <c r="WP13" s="82" t="n"/>
      <c r="WQ13" s="82" t="n"/>
      <c r="WR13" s="82" t="n"/>
      <c r="WS13" s="82" t="n"/>
      <c r="WT13" s="82" t="n"/>
      <c r="WU13" s="82" t="n"/>
      <c r="WV13" s="82" t="n"/>
      <c r="WW13" s="82" t="n"/>
      <c r="WX13" s="82" t="n"/>
      <c r="WY13" s="83" t="n"/>
      <c r="XB13" s="91" t="inlineStr">
        <is>
          <t>ISO 10570-Articulation Lock CERT</t>
        </is>
      </c>
      <c r="XC13" s="82" t="n"/>
      <c r="XD13" s="82" t="n"/>
      <c r="XE13" s="82" t="n"/>
      <c r="XF13" s="82" t="n"/>
      <c r="XG13" s="82" t="n"/>
      <c r="XH13" s="82" t="n"/>
      <c r="XI13" s="82" t="n"/>
      <c r="XJ13" s="83" t="n"/>
      <c r="XK13" s="91" t="inlineStr">
        <is>
          <t>Stage V EMC Test CERT</t>
        </is>
      </c>
      <c r="XL13" s="82" t="n"/>
      <c r="XM13" s="82" t="n"/>
      <c r="XN13" s="82" t="n"/>
      <c r="XO13" s="82" t="n"/>
      <c r="XP13" s="82" t="n"/>
      <c r="XQ13" s="83" t="n"/>
      <c r="XR13" s="89" t="inlineStr">
        <is>
          <t>0-250 hrs</t>
        </is>
      </c>
      <c r="XS13" s="82" t="n"/>
      <c r="XT13" s="82" t="n"/>
      <c r="XU13" s="82" t="n"/>
      <c r="XV13" s="82" t="n"/>
      <c r="XW13" s="82" t="n"/>
      <c r="XX13" s="82" t="n"/>
      <c r="XY13" s="82" t="n"/>
      <c r="XZ13" s="82" t="n"/>
      <c r="YA13" s="82" t="n"/>
      <c r="YB13" s="82" t="n"/>
      <c r="YC13" s="82" t="n"/>
      <c r="YD13" s="82" t="n"/>
      <c r="YE13" s="82" t="n"/>
      <c r="YF13" s="82" t="n"/>
      <c r="YG13" s="82" t="n"/>
      <c r="YH13" s="82" t="n"/>
      <c r="YI13" s="82" t="n"/>
      <c r="YJ13" s="82" t="n"/>
      <c r="YK13" s="82" t="n"/>
      <c r="YL13" s="82" t="n"/>
      <c r="YM13" s="82" t="n"/>
      <c r="YN13" s="82" t="n"/>
      <c r="YO13" s="82" t="n"/>
      <c r="YP13" s="82" t="n"/>
      <c r="YQ13" s="82" t="n"/>
      <c r="YR13" s="82" t="n"/>
      <c r="YS13" s="82" t="n"/>
      <c r="YT13" s="82" t="n"/>
      <c r="YU13" s="82" t="n"/>
      <c r="YV13" s="82" t="n"/>
      <c r="YW13" s="82" t="n"/>
      <c r="YX13" s="82" t="n"/>
      <c r="YY13" s="83" t="n"/>
      <c r="YZ13" s="86" t="inlineStr">
        <is>
          <t>Endurance Inspection</t>
        </is>
      </c>
      <c r="ZA13" s="82" t="n"/>
      <c r="ZB13" s="82" t="n"/>
      <c r="ZC13" s="83" t="n"/>
      <c r="ZF13" s="90" t="inlineStr">
        <is>
          <t>251-500 hrs</t>
        </is>
      </c>
      <c r="ZG13" s="82" t="n"/>
      <c r="ZH13" s="82" t="n"/>
      <c r="ZI13" s="82" t="n"/>
      <c r="ZJ13" s="82" t="n"/>
      <c r="ZK13" s="82" t="n"/>
      <c r="ZL13" s="82" t="n"/>
      <c r="ZM13" s="82" t="n"/>
      <c r="ZN13" s="82" t="n"/>
      <c r="ZO13" s="82" t="n"/>
      <c r="ZP13" s="82" t="n"/>
      <c r="ZQ13" s="82" t="n"/>
      <c r="ZR13" s="82" t="n"/>
      <c r="ZS13" s="82" t="n"/>
      <c r="ZT13" s="82" t="n"/>
      <c r="ZU13" s="82" t="n"/>
      <c r="ZV13" s="82" t="n"/>
      <c r="ZW13" s="82" t="n"/>
      <c r="ZX13" s="82" t="n"/>
      <c r="ZY13" s="82" t="n"/>
      <c r="ZZ13" s="82" t="n"/>
      <c r="AAA13" s="82" t="n"/>
      <c r="AAB13" s="82" t="n"/>
      <c r="AAC13" s="82" t="n"/>
      <c r="AAD13" s="82" t="n"/>
      <c r="AAE13" s="82" t="n"/>
      <c r="AAF13" s="82" t="n"/>
      <c r="AAG13" s="82" t="n"/>
      <c r="AAH13" s="82" t="n"/>
      <c r="AAI13" s="82" t="n"/>
      <c r="AAJ13" s="82" t="n"/>
      <c r="AAK13" s="83" t="n"/>
      <c r="AAL13" s="86" t="inlineStr">
        <is>
          <t>Endurance Inspection</t>
        </is>
      </c>
      <c r="AAM13" s="82" t="n"/>
      <c r="AAN13" s="82" t="n"/>
      <c r="AAO13" s="82" t="n"/>
      <c r="AAP13" s="82" t="n"/>
      <c r="AAQ13" s="83" t="n"/>
      <c r="AAR13" s="91" t="inlineStr">
        <is>
          <t>501-750 hrs</t>
        </is>
      </c>
      <c r="AAS13" s="82" t="n"/>
      <c r="AAT13" s="82" t="n"/>
      <c r="AAU13" s="82" t="n"/>
      <c r="AAV13" s="82" t="n"/>
      <c r="AAW13" s="82" t="n"/>
      <c r="AAX13" s="82" t="n"/>
      <c r="AAY13" s="82" t="n"/>
      <c r="AAZ13" s="82" t="n"/>
      <c r="ABA13" s="82" t="n"/>
      <c r="ABB13" s="82" t="n"/>
      <c r="ABC13" s="82" t="n"/>
      <c r="ABD13" s="82" t="n"/>
      <c r="ABE13" s="82" t="n"/>
      <c r="ABF13" s="82" t="n"/>
      <c r="ABG13" s="82" t="n"/>
      <c r="ABH13" s="82" t="n"/>
      <c r="ABI13" s="82" t="n"/>
      <c r="ABJ13" s="82" t="n"/>
      <c r="ABK13" s="82" t="n"/>
      <c r="ABL13" s="82" t="n"/>
      <c r="ABM13" s="82" t="n"/>
      <c r="ABN13" s="82" t="n"/>
      <c r="ABO13" s="82" t="n"/>
      <c r="ABP13" s="82" t="n"/>
      <c r="ABQ13" s="82" t="n"/>
      <c r="ABR13" s="82" t="n"/>
      <c r="ABS13" s="82" t="n"/>
      <c r="ABT13" s="82" t="n"/>
      <c r="ABU13" s="82" t="n"/>
      <c r="ABV13" s="82" t="n"/>
      <c r="ABW13" s="82" t="n"/>
      <c r="ABX13" s="82" t="n"/>
      <c r="ABY13" s="83" t="n"/>
      <c r="ABZ13" s="86" t="inlineStr">
        <is>
          <t>Endurance Inspection</t>
        </is>
      </c>
      <c r="ACA13" s="82" t="n"/>
      <c r="ACB13" s="82" t="n"/>
      <c r="ACC13" s="82" t="n"/>
      <c r="ACD13" s="82" t="n"/>
      <c r="ACE13" s="83" t="n"/>
      <c r="ACF13" s="92" t="inlineStr">
        <is>
          <t>751-1000 hrs</t>
        </is>
      </c>
      <c r="ACG13" s="82" t="n"/>
      <c r="ACH13" s="82" t="n"/>
      <c r="ACI13" s="82" t="n"/>
      <c r="ACJ13" s="82" t="n"/>
      <c r="ACK13" s="82" t="n"/>
      <c r="ACL13" s="82" t="n"/>
      <c r="ACM13" s="82" t="n"/>
      <c r="ACN13" s="82" t="n"/>
      <c r="ACO13" s="82" t="n"/>
      <c r="ACP13" s="82" t="n"/>
      <c r="ACQ13" s="82" t="n"/>
      <c r="ACR13" s="82" t="n"/>
      <c r="ACS13" s="82" t="n"/>
      <c r="ACT13" s="82" t="n"/>
      <c r="ACU13" s="82" t="n"/>
      <c r="ACV13" s="82" t="n"/>
      <c r="ACW13" s="82" t="n"/>
      <c r="ACX13" s="82" t="n"/>
      <c r="ACY13" s="82" t="n"/>
      <c r="ACZ13" s="82" t="n"/>
      <c r="ADA13" s="82" t="n"/>
      <c r="ADB13" s="82" t="n"/>
      <c r="ADC13" s="82" t="n"/>
      <c r="ADD13" s="82" t="n"/>
      <c r="ADE13" s="82" t="n"/>
      <c r="ADF13" s="82" t="n"/>
      <c r="ADG13" s="82" t="n"/>
      <c r="ADH13" s="82" t="n"/>
      <c r="ADI13" s="82" t="n"/>
      <c r="ADJ13" s="82" t="n"/>
      <c r="ADK13" s="83" t="n"/>
      <c r="ADN13" s="86" t="inlineStr">
        <is>
          <t>Endurance Inspection</t>
        </is>
      </c>
      <c r="ADO13" s="82" t="n"/>
      <c r="ADP13" s="82" t="n"/>
      <c r="ADQ13" s="82" t="n"/>
      <c r="ADR13" s="82" t="n"/>
      <c r="ADS13" s="82" t="n"/>
      <c r="ADT13" s="82" t="n"/>
      <c r="ADU13" s="82" t="n"/>
      <c r="ADV13" s="82" t="n"/>
      <c r="ADW13" s="82" t="n"/>
      <c r="ADX13" s="82" t="n"/>
      <c r="ADY13" s="82" t="n"/>
      <c r="ADZ13" s="82" t="n"/>
      <c r="AEA13" s="82" t="n"/>
      <c r="AEB13" s="82" t="n"/>
      <c r="AEC13" s="82" t="n"/>
      <c r="AED13" s="82" t="n"/>
      <c r="AEE13" s="82" t="n"/>
      <c r="AEF13" s="82" t="n"/>
      <c r="AEG13" s="82" t="n"/>
      <c r="AEH13" s="82" t="n"/>
      <c r="AEI13" s="83" t="n"/>
    </row>
    <row r="14">
      <c r="A14" s="84" t="inlineStr">
        <is>
          <t>QPG 966GC Pre-Productio</t>
        </is>
      </c>
      <c r="B14" s="84" t="inlineStr">
        <is>
          <t>QPG 966GC Pre-Productio</t>
        </is>
      </c>
      <c r="AJG14" s="91" t="inlineStr">
        <is>
          <t xml:space="preserve">MLIT Witness </t>
        </is>
      </c>
      <c r="AJH14" s="82" t="n"/>
      <c r="AJI14" s="82" t="n"/>
      <c r="AJJ14" s="82" t="n"/>
      <c r="AJK14" s="82" t="n"/>
      <c r="AJL14" s="82" t="n"/>
      <c r="AJM14" s="82" t="n"/>
      <c r="AJN14" s="82" t="n"/>
      <c r="AJO14" s="82" t="n"/>
      <c r="AJP14" s="82" t="n"/>
      <c r="AJQ14" s="82" t="n"/>
      <c r="AJR14" s="82" t="n"/>
      <c r="AJS14" s="82" t="n"/>
      <c r="AJT14" s="83" t="n"/>
    </row>
    <row r="15"/>
  </sheetData>
  <mergeCells count="301">
    <mergeCell ref="C1:I1"/>
    <mergeCell ref="J1:P1"/>
    <mergeCell ref="Q1:W1"/>
    <mergeCell ref="X1:AD1"/>
    <mergeCell ref="AE1:AK1"/>
    <mergeCell ref="AL1:AR1"/>
    <mergeCell ref="AS1:AY1"/>
    <mergeCell ref="AZ1:BF1"/>
    <mergeCell ref="BG1:BM1"/>
    <mergeCell ref="BN1:BT1"/>
    <mergeCell ref="BU1:CA1"/>
    <mergeCell ref="CB1:CH1"/>
    <mergeCell ref="CI1:CO1"/>
    <mergeCell ref="CP1:CV1"/>
    <mergeCell ref="CW1:DC1"/>
    <mergeCell ref="DD1:DJ1"/>
    <mergeCell ref="DK1:DQ1"/>
    <mergeCell ref="DR1:DX1"/>
    <mergeCell ref="DY1:EE1"/>
    <mergeCell ref="EF1:EL1"/>
    <mergeCell ref="EM1:ES1"/>
    <mergeCell ref="ET1:EZ1"/>
    <mergeCell ref="FA1:FG1"/>
    <mergeCell ref="FH1:FN1"/>
    <mergeCell ref="FO1:FU1"/>
    <mergeCell ref="FV1:GB1"/>
    <mergeCell ref="GC1:GI1"/>
    <mergeCell ref="GJ1:GP1"/>
    <mergeCell ref="GQ1:GW1"/>
    <mergeCell ref="GX1:HD1"/>
    <mergeCell ref="HE1:HK1"/>
    <mergeCell ref="HL1:HR1"/>
    <mergeCell ref="HS1:HY1"/>
    <mergeCell ref="HZ1:IF1"/>
    <mergeCell ref="IG1:IM1"/>
    <mergeCell ref="IN1:IT1"/>
    <mergeCell ref="IU1:JA1"/>
    <mergeCell ref="JB1:JH1"/>
    <mergeCell ref="JI1:JO1"/>
    <mergeCell ref="JP1:JV1"/>
    <mergeCell ref="JW1:KC1"/>
    <mergeCell ref="KD1:KJ1"/>
    <mergeCell ref="KK1:KQ1"/>
    <mergeCell ref="KR1:KX1"/>
    <mergeCell ref="KY1:LE1"/>
    <mergeCell ref="LF1:LL1"/>
    <mergeCell ref="LM1:LS1"/>
    <mergeCell ref="LT1:LZ1"/>
    <mergeCell ref="MA1:MG1"/>
    <mergeCell ref="MH1:MN1"/>
    <mergeCell ref="MO1:MU1"/>
    <mergeCell ref="MV1:NB1"/>
    <mergeCell ref="NC1:NI1"/>
    <mergeCell ref="NJ1:NP1"/>
    <mergeCell ref="NQ1:NW1"/>
    <mergeCell ref="NX1:OD1"/>
    <mergeCell ref="OE1:OK1"/>
    <mergeCell ref="OL1:OR1"/>
    <mergeCell ref="OS1:OY1"/>
    <mergeCell ref="OZ1:PF1"/>
    <mergeCell ref="PG1:PM1"/>
    <mergeCell ref="PN1:PT1"/>
    <mergeCell ref="PU1:QA1"/>
    <mergeCell ref="QB1:QH1"/>
    <mergeCell ref="QI1:QO1"/>
    <mergeCell ref="QP1:QV1"/>
    <mergeCell ref="QW1:RC1"/>
    <mergeCell ref="RD1:RJ1"/>
    <mergeCell ref="RK1:RQ1"/>
    <mergeCell ref="RR1:RX1"/>
    <mergeCell ref="RY1:SE1"/>
    <mergeCell ref="SF1:SL1"/>
    <mergeCell ref="SM1:SS1"/>
    <mergeCell ref="ST1:SZ1"/>
    <mergeCell ref="TA1:TG1"/>
    <mergeCell ref="TH1:TN1"/>
    <mergeCell ref="TO1:TU1"/>
    <mergeCell ref="TV1:UB1"/>
    <mergeCell ref="UC1:UI1"/>
    <mergeCell ref="UJ1:UP1"/>
    <mergeCell ref="UQ1:UW1"/>
    <mergeCell ref="UX1:VD1"/>
    <mergeCell ref="VE1:VK1"/>
    <mergeCell ref="VL1:VR1"/>
    <mergeCell ref="VS1:VY1"/>
    <mergeCell ref="VZ1:WF1"/>
    <mergeCell ref="WG1:WM1"/>
    <mergeCell ref="WN1:WT1"/>
    <mergeCell ref="WU1:XA1"/>
    <mergeCell ref="XB1:XH1"/>
    <mergeCell ref="XI1:XO1"/>
    <mergeCell ref="XP1:XV1"/>
    <mergeCell ref="XW1:YC1"/>
    <mergeCell ref="YD1:YJ1"/>
    <mergeCell ref="YK1:YQ1"/>
    <mergeCell ref="YR1:YX1"/>
    <mergeCell ref="YY1:ZE1"/>
    <mergeCell ref="ZF1:ZL1"/>
    <mergeCell ref="ZM1:ZS1"/>
    <mergeCell ref="ZT1:ZZ1"/>
    <mergeCell ref="AAA1:AAG1"/>
    <mergeCell ref="AAH1:AAN1"/>
    <mergeCell ref="AAO1:AAU1"/>
    <mergeCell ref="AAV1:ABB1"/>
    <mergeCell ref="ABC1:ABI1"/>
    <mergeCell ref="ABJ1:ABP1"/>
    <mergeCell ref="ABQ1:ABW1"/>
    <mergeCell ref="ABX1:ACD1"/>
    <mergeCell ref="ACE1:ACK1"/>
    <mergeCell ref="ACL1:ACR1"/>
    <mergeCell ref="ACS1:ACY1"/>
    <mergeCell ref="ACZ1:ADF1"/>
    <mergeCell ref="ADG1:ADM1"/>
    <mergeCell ref="ADN1:ADT1"/>
    <mergeCell ref="ADU1:AEA1"/>
    <mergeCell ref="AEB1:AEH1"/>
    <mergeCell ref="AEI1:AEO1"/>
    <mergeCell ref="AEP1:AEV1"/>
    <mergeCell ref="AEW1:AFC1"/>
    <mergeCell ref="AFD1:AFJ1"/>
    <mergeCell ref="AFK1:AFQ1"/>
    <mergeCell ref="AFR1:AFX1"/>
    <mergeCell ref="AFY1:AGE1"/>
    <mergeCell ref="AGF1:AGL1"/>
    <mergeCell ref="AGM1:AGS1"/>
    <mergeCell ref="AGT1:AGZ1"/>
    <mergeCell ref="AHA1:AHG1"/>
    <mergeCell ref="AHH1:AHN1"/>
    <mergeCell ref="AHO1:AHU1"/>
    <mergeCell ref="AHV1:AIB1"/>
    <mergeCell ref="AIC1:AII1"/>
    <mergeCell ref="AIJ1:AIP1"/>
    <mergeCell ref="AIQ1:AIW1"/>
    <mergeCell ref="AIX1:AJD1"/>
    <mergeCell ref="AJE1:AJK1"/>
    <mergeCell ref="AJL1:AJR1"/>
    <mergeCell ref="AJS1:AJY1"/>
    <mergeCell ref="AJZ1:AKF1"/>
    <mergeCell ref="AKG1:AKM1"/>
    <mergeCell ref="DS2:DU2"/>
    <mergeCell ref="FQ2:FR2"/>
    <mergeCell ref="IT2:IU2"/>
    <mergeCell ref="KA2:KB2"/>
    <mergeCell ref="KU2:KW2"/>
    <mergeCell ref="LJ2:LK2"/>
    <mergeCell ref="LT2:LV2"/>
    <mergeCell ref="MK2:MM2"/>
    <mergeCell ref="NO2:NQ2"/>
    <mergeCell ref="ZX2:ZZ2"/>
    <mergeCell ref="AAL2:AAN2"/>
    <mergeCell ref="AAQ2:AAR2"/>
    <mergeCell ref="ACG2:ACI2"/>
    <mergeCell ref="AFT2:AFW2"/>
    <mergeCell ref="DS3:DU3"/>
    <mergeCell ref="CB4:CC4"/>
    <mergeCell ref="EF4:EG4"/>
    <mergeCell ref="IA4:IB4"/>
    <mergeCell ref="JW4:JX4"/>
    <mergeCell ref="LO4:LP4"/>
    <mergeCell ref="NL4:NM4"/>
    <mergeCell ref="OT4:OU4"/>
    <mergeCell ref="QJ4:QK4"/>
    <mergeCell ref="ET5:EU5"/>
    <mergeCell ref="IK5:IL5"/>
    <mergeCell ref="JZ5:KA5"/>
    <mergeCell ref="KC5:KD5"/>
    <mergeCell ref="KK5:KL5"/>
    <mergeCell ref="TU5:TW5"/>
    <mergeCell ref="UP5:UQ5"/>
    <mergeCell ref="UY5:UZ5"/>
    <mergeCell ref="YJ5:YK5"/>
    <mergeCell ref="ZY5:ZZ5"/>
    <mergeCell ref="S6:AR6"/>
    <mergeCell ref="BN6:DO6"/>
    <mergeCell ref="JW6:KV6"/>
    <mergeCell ref="KW6:KZ6"/>
    <mergeCell ref="LL6:LM6"/>
    <mergeCell ref="LP6:MN6"/>
    <mergeCell ref="MO6:NW6"/>
    <mergeCell ref="NX6:OR6"/>
    <mergeCell ref="GN7:JL7"/>
    <mergeCell ref="JZ7:MY7"/>
    <mergeCell ref="NC7:PX7"/>
    <mergeCell ref="PY7:RR7"/>
    <mergeCell ref="GJ8:KZ8"/>
    <mergeCell ref="ML8:MQ8"/>
    <mergeCell ref="MR8:NX8"/>
    <mergeCell ref="NY8:OE8"/>
    <mergeCell ref="OF8:OR8"/>
    <mergeCell ref="OS8:PA8"/>
    <mergeCell ref="RI8:RU8"/>
    <mergeCell ref="RX8:SB8"/>
    <mergeCell ref="SC8:SQ8"/>
    <mergeCell ref="SR8:TF8"/>
    <mergeCell ref="TG8:TU8"/>
    <mergeCell ref="TV8:UJ8"/>
    <mergeCell ref="UK8:UY8"/>
    <mergeCell ref="UZ8:VN8"/>
    <mergeCell ref="VO8:WC8"/>
    <mergeCell ref="WD8:WR8"/>
    <mergeCell ref="WS8:XG8"/>
    <mergeCell ref="CR9:CY9"/>
    <mergeCell ref="EV9:FZ9"/>
    <mergeCell ref="BN10:BP10"/>
    <mergeCell ref="BU10:DR10"/>
    <mergeCell ref="DS10:DZ10"/>
    <mergeCell ref="EB10:EF10"/>
    <mergeCell ref="EM10:EQ10"/>
    <mergeCell ref="FV10:GL10"/>
    <mergeCell ref="GM10:GX10"/>
    <mergeCell ref="GY10:HF10"/>
    <mergeCell ref="HH10:HI10"/>
    <mergeCell ref="HL10:HP10"/>
    <mergeCell ref="HS10:HV10"/>
    <mergeCell ref="HW10:IP10"/>
    <mergeCell ref="IR10:JB10"/>
    <mergeCell ref="JC10:JE10"/>
    <mergeCell ref="JF10:JQ10"/>
    <mergeCell ref="JR10:LU10"/>
    <mergeCell ref="LV10:LW10"/>
    <mergeCell ref="LX10:MC10"/>
    <mergeCell ref="MD10:OE10"/>
    <mergeCell ref="OF10:OL10"/>
    <mergeCell ref="OM10:OS10"/>
    <mergeCell ref="OT10:OU10"/>
    <mergeCell ref="OV10:OW10"/>
    <mergeCell ref="OZ10:PA10"/>
    <mergeCell ref="PB10:PN10"/>
    <mergeCell ref="PO10:PP10"/>
    <mergeCell ref="PQ10:QE10"/>
    <mergeCell ref="QF10:QM10"/>
    <mergeCell ref="QP10:QW10"/>
    <mergeCell ref="QX10:RN10"/>
    <mergeCell ref="RS10:RV10"/>
    <mergeCell ref="SB10:TY10"/>
    <mergeCell ref="UF10:UY10"/>
    <mergeCell ref="AD11:BF11"/>
    <mergeCell ref="CF11:CM11"/>
    <mergeCell ref="CY11:DL11"/>
    <mergeCell ref="DM11:DZ11"/>
    <mergeCell ref="EA11:EB11"/>
    <mergeCell ref="EI11:EV11"/>
    <mergeCell ref="EW11:FJ11"/>
    <mergeCell ref="FK11:FP11"/>
    <mergeCell ref="FQ11:FX11"/>
    <mergeCell ref="FY11:GL11"/>
    <mergeCell ref="GN11:HI11"/>
    <mergeCell ref="HL11:IG11"/>
    <mergeCell ref="IH11:JC11"/>
    <mergeCell ref="LX11:MA11"/>
    <mergeCell ref="PK11:PN11"/>
    <mergeCell ref="PU11:QD11"/>
    <mergeCell ref="QE11:QJ11"/>
    <mergeCell ref="QK11:RR11"/>
    <mergeCell ref="RS11:RV11"/>
    <mergeCell ref="RY11:TD11"/>
    <mergeCell ref="TE11:TJ11"/>
    <mergeCell ref="TK11:UR11"/>
    <mergeCell ref="US11:UX11"/>
    <mergeCell ref="UY11:WD11"/>
    <mergeCell ref="WG11:WJ11"/>
    <mergeCell ref="QP12:QY12"/>
    <mergeCell ref="QZ12:RG12"/>
    <mergeCell ref="RH12:RV12"/>
    <mergeCell ref="SA12:TY12"/>
    <mergeCell ref="UY12:VE12"/>
    <mergeCell ref="VF12:VG12"/>
    <mergeCell ref="VH12:VI12"/>
    <mergeCell ref="VL12:VO12"/>
    <mergeCell ref="VP12:VV12"/>
    <mergeCell ref="VW12:VZ12"/>
    <mergeCell ref="XR12:YF12"/>
    <mergeCell ref="YG12:YU12"/>
    <mergeCell ref="YV12:ZJ12"/>
    <mergeCell ref="ZK12:ZY12"/>
    <mergeCell ref="ZZ12:AAN12"/>
    <mergeCell ref="AAO12:ABC12"/>
    <mergeCell ref="ABD12:ABR12"/>
    <mergeCell ref="ABS12:ACG12"/>
    <mergeCell ref="ACH12:ACW12"/>
    <mergeCell ref="ACX12:ADL12"/>
    <mergeCell ref="QP13:QY13"/>
    <mergeCell ref="QZ13:RG13"/>
    <mergeCell ref="RH13:RV13"/>
    <mergeCell ref="SP13:TH13"/>
    <mergeCell ref="TJ13:TS13"/>
    <mergeCell ref="TV13:VE13"/>
    <mergeCell ref="VF13:VI13"/>
    <mergeCell ref="VL13:WG13"/>
    <mergeCell ref="WH13:WY13"/>
    <mergeCell ref="XB13:XJ13"/>
    <mergeCell ref="XK13:XQ13"/>
    <mergeCell ref="XR13:YY13"/>
    <mergeCell ref="YZ13:ZC13"/>
    <mergeCell ref="ZF13:AAK13"/>
    <mergeCell ref="AAL13:AAQ13"/>
    <mergeCell ref="AAR13:ABY13"/>
    <mergeCell ref="ABZ13:ACE13"/>
    <mergeCell ref="ACF13:ADK13"/>
    <mergeCell ref="ADN13:AEI13"/>
    <mergeCell ref="AJG14:AJT14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Viresh B Shah</dc:creator>
  <dcterms:created xsi:type="dcterms:W3CDTF">2020-04-24T20:16:58Z</dcterms:created>
  <dcterms:modified xsi:type="dcterms:W3CDTF">2020-04-25T00:02:52Z</dcterms:modified>
  <cp:lastModifiedBy>Sujay</cp:lastModifiedBy>
</cp:coreProperties>
</file>