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jayshah/ExcelParsing/backend/program_validation/input/"/>
    </mc:Choice>
  </mc:AlternateContent>
  <xr:revisionPtr revIDLastSave="0" documentId="13_ncr:1_{6412B4FF-D21F-A542-BC79-3A48697F5360}" xr6:coauthVersionLast="36" xr6:coauthVersionMax="36" xr10:uidLastSave="{00000000-0000-0000-0000-000000000000}"/>
  <bookViews>
    <workbookView xWindow="0" yWindow="460" windowWidth="23260" windowHeight="12580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D142" i="1" l="1"/>
  <c r="C143" i="1" s="1"/>
  <c r="D143" i="1" s="1"/>
  <c r="C144" i="1" s="1"/>
  <c r="D144" i="1" s="1"/>
  <c r="C145" i="1" s="1"/>
  <c r="D145" i="1" s="1"/>
  <c r="C146" i="1" s="1"/>
  <c r="D146" i="1" s="1"/>
  <c r="C147" i="1" s="1"/>
  <c r="D147" i="1" s="1"/>
  <c r="D129" i="1"/>
  <c r="D128" i="1"/>
  <c r="D113" i="1"/>
  <c r="C114" i="1" s="1"/>
  <c r="D112" i="1"/>
  <c r="D91" i="1"/>
  <c r="C92" i="1" s="1"/>
  <c r="D90" i="1"/>
  <c r="D56" i="1"/>
  <c r="C57" i="1" s="1"/>
  <c r="C56" i="1"/>
  <c r="D55" i="1"/>
  <c r="D53" i="1"/>
  <c r="D45" i="1"/>
  <c r="D44" i="1"/>
  <c r="C46" i="1" s="1"/>
  <c r="C44" i="1"/>
  <c r="D43" i="1"/>
  <c r="D41" i="1"/>
  <c r="D40" i="1"/>
  <c r="D37" i="1"/>
  <c r="C37" i="1"/>
  <c r="D36" i="1"/>
  <c r="D35" i="1"/>
  <c r="D34" i="1"/>
  <c r="D33" i="1"/>
  <c r="D30" i="1"/>
  <c r="D26" i="1"/>
  <c r="D25" i="1"/>
  <c r="D24" i="1"/>
  <c r="D23" i="1"/>
  <c r="D22" i="1"/>
  <c r="D21" i="1"/>
  <c r="D20" i="1"/>
  <c r="D19" i="1"/>
  <c r="D18" i="1"/>
  <c r="D17" i="1" s="1"/>
  <c r="C17" i="1"/>
  <c r="D16" i="1"/>
  <c r="D15" i="1"/>
  <c r="D14" i="1"/>
  <c r="D13" i="1" s="1"/>
  <c r="C14" i="1"/>
  <c r="C13" i="1" s="1"/>
  <c r="D12" i="1"/>
  <c r="D11" i="1"/>
  <c r="D10" i="1"/>
  <c r="D9" i="1"/>
  <c r="D7" i="1"/>
  <c r="D5" i="1"/>
  <c r="D4" i="1"/>
  <c r="D3" i="1"/>
  <c r="D46" i="1" l="1"/>
  <c r="C47" i="1" s="1"/>
  <c r="D47" i="1" s="1"/>
  <c r="C48" i="1" s="1"/>
  <c r="D48" i="1" s="1"/>
  <c r="C49" i="1" s="1"/>
  <c r="D49" i="1" s="1"/>
  <c r="C50" i="1" s="1"/>
  <c r="D50" i="1" s="1"/>
  <c r="C51" i="1" s="1"/>
  <c r="D51" i="1" s="1"/>
  <c r="C52" i="1" s="1"/>
  <c r="D52" i="1" s="1"/>
  <c r="D42" i="1"/>
  <c r="D57" i="1"/>
  <c r="C58" i="1" s="1"/>
  <c r="D58" i="1" s="1"/>
  <c r="C59" i="1" s="1"/>
  <c r="D59" i="1" s="1"/>
  <c r="C60" i="1" s="1"/>
  <c r="D60" i="1" s="1"/>
  <c r="C61" i="1" s="1"/>
  <c r="D61" i="1" s="1"/>
  <c r="C62" i="1" s="1"/>
  <c r="D62" i="1" s="1"/>
  <c r="C63" i="1" s="1"/>
  <c r="D63" i="1" s="1"/>
  <c r="C64" i="1" s="1"/>
  <c r="D64" i="1" s="1"/>
  <c r="C65" i="1" s="1"/>
  <c r="D65" i="1" s="1"/>
  <c r="C66" i="1" s="1"/>
  <c r="D66" i="1" s="1"/>
  <c r="C67" i="1" s="1"/>
  <c r="D67" i="1" s="1"/>
  <c r="C68" i="1" s="1"/>
  <c r="D68" i="1" s="1"/>
  <c r="C69" i="1" s="1"/>
  <c r="D69" i="1" s="1"/>
  <c r="C70" i="1" s="1"/>
  <c r="D70" i="1" s="1"/>
  <c r="C71" i="1" s="1"/>
  <c r="D71" i="1" s="1"/>
  <c r="C72" i="1" s="1"/>
  <c r="D72" i="1" s="1"/>
  <c r="C73" i="1" s="1"/>
  <c r="D73" i="1" s="1"/>
  <c r="C74" i="1" s="1"/>
  <c r="D74" i="1" s="1"/>
  <c r="C75" i="1" s="1"/>
  <c r="D75" i="1" s="1"/>
  <c r="C76" i="1" s="1"/>
  <c r="D76" i="1" s="1"/>
  <c r="C77" i="1" s="1"/>
  <c r="D77" i="1" s="1"/>
  <c r="C78" i="1" s="1"/>
  <c r="D78" i="1" s="1"/>
  <c r="C79" i="1" s="1"/>
  <c r="D79" i="1" s="1"/>
  <c r="C80" i="1" s="1"/>
  <c r="D80" i="1" s="1"/>
  <c r="C81" i="1" s="1"/>
  <c r="D81" i="1" s="1"/>
  <c r="C82" i="1" s="1"/>
  <c r="D82" i="1" s="1"/>
  <c r="C83" i="1" s="1"/>
  <c r="D83" i="1" s="1"/>
  <c r="C84" i="1" s="1"/>
  <c r="D84" i="1" s="1"/>
  <c r="C85" i="1" s="1"/>
  <c r="D85" i="1" s="1"/>
  <c r="C86" i="1" s="1"/>
  <c r="D86" i="1" s="1"/>
  <c r="C87" i="1" s="1"/>
  <c r="D87" i="1" s="1"/>
  <c r="C88" i="1" s="1"/>
  <c r="D88" i="1" s="1"/>
  <c r="D114" i="1"/>
  <c r="D92" i="1"/>
  <c r="C93" i="1" s="1"/>
  <c r="D93" i="1" s="1"/>
  <c r="C94" i="1" s="1"/>
  <c r="D94" i="1" s="1"/>
  <c r="C95" i="1" s="1"/>
  <c r="D95" i="1" s="1"/>
  <c r="C96" i="1" s="1"/>
  <c r="D96" i="1" s="1"/>
  <c r="C97" i="1" s="1"/>
  <c r="D97" i="1" s="1"/>
  <c r="C98" i="1" s="1"/>
  <c r="D98" i="1" s="1"/>
  <c r="C99" i="1" s="1"/>
  <c r="D99" i="1" s="1"/>
  <c r="C100" i="1" s="1"/>
  <c r="D100" i="1" s="1"/>
  <c r="C101" i="1" s="1"/>
  <c r="D101" i="1" s="1"/>
  <c r="C115" i="1"/>
  <c r="D115" i="1" s="1"/>
  <c r="C116" i="1" s="1"/>
  <c r="D116" i="1" s="1"/>
  <c r="C117" i="1" s="1"/>
  <c r="D117" i="1" s="1"/>
  <c r="C118" i="1" s="1"/>
  <c r="D118" i="1" s="1"/>
  <c r="C119" i="1" s="1"/>
  <c r="D119" i="1" s="1"/>
  <c r="C120" i="1" s="1"/>
  <c r="D120" i="1" s="1"/>
  <c r="C121" i="1" s="1"/>
  <c r="D121" i="1" s="1"/>
  <c r="C122" i="1" s="1"/>
  <c r="D122" i="1" s="1"/>
  <c r="C123" i="1" s="1"/>
  <c r="D123" i="1" s="1"/>
  <c r="C130" i="1"/>
  <c r="D130" i="1" l="1"/>
  <c r="C28" i="1"/>
  <c r="D28" i="1" s="1"/>
  <c r="C102" i="1"/>
  <c r="C111" i="1"/>
  <c r="C124" i="1"/>
  <c r="D124" i="1" s="1"/>
  <c r="C125" i="1" s="1"/>
  <c r="D125" i="1" s="1"/>
  <c r="C126" i="1" s="1"/>
  <c r="D126" i="1" s="1"/>
  <c r="C32" i="1"/>
  <c r="D32" i="1" s="1"/>
  <c r="D54" i="1"/>
  <c r="C54" i="1"/>
  <c r="C42" i="1"/>
  <c r="C29" i="1" l="1"/>
  <c r="D29" i="1" s="1"/>
  <c r="C6" i="1"/>
  <c r="C131" i="1"/>
  <c r="D102" i="1"/>
  <c r="D111" i="1"/>
  <c r="D131" i="1" l="1"/>
  <c r="D6" i="1"/>
  <c r="C103" i="1"/>
  <c r="D103" i="1" l="1"/>
  <c r="C132" i="1"/>
  <c r="D132" i="1" l="1"/>
  <c r="C104" i="1"/>
  <c r="D104" i="1" l="1"/>
  <c r="C133" i="1"/>
  <c r="D133" i="1" l="1"/>
  <c r="C134" i="1" s="1"/>
  <c r="D134" i="1" s="1"/>
  <c r="C135" i="1" s="1"/>
  <c r="D135" i="1" s="1"/>
  <c r="C136" i="1" s="1"/>
  <c r="D136" i="1" s="1"/>
  <c r="C137" i="1" s="1"/>
  <c r="D137" i="1" s="1"/>
  <c r="C138" i="1" s="1"/>
  <c r="D138" i="1" s="1"/>
  <c r="C139" i="1" s="1"/>
  <c r="D139" i="1" s="1"/>
  <c r="C140" i="1" s="1"/>
  <c r="D140" i="1" s="1"/>
  <c r="C141" i="1" s="1"/>
  <c r="D141" i="1" s="1"/>
  <c r="D127" i="1" s="1"/>
  <c r="C105" i="1"/>
  <c r="D105" i="1" l="1"/>
  <c r="C127" i="1"/>
  <c r="C31" i="1" l="1"/>
  <c r="C106" i="1"/>
  <c r="D106" i="1" s="1"/>
  <c r="C107" i="1" s="1"/>
  <c r="D107" i="1" s="1"/>
  <c r="C108" i="1" s="1"/>
  <c r="D108" i="1" s="1"/>
  <c r="C109" i="1" l="1"/>
  <c r="D109" i="1" s="1"/>
  <c r="C110" i="1" s="1"/>
  <c r="C8" i="1"/>
  <c r="C27" i="1"/>
  <c r="D31" i="1"/>
  <c r="D27" i="1" s="1"/>
  <c r="D8" i="1" l="1"/>
  <c r="D2" i="1" s="1"/>
  <c r="C2" i="1"/>
  <c r="G14" i="1" s="1"/>
  <c r="D110" i="1"/>
  <c r="D89" i="1" s="1"/>
  <c r="C89" i="1"/>
  <c r="H14" i="1" l="1"/>
</calcChain>
</file>

<file path=xl/sharedStrings.xml><?xml version="1.0" encoding="utf-8"?>
<sst xmlns="http://schemas.openxmlformats.org/spreadsheetml/2006/main" count="285" uniqueCount="167">
  <si>
    <t>Activity Name</t>
  </si>
  <si>
    <t>Start</t>
  </si>
  <si>
    <t>Finish</t>
  </si>
  <si>
    <t xml:space="preserve">  Key Project Milestones</t>
  </si>
  <si>
    <t>GW</t>
  </si>
  <si>
    <t>GW 1/2</t>
  </si>
  <si>
    <t>QG</t>
  </si>
  <si>
    <t>Quality Gate 3</t>
  </si>
  <si>
    <t>GW 3/4</t>
  </si>
  <si>
    <t xml:space="preserve">Machine Ready for Field </t>
  </si>
  <si>
    <t>DF</t>
  </si>
  <si>
    <t>Pilot EDS Freeze</t>
  </si>
  <si>
    <t>Endurance Complete</t>
  </si>
  <si>
    <t>Production EDS Freeze</t>
  </si>
  <si>
    <t>GW 5</t>
  </si>
  <si>
    <t>GW 5.5</t>
  </si>
  <si>
    <t>GW 6</t>
  </si>
  <si>
    <t xml:space="preserve">  Key Validation reviews</t>
  </si>
  <si>
    <t>VR</t>
  </si>
  <si>
    <t>Validation Review 3</t>
  </si>
  <si>
    <t>Validation Review 4</t>
  </si>
  <si>
    <t>Validation Review 5</t>
  </si>
  <si>
    <t xml:space="preserve">  Software Milestones</t>
  </si>
  <si>
    <t>SW</t>
  </si>
  <si>
    <t>Receive V01 SW</t>
  </si>
  <si>
    <t>V02 SW Content Freeze</t>
  </si>
  <si>
    <t>Receive V02 SW</t>
  </si>
  <si>
    <t>V03 SW Content Freeze</t>
  </si>
  <si>
    <t>Receive V03 SW</t>
  </si>
  <si>
    <t>V04 SW Content Freeze</t>
  </si>
  <si>
    <t>Receive V04 SW (Pilot)</t>
  </si>
  <si>
    <t>V05 SW Content Freeze</t>
  </si>
  <si>
    <t>TIC Report Milestones</t>
  </si>
  <si>
    <t>Pilot</t>
  </si>
  <si>
    <t>EMC-Pilot- Pilot</t>
  </si>
  <si>
    <t>ISO 9533 Horn, Back-up Alarm EN474 HAWB- Pilot</t>
  </si>
  <si>
    <t>ISO 5010 Steering Feasibility (Pilot)</t>
  </si>
  <si>
    <t>ISO 3450 Brake Feasibility (Pilot)</t>
  </si>
  <si>
    <t>Production</t>
  </si>
  <si>
    <t>Stg V EMC CERT</t>
  </si>
  <si>
    <t>ISO 3450 Brake CERT</t>
  </si>
  <si>
    <t>ISO 5010 Steering CERT</t>
  </si>
  <si>
    <t>ISO 9533 Horn, Back-up Alarm HAWB CERT</t>
  </si>
  <si>
    <t>ISO 10570-Articulation Lock CERT</t>
  </si>
  <si>
    <t>Tech Center ShakeTable</t>
  </si>
  <si>
    <t>Parts</t>
  </si>
  <si>
    <t>Hood arrives at Tech Center, Peoria</t>
  </si>
  <si>
    <t>Shake Table</t>
  </si>
  <si>
    <t>Stage V Shake Table # 1</t>
  </si>
  <si>
    <t>Machine Build</t>
  </si>
  <si>
    <t>Machine Update for OMSA # 2</t>
  </si>
  <si>
    <t>Stage V Shake Table # 2 with OMSA Drive File (Post Machine OMSA)</t>
  </si>
  <si>
    <t>966GC T3 TB #3 (SGW00208)</t>
  </si>
  <si>
    <t>Transmission</t>
  </si>
  <si>
    <t xml:space="preserve">Shift Dev </t>
  </si>
  <si>
    <t>HVAC</t>
  </si>
  <si>
    <t>HVAC Perf Checkout</t>
  </si>
  <si>
    <t>Cooling2</t>
  </si>
  <si>
    <t>Water system/ With Prod Rad Fixes</t>
  </si>
  <si>
    <t>Performance</t>
  </si>
  <si>
    <t>L5 Tuning</t>
  </si>
  <si>
    <t>Opr Eval</t>
  </si>
  <si>
    <t>Operator Eval</t>
  </si>
  <si>
    <t>Endurance</t>
  </si>
  <si>
    <t>Endurance-250 hrs</t>
  </si>
  <si>
    <t>Inspection</t>
  </si>
  <si>
    <t>Final Inspection</t>
  </si>
  <si>
    <t>Machine Update</t>
  </si>
  <si>
    <t>Light Structures</t>
  </si>
  <si>
    <t>Light Structures (Stg V Hood) OMSA #1 (Contingency)</t>
  </si>
  <si>
    <t xml:space="preserve">Light Structures (Stg V Hood) OMSA #2 (Likely Path) </t>
  </si>
  <si>
    <t>966GC Stage V TB #1 (SGW00201)</t>
  </si>
  <si>
    <t>Machine Ship</t>
  </si>
  <si>
    <t>Ship Machine Aurora MDC</t>
  </si>
  <si>
    <t>Machine Build (Teardown and start build Jan 26)</t>
  </si>
  <si>
    <t xml:space="preserve">Build Issue resolution </t>
  </si>
  <si>
    <t>Ship Machine PPG</t>
  </si>
  <si>
    <t>Machine Check</t>
  </si>
  <si>
    <t>Machine Checkout STP-64</t>
  </si>
  <si>
    <t>Ver 01 SW (STP 230/289) (Steering, L5, XSMN)</t>
  </si>
  <si>
    <t>NVH</t>
  </si>
  <si>
    <t>Sound Development (Machine, Cab Sound)</t>
  </si>
  <si>
    <t>L5 Performance Check (Include Thermal Mgmt Valve)</t>
  </si>
  <si>
    <t>Engine</t>
  </si>
  <si>
    <t>C9.3B Stage V Engine Performance</t>
  </si>
  <si>
    <t>Trans Tuning</t>
  </si>
  <si>
    <t>L5 Tuning # 1</t>
  </si>
  <si>
    <t xml:space="preserve">Operator Eval </t>
  </si>
  <si>
    <t>Rimpull/Response</t>
  </si>
  <si>
    <t>Issue</t>
  </si>
  <si>
    <t>Issue Resolution # 1</t>
  </si>
  <si>
    <t>Ver 02 SW (STP 230/289) (Steering, L5, XSMN)</t>
  </si>
  <si>
    <t>Audit</t>
  </si>
  <si>
    <t>Safety/Serviceability audit</t>
  </si>
  <si>
    <t>Cooling 2</t>
  </si>
  <si>
    <t xml:space="preserve">Water Flow and Water System </t>
  </si>
  <si>
    <t>Cooling 3</t>
  </si>
  <si>
    <t>Stg V Ambient Capability and UHT (Include AOC Channels)</t>
  </si>
  <si>
    <t>EIC</t>
  </si>
  <si>
    <t>Dust Ejector Measurement</t>
  </si>
  <si>
    <t>STP 401 Engine Install Audit</t>
  </si>
  <si>
    <t>DEF and Fuel Tank Calibration</t>
  </si>
  <si>
    <t>Ver 03 SW (STP 230/289) (L5, XSMN, Engine)</t>
  </si>
  <si>
    <t>Structures2</t>
  </si>
  <si>
    <t>Limited Slip Differential Development Driveline Signature</t>
  </si>
  <si>
    <t>Issue Resolution # 2</t>
  </si>
  <si>
    <t>Product Support</t>
  </si>
  <si>
    <t>Dealer Service Training</t>
  </si>
  <si>
    <t>L5 Tuning and Performance Check # 2</t>
  </si>
  <si>
    <t>Ver 04 SW (STP 230/289) (Steering, L5, XSMN, Engine) BOB</t>
  </si>
  <si>
    <t>Thermal Mgmt</t>
  </si>
  <si>
    <t>Ver 05 SW (STP 230/289) (L5, XSMN)</t>
  </si>
  <si>
    <t>Thermal Mgmt endurance</t>
  </si>
  <si>
    <t>Endurance#1</t>
  </si>
  <si>
    <t>Endurance 0-500 hrs+ Service/Inspect (Cold Ambient)</t>
  </si>
  <si>
    <t>Issue Resolution # 3</t>
  </si>
  <si>
    <t>Stage V Engine Cold Room (TC-L)</t>
  </si>
  <si>
    <t>QPG 966GC CNR4 TB#2 (SGW00202)</t>
  </si>
  <si>
    <t>Machine Build + Issue Resolution</t>
  </si>
  <si>
    <t xml:space="preserve">Holiday </t>
  </si>
  <si>
    <t>China New Year</t>
  </si>
  <si>
    <t>CNR4 SW Checkout-250 hrs</t>
  </si>
  <si>
    <t>Endurance #2</t>
  </si>
  <si>
    <t>Sound Test (including cab glass) ISO 9533, HAWB</t>
  </si>
  <si>
    <t>Engine Installation Audit</t>
  </si>
  <si>
    <t>Hydraulics#1</t>
  </si>
  <si>
    <t>Hydraulic checkout</t>
  </si>
  <si>
    <t>L5 Checkout</t>
  </si>
  <si>
    <t>CNR4 SW Endurance- 250 hrs</t>
  </si>
  <si>
    <t>Endurance Inspection</t>
  </si>
  <si>
    <t>Safety</t>
  </si>
  <si>
    <t>EMC Feasibility</t>
  </si>
  <si>
    <t>Stg V Ver 02 SW (STP 230)</t>
  </si>
  <si>
    <t>L5 Checkout- Stg V</t>
  </si>
  <si>
    <t>ISO 3450 Brake Feasibility (Optional)</t>
  </si>
  <si>
    <t>ISO 5010 Steering Feasibility (Include Secondary Steering)</t>
  </si>
  <si>
    <t>Stg V Ver 03 SW (STP 230)</t>
  </si>
  <si>
    <t>Endurance # 1</t>
  </si>
  <si>
    <t>Endurance 250-750 hrs</t>
  </si>
  <si>
    <t>Stage V Ver 04 SW (STP 230)</t>
  </si>
  <si>
    <t>PPG 966GC Stage V Pilot #1 (SN)</t>
  </si>
  <si>
    <t>SW Checkout # Pilot V01</t>
  </si>
  <si>
    <t>L5 Performance Check</t>
  </si>
  <si>
    <t>Endurance #1</t>
  </si>
  <si>
    <t>Machine Endurance- 100 hrs</t>
  </si>
  <si>
    <t>Light Structures (Stg V Hood) OMSA # 3</t>
  </si>
  <si>
    <t>Stg V Alarm, FWD Horn, HAWB CERT</t>
  </si>
  <si>
    <t>Stage V EMC Test</t>
  </si>
  <si>
    <t>Endurance 0-250 hrs+ Service/Inspect</t>
  </si>
  <si>
    <t>Endurance 251-500 hrs+ Service/Inspect</t>
  </si>
  <si>
    <t>Productivity</t>
  </si>
  <si>
    <t>QPG 966GC CNR4/ Stg V Pilot #2 (SN)</t>
  </si>
  <si>
    <t>SW Checkout # 1</t>
  </si>
  <si>
    <t>MLIT Practice</t>
  </si>
  <si>
    <t>MLIT Witness (Is witness test 12 weeks after MLIT practice?)</t>
  </si>
  <si>
    <t>Sound Test</t>
  </si>
  <si>
    <t>ISO 3450- Brake CERT</t>
  </si>
  <si>
    <t>ISO 5010- Steering CERT</t>
  </si>
  <si>
    <t>Endurance 0-250 hrs</t>
  </si>
  <si>
    <t>Service</t>
  </si>
  <si>
    <t>Service/Inspect</t>
  </si>
  <si>
    <t>Endurance 251-500 hrs</t>
  </si>
  <si>
    <t>China National Day</t>
  </si>
  <si>
    <t>Endurance #3</t>
  </si>
  <si>
    <t>Endurance 501-750 hrs</t>
  </si>
  <si>
    <t>Endurance #4</t>
  </si>
  <si>
    <t>Endurance 750-1000 hrs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</si>
</sst>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5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6"/>
      <color theme="1"/>
      <name val="Arial"/>
      <family val="2"/>
    </font>
    <font>
      <b/>
      <sz val="10"/>
      <color theme="1"/>
      <name val="Arial"/>
      <family val="2"/>
    </font>
  </fonts>
  <fills count="1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DE77AB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1">
    <xf numFmtId="0" fontId="0" fillId="0" borderId="0" xfId="0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0" fillId="2" borderId="4" xfId="0" applyFill="1" applyBorder="1"/>
    <xf numFmtId="0" fontId="2" fillId="2" borderId="5" xfId="0" applyFont="1" applyFill="1" applyBorder="1"/>
    <xf numFmtId="15" fontId="0" fillId="2" borderId="5" xfId="0" applyNumberFormat="1" applyFill="1" applyBorder="1" applyAlignment="1">
      <alignment horizontal="center"/>
    </xf>
    <xf numFmtId="15" fontId="0" fillId="2" borderId="6" xfId="0" applyNumberForma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left" indent="1"/>
    </xf>
    <xf numFmtId="15" fontId="0" fillId="0" borderId="5" xfId="0" applyNumberFormat="1" applyBorder="1" applyAlignment="1">
      <alignment horizontal="center"/>
    </xf>
    <xf numFmtId="15" fontId="0" fillId="0" borderId="6" xfId="0" applyNumberFormat="1" applyBorder="1" applyAlignment="1">
      <alignment horizontal="center"/>
    </xf>
    <xf numFmtId="15" fontId="0" fillId="0" borderId="0" xfId="0" applyNumberFormat="1"/>
    <xf numFmtId="0" fontId="0" fillId="3" borderId="4" xfId="0" applyFill="1" applyBorder="1" applyAlignment="1">
      <alignment horizontal="center"/>
    </xf>
    <xf numFmtId="0" fontId="2" fillId="3" borderId="5" xfId="0" applyFont="1" applyFill="1" applyBorder="1" applyAlignment="1">
      <alignment horizontal="left"/>
    </xf>
    <xf numFmtId="15" fontId="0" fillId="3" borderId="5" xfId="0" applyNumberFormat="1" applyFill="1" applyBorder="1" applyAlignment="1">
      <alignment horizontal="center"/>
    </xf>
    <xf numFmtId="15" fontId="0" fillId="3" borderId="6" xfId="0" applyNumberFormat="1" applyFill="1" applyBorder="1" applyAlignment="1">
      <alignment horizontal="center"/>
    </xf>
    <xf numFmtId="0" fontId="0" fillId="4" borderId="4" xfId="0" applyFill="1" applyBorder="1" applyAlignment="1">
      <alignment vertical="center"/>
    </xf>
    <xf numFmtId="0" fontId="2" fillId="4" borderId="5" xfId="0" applyFont="1" applyFill="1" applyBorder="1" applyAlignment="1">
      <alignment horizontal="left" vertical="center"/>
    </xf>
    <xf numFmtId="15" fontId="0" fillId="4" borderId="5" xfId="0" applyNumberFormat="1" applyFill="1" applyBorder="1" applyAlignment="1">
      <alignment horizontal="center" vertical="center"/>
    </xf>
    <xf numFmtId="15" fontId="0" fillId="4" borderId="6" xfId="0" applyNumberFormat="1" applyFill="1" applyBorder="1" applyAlignment="1">
      <alignment horizontal="center" vertical="center"/>
    </xf>
    <xf numFmtId="14" fontId="0" fillId="0" borderId="0" xfId="0" applyNumberFormat="1"/>
    <xf numFmtId="0" fontId="0" fillId="5" borderId="4" xfId="0" applyFill="1" applyBorder="1"/>
    <xf numFmtId="0" fontId="3" fillId="6" borderId="5" xfId="0" applyFont="1" applyFill="1" applyBorder="1" applyAlignment="1">
      <alignment horizontal="left"/>
    </xf>
    <xf numFmtId="15" fontId="0" fillId="6" borderId="5" xfId="0" applyNumberFormat="1" applyFill="1" applyBorder="1" applyAlignment="1">
      <alignment horizontal="center"/>
    </xf>
    <xf numFmtId="15" fontId="0" fillId="6" borderId="6" xfId="0" applyNumberFormat="1" applyFill="1" applyBorder="1" applyAlignment="1">
      <alignment horizontal="center"/>
    </xf>
    <xf numFmtId="15" fontId="0" fillId="0" borderId="5" xfId="0" applyNumberFormat="1" applyBorder="1" applyAlignment="1">
      <alignment horizontal="center" vertical="center"/>
    </xf>
    <xf numFmtId="0" fontId="3" fillId="7" borderId="5" xfId="0" applyFont="1" applyFill="1" applyBorder="1" applyAlignment="1">
      <alignment horizontal="left"/>
    </xf>
    <xf numFmtId="15" fontId="0" fillId="8" borderId="5" xfId="0" applyNumberFormat="1" applyFill="1" applyBorder="1" applyAlignment="1">
      <alignment horizontal="center"/>
    </xf>
    <xf numFmtId="0" fontId="0" fillId="0" borderId="5" xfId="0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15" fontId="0" fillId="8" borderId="5" xfId="0" applyNumberFormat="1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5" borderId="8" xfId="0" applyFill="1" applyBorder="1"/>
    <xf numFmtId="0" fontId="3" fillId="9" borderId="5" xfId="0" applyFont="1" applyFill="1" applyBorder="1" applyAlignment="1">
      <alignment horizontal="left"/>
    </xf>
    <xf numFmtId="0" fontId="0" fillId="0" borderId="8" xfId="0" applyBorder="1" applyAlignment="1">
      <alignment horizontal="left" vertical="center"/>
    </xf>
    <xf numFmtId="0" fontId="0" fillId="10" borderId="5" xfId="0" applyFill="1" applyBorder="1" applyAlignment="1">
      <alignment vertical="center"/>
    </xf>
    <xf numFmtId="0" fontId="0" fillId="0" borderId="9" xfId="0" applyBorder="1" applyAlignment="1">
      <alignment horizontal="left" vertical="center"/>
    </xf>
    <xf numFmtId="0" fontId="0" fillId="11" borderId="5" xfId="0" applyFill="1" applyBorder="1" applyAlignment="1">
      <alignment vertical="center"/>
    </xf>
    <xf numFmtId="0" fontId="0" fillId="12" borderId="5" xfId="0" applyFill="1" applyBorder="1" applyAlignment="1">
      <alignment vertical="center"/>
    </xf>
    <xf numFmtId="0" fontId="3" fillId="13" borderId="5" xfId="0" applyFont="1" applyFill="1" applyBorder="1" applyAlignment="1">
      <alignment horizontal="left"/>
    </xf>
    <xf numFmtId="15" fontId="0" fillId="13" borderId="5" xfId="0" applyNumberFormat="1" applyFill="1" applyBorder="1" applyAlignment="1">
      <alignment horizontal="center"/>
    </xf>
    <xf numFmtId="15" fontId="0" fillId="13" borderId="6" xfId="0" applyNumberFormat="1" applyFill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7" xfId="0" applyBorder="1" applyAlignment="1">
      <alignment vertical="center"/>
    </xf>
    <xf numFmtId="0" fontId="0" fillId="0" borderId="11" xfId="0" applyBorder="1"/>
    <xf numFmtId="0" fontId="0" fillId="0" borderId="0" xfId="0" applyAlignment="1">
      <alignment horizontal="left"/>
    </xf>
    <xf numFmtId="0" fontId="0" fillId="0" borderId="10" xfId="0" applyBorder="1"/>
    <xf numFmtId="0" fontId="0" fillId="11" borderId="7" xfId="0" applyFill="1" applyBorder="1" applyAlignment="1">
      <alignment vertical="center"/>
    </xf>
    <xf numFmtId="15" fontId="0" fillId="11" borderId="6" xfId="0" applyNumberFormat="1" applyFill="1" applyBorder="1" applyAlignment="1">
      <alignment horizontal="center" vertical="center"/>
    </xf>
    <xf numFmtId="0" fontId="0" fillId="0" borderId="7" xfId="0" applyBorder="1"/>
    <xf numFmtId="0" fontId="4" fillId="0" borderId="7" xfId="0" applyFont="1" applyBorder="1"/>
    <xf numFmtId="15" fontId="0" fillId="0" borderId="12" xfId="0" applyNumberFormat="1" applyBorder="1" applyAlignment="1">
      <alignment horizontal="center"/>
    </xf>
    <xf numFmtId="15" fontId="0" fillId="0" borderId="13" xfId="0" applyNumberFormat="1" applyBorder="1" applyAlignment="1">
      <alignment horizontal="center"/>
    </xf>
    <xf numFmtId="0" fontId="3" fillId="14" borderId="5" xfId="0" applyFont="1" applyFill="1" applyBorder="1" applyAlignment="1">
      <alignment horizontal="left"/>
    </xf>
    <xf numFmtId="15" fontId="0" fillId="9" borderId="2" xfId="0" applyNumberFormat="1" applyFill="1" applyBorder="1" applyAlignment="1">
      <alignment horizontal="center"/>
    </xf>
    <xf numFmtId="15" fontId="0" fillId="9" borderId="3" xfId="0" applyNumberFormat="1" applyFill="1" applyBorder="1" applyAlignment="1">
      <alignment horizontal="center"/>
    </xf>
    <xf numFmtId="15" fontId="0" fillId="0" borderId="6" xfId="0" applyNumberFormat="1" applyBorder="1" applyAlignment="1">
      <alignment horizontal="center" vertical="center"/>
    </xf>
    <xf numFmtId="0" fontId="0" fillId="0" borderId="8" xfId="0" applyBorder="1"/>
    <xf numFmtId="0" fontId="0" fillId="0" borderId="4" xfId="0" applyBorder="1" applyAlignment="1">
      <alignment horizontal="left" vertical="center"/>
    </xf>
    <xf numFmtId="0" fontId="0" fillId="0" borderId="5" xfId="0" applyBorder="1" applyAlignment="1">
      <alignment vertical="center"/>
    </xf>
    <xf numFmtId="0" fontId="0" fillId="0" borderId="4" xfId="0" applyBorder="1"/>
    <xf numFmtId="0" fontId="3" fillId="15" borderId="5" xfId="0" applyFont="1" applyFill="1" applyBorder="1" applyAlignment="1">
      <alignment horizontal="left"/>
    </xf>
    <xf numFmtId="15" fontId="0" fillId="16" borderId="5" xfId="0" applyNumberFormat="1" applyFill="1" applyBorder="1" applyAlignment="1">
      <alignment horizontal="center"/>
    </xf>
    <xf numFmtId="15" fontId="0" fillId="16" borderId="6" xfId="0" applyNumberForma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5" xfId="0" applyBorder="1"/>
    <xf numFmtId="0" fontId="0" fillId="0" borderId="4" xfId="0" applyBorder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47"/>
  <sheetViews>
    <sheetView tabSelected="1" topLeftCell="A16" workbookViewId="0">
      <selection activeCell="C32" sqref="C32"/>
    </sheetView>
  </sheetViews>
  <sheetFormatPr baseColWidth="10" defaultColWidth="8.83203125" defaultRowHeight="15" x14ac:dyDescent="0.2"/>
  <cols>
    <col min="1" max="1" width="19" customWidth="1"/>
    <col min="2" max="2" width="57.33203125" style="70" bestFit="1" customWidth="1"/>
    <col min="3" max="3" width="11.5" style="70" bestFit="1" customWidth="1"/>
    <col min="4" max="4" width="11.33203125" style="70" bestFit="1" customWidth="1"/>
    <col min="6" max="6" width="9.5" bestFit="1" customWidth="1"/>
    <col min="8" max="8" width="9.33203125" bestFit="1" customWidth="1"/>
  </cols>
  <sheetData>
    <row r="1" spans="1:8" ht="20" customHeight="1" x14ac:dyDescent="0.25">
      <c r="A1" s="1"/>
      <c r="B1" s="2" t="s">
        <v>0</v>
      </c>
      <c r="C1" s="2" t="s">
        <v>1</v>
      </c>
      <c r="D1" s="3" t="s">
        <v>2</v>
      </c>
    </row>
    <row r="2" spans="1:8" ht="24" customHeight="1" x14ac:dyDescent="0.3">
      <c r="A2" s="4"/>
      <c r="B2" s="5" t="s">
        <v>3</v>
      </c>
      <c r="C2" s="6">
        <f>MIN(C3:C12)</f>
        <v>43739</v>
      </c>
      <c r="D2" s="7">
        <f>MAX(D3:D12)</f>
        <v>44685</v>
      </c>
    </row>
    <row r="3" spans="1:8" x14ac:dyDescent="0.2">
      <c r="A3" s="8" t="s">
        <v>4</v>
      </c>
      <c r="B3" s="9" t="s">
        <v>5</v>
      </c>
      <c r="C3" s="10">
        <v>43739</v>
      </c>
      <c r="D3" s="11">
        <f>C3+2</f>
        <v>43741</v>
      </c>
    </row>
    <row r="4" spans="1:8" x14ac:dyDescent="0.2">
      <c r="A4" s="8" t="s">
        <v>6</v>
      </c>
      <c r="B4" s="9" t="s">
        <v>7</v>
      </c>
      <c r="C4" s="10">
        <v>43893</v>
      </c>
      <c r="D4" s="11">
        <f>C4+2</f>
        <v>43895</v>
      </c>
    </row>
    <row r="5" spans="1:8" x14ac:dyDescent="0.2">
      <c r="A5" s="8" t="s">
        <v>4</v>
      </c>
      <c r="B5" s="9" t="s">
        <v>8</v>
      </c>
      <c r="C5" s="10">
        <v>43922</v>
      </c>
      <c r="D5" s="11">
        <f>C5+1</f>
        <v>43923</v>
      </c>
    </row>
    <row r="6" spans="1:8" x14ac:dyDescent="0.2">
      <c r="A6" s="8" t="s">
        <v>4</v>
      </c>
      <c r="B6" s="9" t="s">
        <v>9</v>
      </c>
      <c r="C6" s="10">
        <f>D28</f>
        <v>44030</v>
      </c>
      <c r="D6" s="11">
        <f>C6+1</f>
        <v>44031</v>
      </c>
      <c r="F6" s="12"/>
    </row>
    <row r="7" spans="1:8" x14ac:dyDescent="0.2">
      <c r="A7" s="8" t="s">
        <v>10</v>
      </c>
      <c r="B7" s="9" t="s">
        <v>11</v>
      </c>
      <c r="C7" s="10">
        <v>44077</v>
      </c>
      <c r="D7" s="11">
        <f>C7+2</f>
        <v>44079</v>
      </c>
    </row>
    <row r="8" spans="1:8" x14ac:dyDescent="0.2">
      <c r="A8" s="8" t="s">
        <v>4</v>
      </c>
      <c r="B8" s="9" t="s">
        <v>12</v>
      </c>
      <c r="C8" s="10">
        <f>D108</f>
        <v>44133</v>
      </c>
      <c r="D8" s="11">
        <f>C8</f>
        <v>44133</v>
      </c>
    </row>
    <row r="9" spans="1:8" x14ac:dyDescent="0.2">
      <c r="A9" s="8" t="s">
        <v>10</v>
      </c>
      <c r="B9" s="9" t="s">
        <v>13</v>
      </c>
      <c r="C9" s="10">
        <v>44531</v>
      </c>
      <c r="D9" s="11">
        <f>C9+2</f>
        <v>44533</v>
      </c>
    </row>
    <row r="10" spans="1:8" x14ac:dyDescent="0.2">
      <c r="A10" s="8" t="s">
        <v>4</v>
      </c>
      <c r="B10" s="9" t="s">
        <v>14</v>
      </c>
      <c r="C10" s="10">
        <v>44228</v>
      </c>
      <c r="D10" s="11">
        <f>C10+2</f>
        <v>44230</v>
      </c>
      <c r="F10" s="12"/>
    </row>
    <row r="11" spans="1:8" x14ac:dyDescent="0.2">
      <c r="A11" s="8" t="s">
        <v>4</v>
      </c>
      <c r="B11" s="9" t="s">
        <v>15</v>
      </c>
      <c r="C11" s="10">
        <v>44540</v>
      </c>
      <c r="D11" s="11">
        <f>C11+1</f>
        <v>44541</v>
      </c>
    </row>
    <row r="12" spans="1:8" x14ac:dyDescent="0.2">
      <c r="A12" s="8" t="s">
        <v>4</v>
      </c>
      <c r="B12" s="9" t="s">
        <v>16</v>
      </c>
      <c r="C12" s="10">
        <v>44682</v>
      </c>
      <c r="D12" s="11">
        <f>C12+3</f>
        <v>44685</v>
      </c>
    </row>
    <row r="13" spans="1:8" ht="24" customHeight="1" x14ac:dyDescent="0.3">
      <c r="A13" s="4"/>
      <c r="B13" s="5" t="s">
        <v>17</v>
      </c>
      <c r="C13" s="6">
        <f>MIN(C14:C16)</f>
        <v>43893</v>
      </c>
      <c r="D13" s="7">
        <f>MAX(D14:D16)</f>
        <v>44137</v>
      </c>
    </row>
    <row r="14" spans="1:8" x14ac:dyDescent="0.2">
      <c r="A14" s="8" t="s">
        <v>18</v>
      </c>
      <c r="B14" s="9" t="s">
        <v>19</v>
      </c>
      <c r="C14" s="10">
        <f>C4</f>
        <v>43893</v>
      </c>
      <c r="D14" s="11">
        <f>C14+2</f>
        <v>43895</v>
      </c>
      <c r="G14" s="12">
        <f>MIN(C2,C13,C17,C27,C37,C42,C54,C89,C111,C127)</f>
        <v>43739</v>
      </c>
      <c r="H14" s="12">
        <f>MAX(D2,D13,D17,D27,D37,D42,D54,D89,D111,D127)</f>
        <v>44685</v>
      </c>
    </row>
    <row r="15" spans="1:8" x14ac:dyDescent="0.2">
      <c r="A15" s="8" t="s">
        <v>18</v>
      </c>
      <c r="B15" s="9" t="s">
        <v>20</v>
      </c>
      <c r="C15" s="10">
        <v>44044</v>
      </c>
      <c r="D15" s="11">
        <f>C15</f>
        <v>44044</v>
      </c>
    </row>
    <row r="16" spans="1:8" x14ac:dyDescent="0.2">
      <c r="A16" s="8" t="s">
        <v>18</v>
      </c>
      <c r="B16" s="9" t="s">
        <v>21</v>
      </c>
      <c r="C16" s="10">
        <v>44137</v>
      </c>
      <c r="D16" s="11">
        <f>C16</f>
        <v>44137</v>
      </c>
    </row>
    <row r="17" spans="1:9" ht="24" customHeight="1" x14ac:dyDescent="0.3">
      <c r="A17" s="13"/>
      <c r="B17" s="14" t="s">
        <v>22</v>
      </c>
      <c r="C17" s="15">
        <f>MIN(C18:C26)</f>
        <v>43791</v>
      </c>
      <c r="D17" s="16">
        <f>MAX(D18:D26)</f>
        <v>44036</v>
      </c>
    </row>
    <row r="18" spans="1:9" x14ac:dyDescent="0.2">
      <c r="A18" s="8" t="s">
        <v>23</v>
      </c>
      <c r="B18" s="9" t="s">
        <v>24</v>
      </c>
      <c r="C18" s="10">
        <v>43791</v>
      </c>
      <c r="D18" s="11">
        <f t="shared" ref="D18:D25" si="0">C18+1</f>
        <v>43792</v>
      </c>
    </row>
    <row r="19" spans="1:9" x14ac:dyDescent="0.2">
      <c r="A19" s="8" t="s">
        <v>23</v>
      </c>
      <c r="B19" s="9" t="s">
        <v>25</v>
      </c>
      <c r="C19" s="10">
        <v>43814</v>
      </c>
      <c r="D19" s="11">
        <f t="shared" si="0"/>
        <v>43815</v>
      </c>
    </row>
    <row r="20" spans="1:9" x14ac:dyDescent="0.2">
      <c r="A20" s="8" t="s">
        <v>23</v>
      </c>
      <c r="B20" s="9" t="s">
        <v>26</v>
      </c>
      <c r="C20" s="10">
        <v>43882</v>
      </c>
      <c r="D20" s="11">
        <f t="shared" si="0"/>
        <v>43883</v>
      </c>
    </row>
    <row r="21" spans="1:9" x14ac:dyDescent="0.2">
      <c r="A21" s="8" t="s">
        <v>23</v>
      </c>
      <c r="B21" s="9" t="s">
        <v>27</v>
      </c>
      <c r="C21" s="10">
        <v>43891</v>
      </c>
      <c r="D21" s="11">
        <f t="shared" si="0"/>
        <v>43892</v>
      </c>
    </row>
    <row r="22" spans="1:9" x14ac:dyDescent="0.2">
      <c r="A22" s="8" t="s">
        <v>23</v>
      </c>
      <c r="B22" s="9" t="s">
        <v>28</v>
      </c>
      <c r="C22" s="10">
        <v>43945</v>
      </c>
      <c r="D22" s="11">
        <f t="shared" si="0"/>
        <v>43946</v>
      </c>
    </row>
    <row r="23" spans="1:9" x14ac:dyDescent="0.2">
      <c r="A23" s="8" t="s">
        <v>23</v>
      </c>
      <c r="B23" s="9" t="s">
        <v>29</v>
      </c>
      <c r="C23" s="10">
        <v>43962</v>
      </c>
      <c r="D23" s="11">
        <f t="shared" si="0"/>
        <v>43963</v>
      </c>
    </row>
    <row r="24" spans="1:9" x14ac:dyDescent="0.2">
      <c r="A24" s="8" t="s">
        <v>23</v>
      </c>
      <c r="B24" s="9" t="s">
        <v>30</v>
      </c>
      <c r="C24" s="10">
        <v>44001</v>
      </c>
      <c r="D24" s="11">
        <f t="shared" si="0"/>
        <v>44002</v>
      </c>
    </row>
    <row r="25" spans="1:9" x14ac:dyDescent="0.2">
      <c r="A25" s="8" t="s">
        <v>23</v>
      </c>
      <c r="B25" s="9" t="s">
        <v>31</v>
      </c>
      <c r="C25" s="10">
        <v>44010</v>
      </c>
      <c r="D25" s="11">
        <f t="shared" si="0"/>
        <v>44011</v>
      </c>
    </row>
    <row r="26" spans="1:9" x14ac:dyDescent="0.2">
      <c r="A26" s="8" t="s">
        <v>23</v>
      </c>
      <c r="B26" s="9" t="s">
        <v>30</v>
      </c>
      <c r="C26" s="10">
        <v>44036</v>
      </c>
      <c r="D26" s="11">
        <f>C26</f>
        <v>44036</v>
      </c>
    </row>
    <row r="27" spans="1:9" ht="24" customHeight="1" x14ac:dyDescent="0.2">
      <c r="A27" s="17"/>
      <c r="B27" s="18" t="s">
        <v>32</v>
      </c>
      <c r="C27" s="19">
        <f>MIN(C30:C35)</f>
        <v>44067</v>
      </c>
      <c r="D27" s="20">
        <f>MAX(D30:D35)</f>
        <v>44484</v>
      </c>
    </row>
    <row r="28" spans="1:9" x14ac:dyDescent="0.2">
      <c r="A28" s="8" t="s">
        <v>33</v>
      </c>
      <c r="B28" s="50" t="s">
        <v>34</v>
      </c>
      <c r="C28" s="10">
        <f>D101+23</f>
        <v>44029</v>
      </c>
      <c r="D28" s="11">
        <f>C28+1</f>
        <v>44030</v>
      </c>
    </row>
    <row r="29" spans="1:9" x14ac:dyDescent="0.2">
      <c r="A29" s="8" t="s">
        <v>33</v>
      </c>
      <c r="B29" s="50" t="s">
        <v>35</v>
      </c>
      <c r="C29" s="10">
        <f>D28+2</f>
        <v>44032</v>
      </c>
      <c r="D29" s="11">
        <f>C29+1</f>
        <v>44033</v>
      </c>
      <c r="H29" s="21"/>
      <c r="I29" s="21"/>
    </row>
    <row r="30" spans="1:9" x14ac:dyDescent="0.2">
      <c r="A30" s="8" t="s">
        <v>33</v>
      </c>
      <c r="B30" s="50" t="s">
        <v>36</v>
      </c>
      <c r="C30" s="10">
        <v>44067</v>
      </c>
      <c r="D30" s="11">
        <f>C30+1</f>
        <v>44068</v>
      </c>
    </row>
    <row r="31" spans="1:9" x14ac:dyDescent="0.2">
      <c r="A31" s="8" t="s">
        <v>33</v>
      </c>
      <c r="B31" s="50" t="s">
        <v>37</v>
      </c>
      <c r="C31" s="10">
        <f>D105+29</f>
        <v>44069</v>
      </c>
      <c r="D31" s="11">
        <f>C31+1</f>
        <v>44070</v>
      </c>
    </row>
    <row r="32" spans="1:9" x14ac:dyDescent="0.2">
      <c r="A32" s="8" t="s">
        <v>38</v>
      </c>
      <c r="B32" s="50" t="s">
        <v>39</v>
      </c>
      <c r="C32" s="10">
        <f>D123+60</f>
        <v>44483</v>
      </c>
      <c r="D32" s="11">
        <f>C32+1</f>
        <v>44484</v>
      </c>
    </row>
    <row r="33" spans="1:4" x14ac:dyDescent="0.2">
      <c r="A33" s="8" t="s">
        <v>38</v>
      </c>
      <c r="B33" s="50" t="s">
        <v>40</v>
      </c>
      <c r="C33" s="10">
        <v>44311</v>
      </c>
      <c r="D33" s="11">
        <f>C33+2</f>
        <v>44313</v>
      </c>
    </row>
    <row r="34" spans="1:4" x14ac:dyDescent="0.2">
      <c r="A34" s="8" t="s">
        <v>38</v>
      </c>
      <c r="B34" s="50" t="s">
        <v>41</v>
      </c>
      <c r="C34" s="10">
        <v>44332</v>
      </c>
      <c r="D34" s="11">
        <f>C34+1</f>
        <v>44333</v>
      </c>
    </row>
    <row r="35" spans="1:4" x14ac:dyDescent="0.2">
      <c r="A35" s="8" t="s">
        <v>38</v>
      </c>
      <c r="B35" s="50" t="s">
        <v>42</v>
      </c>
      <c r="C35" s="10">
        <v>44430</v>
      </c>
      <c r="D35" s="11">
        <f>C35+1</f>
        <v>44431</v>
      </c>
    </row>
    <row r="36" spans="1:4" x14ac:dyDescent="0.2">
      <c r="A36" s="8" t="s">
        <v>38</v>
      </c>
      <c r="B36" s="50" t="s">
        <v>43</v>
      </c>
      <c r="C36" s="10">
        <v>44341</v>
      </c>
      <c r="D36" s="11">
        <f>C36+1</f>
        <v>44342</v>
      </c>
    </row>
    <row r="37" spans="1:4" ht="20" customHeight="1" x14ac:dyDescent="0.2">
      <c r="A37" s="22"/>
      <c r="B37" s="23" t="s">
        <v>44</v>
      </c>
      <c r="C37" s="24">
        <f>MIN(C38:C39)</f>
        <v>43789</v>
      </c>
      <c r="D37" s="25">
        <f>MAX(D38:D39)</f>
        <v>43861</v>
      </c>
    </row>
    <row r="38" spans="1:4" x14ac:dyDescent="0.2">
      <c r="A38" s="8" t="s">
        <v>45</v>
      </c>
      <c r="B38" s="67" t="s">
        <v>46</v>
      </c>
      <c r="C38" s="26">
        <v>43789</v>
      </c>
      <c r="D38" s="57">
        <v>43814</v>
      </c>
    </row>
    <row r="39" spans="1:4" x14ac:dyDescent="0.2">
      <c r="A39" s="8" t="s">
        <v>47</v>
      </c>
      <c r="B39" s="67" t="s">
        <v>48</v>
      </c>
      <c r="C39" s="26">
        <v>43836</v>
      </c>
      <c r="D39" s="57">
        <v>43861</v>
      </c>
    </row>
    <row r="40" spans="1:4" x14ac:dyDescent="0.2">
      <c r="A40" s="8" t="s">
        <v>49</v>
      </c>
      <c r="B40" s="67" t="s">
        <v>50</v>
      </c>
      <c r="C40" s="26">
        <v>44053</v>
      </c>
      <c r="D40" s="26">
        <f>WORKDAY(C40,8)</f>
        <v>44063</v>
      </c>
    </row>
    <row r="41" spans="1:4" x14ac:dyDescent="0.2">
      <c r="A41" s="8" t="s">
        <v>47</v>
      </c>
      <c r="B41" s="67" t="s">
        <v>51</v>
      </c>
      <c r="C41" s="26">
        <v>44075</v>
      </c>
      <c r="D41" s="26">
        <f>WORKDAY(C41,40)</f>
        <v>44131</v>
      </c>
    </row>
    <row r="42" spans="1:4" ht="20" customHeight="1" x14ac:dyDescent="0.2">
      <c r="A42" s="22"/>
      <c r="B42" s="27" t="s">
        <v>52</v>
      </c>
      <c r="C42" s="28">
        <f>MIN(C43:C53)</f>
        <v>43804</v>
      </c>
      <c r="D42" s="28">
        <f>MAX(D43:D53)</f>
        <v>44102</v>
      </c>
    </row>
    <row r="43" spans="1:4" x14ac:dyDescent="0.2">
      <c r="A43" s="29" t="s">
        <v>53</v>
      </c>
      <c r="B43" s="30" t="s">
        <v>54</v>
      </c>
      <c r="C43" s="26">
        <v>43804</v>
      </c>
      <c r="D43" s="26">
        <f>WORKDAY(C43,6)</f>
        <v>43812</v>
      </c>
    </row>
    <row r="44" spans="1:4" x14ac:dyDescent="0.2">
      <c r="A44" s="29" t="s">
        <v>55</v>
      </c>
      <c r="B44" s="30" t="s">
        <v>56</v>
      </c>
      <c r="C44" s="26">
        <f>D43+3</f>
        <v>43815</v>
      </c>
      <c r="D44" s="26">
        <f>WORKDAY(C44,3)</f>
        <v>43818</v>
      </c>
    </row>
    <row r="45" spans="1:4" ht="16.25" customHeight="1" x14ac:dyDescent="0.2">
      <c r="A45" s="32" t="s">
        <v>57</v>
      </c>
      <c r="B45" s="44" t="s">
        <v>58</v>
      </c>
      <c r="C45" s="31">
        <v>43836</v>
      </c>
      <c r="D45" s="26">
        <f>WORKDAY(C45,6)</f>
        <v>43844</v>
      </c>
    </row>
    <row r="46" spans="1:4" ht="16.25" customHeight="1" x14ac:dyDescent="0.2">
      <c r="A46" s="32" t="s">
        <v>59</v>
      </c>
      <c r="B46" s="44" t="s">
        <v>60</v>
      </c>
      <c r="C46" s="26">
        <f>WORKDAY(D44,19)</f>
        <v>43845</v>
      </c>
      <c r="D46" s="26">
        <f>WORKDAY(C46,7)</f>
        <v>43854</v>
      </c>
    </row>
    <row r="47" spans="1:4" ht="16.25" customHeight="1" x14ac:dyDescent="0.2">
      <c r="A47" s="32" t="s">
        <v>61</v>
      </c>
      <c r="B47" s="44" t="s">
        <v>62</v>
      </c>
      <c r="C47" s="26">
        <f>WORKDAY(D46,1)</f>
        <v>43857</v>
      </c>
      <c r="D47" s="26">
        <f>WORKDAY(C47,2)</f>
        <v>43859</v>
      </c>
    </row>
    <row r="48" spans="1:4" ht="16.25" customHeight="1" x14ac:dyDescent="0.2">
      <c r="A48" s="32" t="s">
        <v>63</v>
      </c>
      <c r="B48" s="44" t="s">
        <v>64</v>
      </c>
      <c r="C48" s="26">
        <f>WORKDAY(D47,1)</f>
        <v>43860</v>
      </c>
      <c r="D48" s="26">
        <f>WORKDAY(C48,8)</f>
        <v>43872</v>
      </c>
    </row>
    <row r="49" spans="1:4" ht="16.25" customHeight="1" x14ac:dyDescent="0.2">
      <c r="A49" s="32" t="s">
        <v>65</v>
      </c>
      <c r="B49" s="44" t="s">
        <v>66</v>
      </c>
      <c r="C49" s="26">
        <f>D48+1</f>
        <v>43873</v>
      </c>
      <c r="D49" s="26">
        <f>C49+6</f>
        <v>43879</v>
      </c>
    </row>
    <row r="50" spans="1:4" x14ac:dyDescent="0.2">
      <c r="A50" s="32" t="s">
        <v>49</v>
      </c>
      <c r="B50" s="60" t="s">
        <v>67</v>
      </c>
      <c r="C50" s="26">
        <f>WORKDAY(D49,1)</f>
        <v>43880</v>
      </c>
      <c r="D50" s="26">
        <f>WORKDAY(C50,10)</f>
        <v>43894</v>
      </c>
    </row>
    <row r="51" spans="1:4" x14ac:dyDescent="0.2">
      <c r="A51" s="32" t="s">
        <v>68</v>
      </c>
      <c r="B51" s="60" t="s">
        <v>69</v>
      </c>
      <c r="C51" s="26">
        <f>WORKDAY(D50,1)</f>
        <v>43895</v>
      </c>
      <c r="D51" s="57">
        <f>C51+63</f>
        <v>43958</v>
      </c>
    </row>
    <row r="52" spans="1:4" x14ac:dyDescent="0.2">
      <c r="A52" s="32" t="s">
        <v>49</v>
      </c>
      <c r="B52" s="60" t="s">
        <v>67</v>
      </c>
      <c r="C52" s="26">
        <f>WORKDAY(D51,50)</f>
        <v>44028</v>
      </c>
      <c r="D52" s="26">
        <f>WORKDAY(C52,10)</f>
        <v>44042</v>
      </c>
    </row>
    <row r="53" spans="1:4" x14ac:dyDescent="0.2">
      <c r="A53" s="32" t="s">
        <v>68</v>
      </c>
      <c r="B53" s="60" t="s">
        <v>70</v>
      </c>
      <c r="C53" s="26">
        <v>44046</v>
      </c>
      <c r="D53" s="26">
        <f>WORKDAY(C53,40)</f>
        <v>44102</v>
      </c>
    </row>
    <row r="54" spans="1:4" ht="20" customHeight="1" x14ac:dyDescent="0.2">
      <c r="A54" s="33"/>
      <c r="B54" s="34" t="s">
        <v>71</v>
      </c>
      <c r="C54" s="28">
        <f>MIN(C55:C88)</f>
        <v>43836</v>
      </c>
      <c r="D54" s="28">
        <f>MAX(D55:D88)</f>
        <v>44299</v>
      </c>
    </row>
    <row r="55" spans="1:4" x14ac:dyDescent="0.2">
      <c r="A55" s="35" t="s">
        <v>72</v>
      </c>
      <c r="B55" s="36" t="s">
        <v>73</v>
      </c>
      <c r="C55" s="26">
        <v>43836</v>
      </c>
      <c r="D55" s="26">
        <f>WORKDAY(C55,2)</f>
        <v>43838</v>
      </c>
    </row>
    <row r="56" spans="1:4" x14ac:dyDescent="0.2">
      <c r="A56" s="35" t="s">
        <v>49</v>
      </c>
      <c r="B56" s="36" t="s">
        <v>74</v>
      </c>
      <c r="C56" s="26">
        <f>WORKDAY(D55,3)</f>
        <v>43843</v>
      </c>
      <c r="D56" s="26">
        <f>WORKDAY(C56,30)</f>
        <v>43885</v>
      </c>
    </row>
    <row r="57" spans="1:4" x14ac:dyDescent="0.2">
      <c r="A57" s="35" t="s">
        <v>49</v>
      </c>
      <c r="B57" s="36" t="s">
        <v>75</v>
      </c>
      <c r="C57" s="26">
        <f>WORKDAY(D56,1)</f>
        <v>43886</v>
      </c>
      <c r="D57" s="26">
        <f>WORKDAY(C57,3)</f>
        <v>43889</v>
      </c>
    </row>
    <row r="58" spans="1:4" x14ac:dyDescent="0.2">
      <c r="A58" s="35" t="s">
        <v>72</v>
      </c>
      <c r="B58" s="36" t="s">
        <v>76</v>
      </c>
      <c r="C58" s="26">
        <f>WORKDAY(D57,2)</f>
        <v>43893</v>
      </c>
      <c r="D58" s="26">
        <f>WORKDAY(C58,1)</f>
        <v>43894</v>
      </c>
    </row>
    <row r="59" spans="1:4" x14ac:dyDescent="0.2">
      <c r="A59" s="35" t="s">
        <v>77</v>
      </c>
      <c r="B59" s="60" t="s">
        <v>78</v>
      </c>
      <c r="C59" s="26">
        <f t="shared" ref="C59:C71" si="1">WORKDAY(D58,1)</f>
        <v>43895</v>
      </c>
      <c r="D59" s="26">
        <f>WORKDAY(C59,4)</f>
        <v>43901</v>
      </c>
    </row>
    <row r="60" spans="1:4" x14ac:dyDescent="0.2">
      <c r="A60" s="35" t="s">
        <v>23</v>
      </c>
      <c r="B60" s="60" t="s">
        <v>79</v>
      </c>
      <c r="C60" s="26">
        <f t="shared" si="1"/>
        <v>43902</v>
      </c>
      <c r="D60" s="26">
        <f>WORKDAY(C60,11)</f>
        <v>43917</v>
      </c>
    </row>
    <row r="61" spans="1:4" x14ac:dyDescent="0.2">
      <c r="A61" s="35" t="s">
        <v>80</v>
      </c>
      <c r="B61" s="60" t="s">
        <v>81</v>
      </c>
      <c r="C61" s="26">
        <f t="shared" si="1"/>
        <v>43920</v>
      </c>
      <c r="D61" s="26">
        <f>WORKDAY(C61,4)</f>
        <v>43924</v>
      </c>
    </row>
    <row r="62" spans="1:4" x14ac:dyDescent="0.2">
      <c r="A62" s="35" t="s">
        <v>59</v>
      </c>
      <c r="B62" s="60" t="s">
        <v>82</v>
      </c>
      <c r="C62" s="26">
        <f t="shared" si="1"/>
        <v>43927</v>
      </c>
      <c r="D62" s="26">
        <f>WORKDAY(C62,7)</f>
        <v>43936</v>
      </c>
    </row>
    <row r="63" spans="1:4" x14ac:dyDescent="0.2">
      <c r="A63" s="37" t="s">
        <v>83</v>
      </c>
      <c r="B63" s="60" t="s">
        <v>84</v>
      </c>
      <c r="C63" s="26">
        <f t="shared" si="1"/>
        <v>43937</v>
      </c>
      <c r="D63" s="26">
        <f>WORKDAY(C63,1)</f>
        <v>43938</v>
      </c>
    </row>
    <row r="64" spans="1:4" x14ac:dyDescent="0.2">
      <c r="A64" s="37" t="s">
        <v>53</v>
      </c>
      <c r="B64" s="60" t="s">
        <v>85</v>
      </c>
      <c r="C64" s="26">
        <f t="shared" si="1"/>
        <v>43941</v>
      </c>
      <c r="D64" s="26">
        <f>WORKDAY(C64,4)</f>
        <v>43945</v>
      </c>
    </row>
    <row r="65" spans="1:4" x14ac:dyDescent="0.2">
      <c r="A65" s="37" t="s">
        <v>59</v>
      </c>
      <c r="B65" s="60" t="s">
        <v>86</v>
      </c>
      <c r="C65" s="26">
        <f t="shared" si="1"/>
        <v>43948</v>
      </c>
      <c r="D65" s="26">
        <f>WORKDAY(C65,3)</f>
        <v>43951</v>
      </c>
    </row>
    <row r="66" spans="1:4" x14ac:dyDescent="0.2">
      <c r="A66" s="35" t="s">
        <v>59</v>
      </c>
      <c r="B66" s="60" t="s">
        <v>87</v>
      </c>
      <c r="C66" s="26">
        <f t="shared" si="1"/>
        <v>43952</v>
      </c>
      <c r="D66" s="26">
        <f>WORKDAY(C66,0)</f>
        <v>43952</v>
      </c>
    </row>
    <row r="67" spans="1:4" x14ac:dyDescent="0.2">
      <c r="A67" s="35" t="s">
        <v>59</v>
      </c>
      <c r="B67" s="38" t="s">
        <v>88</v>
      </c>
      <c r="C67" s="26">
        <f t="shared" si="1"/>
        <v>43955</v>
      </c>
      <c r="D67" s="26">
        <f>WORKDAY(C67,13)</f>
        <v>43972</v>
      </c>
    </row>
    <row r="68" spans="1:4" x14ac:dyDescent="0.2">
      <c r="A68" s="35" t="s">
        <v>55</v>
      </c>
      <c r="B68" s="60" t="s">
        <v>56</v>
      </c>
      <c r="C68" s="26">
        <f t="shared" si="1"/>
        <v>43973</v>
      </c>
      <c r="D68" s="26">
        <f>WORKDAY(C68,2)</f>
        <v>43977</v>
      </c>
    </row>
    <row r="69" spans="1:4" x14ac:dyDescent="0.2">
      <c r="A69" s="35" t="s">
        <v>89</v>
      </c>
      <c r="B69" s="60" t="s">
        <v>90</v>
      </c>
      <c r="C69" s="26">
        <f t="shared" si="1"/>
        <v>43978</v>
      </c>
      <c r="D69" s="26">
        <f>WORKDAY(C69,6)</f>
        <v>43986</v>
      </c>
    </row>
    <row r="70" spans="1:4" x14ac:dyDescent="0.2">
      <c r="A70" s="35" t="s">
        <v>23</v>
      </c>
      <c r="B70" s="60" t="s">
        <v>91</v>
      </c>
      <c r="C70" s="26">
        <f t="shared" si="1"/>
        <v>43987</v>
      </c>
      <c r="D70" s="26">
        <f>WORKDAY(C70,1)</f>
        <v>43990</v>
      </c>
    </row>
    <row r="71" spans="1:4" x14ac:dyDescent="0.2">
      <c r="A71" s="35" t="s">
        <v>92</v>
      </c>
      <c r="B71" s="60" t="s">
        <v>93</v>
      </c>
      <c r="C71" s="26">
        <f t="shared" si="1"/>
        <v>43991</v>
      </c>
      <c r="D71" s="26">
        <f>WORKDAY(C71,1)</f>
        <v>43992</v>
      </c>
    </row>
    <row r="72" spans="1:4" x14ac:dyDescent="0.2">
      <c r="A72" s="35" t="s">
        <v>94</v>
      </c>
      <c r="B72" s="60" t="s">
        <v>95</v>
      </c>
      <c r="C72" s="26">
        <f>WORKDAY(D71,2)</f>
        <v>43994</v>
      </c>
      <c r="D72" s="26">
        <f>WORKDAY(C72,8)</f>
        <v>44006</v>
      </c>
    </row>
    <row r="73" spans="1:4" x14ac:dyDescent="0.2">
      <c r="A73" s="35" t="s">
        <v>96</v>
      </c>
      <c r="B73" s="39" t="s">
        <v>97</v>
      </c>
      <c r="C73" s="26">
        <f t="shared" ref="C73:C82" si="2">WORKDAY(D72,1)</f>
        <v>44007</v>
      </c>
      <c r="D73" s="26">
        <f>WORKDAY(C73,38)</f>
        <v>44061</v>
      </c>
    </row>
    <row r="74" spans="1:4" x14ac:dyDescent="0.2">
      <c r="A74" s="35" t="s">
        <v>98</v>
      </c>
      <c r="B74" s="60" t="s">
        <v>99</v>
      </c>
      <c r="C74" s="26">
        <f t="shared" si="2"/>
        <v>44062</v>
      </c>
      <c r="D74" s="26">
        <f>WORKDAY(C74,3)</f>
        <v>44067</v>
      </c>
    </row>
    <row r="75" spans="1:4" x14ac:dyDescent="0.2">
      <c r="A75" s="35" t="s">
        <v>83</v>
      </c>
      <c r="B75" s="60" t="s">
        <v>100</v>
      </c>
      <c r="C75" s="26">
        <f t="shared" si="2"/>
        <v>44068</v>
      </c>
      <c r="D75" s="26">
        <f>WORKDAY(C75,1)</f>
        <v>44069</v>
      </c>
    </row>
    <row r="76" spans="1:4" x14ac:dyDescent="0.2">
      <c r="A76" s="35" t="s">
        <v>83</v>
      </c>
      <c r="B76" s="60" t="s">
        <v>101</v>
      </c>
      <c r="C76" s="26">
        <f t="shared" si="2"/>
        <v>44070</v>
      </c>
      <c r="D76" s="26">
        <f>WORKDAY(C76,1)</f>
        <v>44071</v>
      </c>
    </row>
    <row r="77" spans="1:4" x14ac:dyDescent="0.2">
      <c r="A77" s="35" t="s">
        <v>23</v>
      </c>
      <c r="B77" s="60" t="s">
        <v>102</v>
      </c>
      <c r="C77" s="26">
        <f t="shared" si="2"/>
        <v>44074</v>
      </c>
      <c r="D77" s="26">
        <f>WORKDAY(C77,1)</f>
        <v>44075</v>
      </c>
    </row>
    <row r="78" spans="1:4" x14ac:dyDescent="0.2">
      <c r="A78" s="35" t="s">
        <v>103</v>
      </c>
      <c r="B78" s="60" t="s">
        <v>104</v>
      </c>
      <c r="C78" s="26">
        <f t="shared" si="2"/>
        <v>44076</v>
      </c>
      <c r="D78" s="26">
        <f>WORKDAY(C78,35)</f>
        <v>44125</v>
      </c>
    </row>
    <row r="79" spans="1:4" x14ac:dyDescent="0.2">
      <c r="A79" s="35" t="s">
        <v>89</v>
      </c>
      <c r="B79" s="60" t="s">
        <v>105</v>
      </c>
      <c r="C79" s="26">
        <f t="shared" si="2"/>
        <v>44126</v>
      </c>
      <c r="D79" s="26">
        <f>WORKDAY(C79,6)</f>
        <v>44134</v>
      </c>
    </row>
    <row r="80" spans="1:4" x14ac:dyDescent="0.2">
      <c r="A80" s="35" t="s">
        <v>106</v>
      </c>
      <c r="B80" s="60" t="s">
        <v>107</v>
      </c>
      <c r="C80" s="26">
        <f t="shared" si="2"/>
        <v>44137</v>
      </c>
      <c r="D80" s="26">
        <f>WORKDAY(C80,1)</f>
        <v>44138</v>
      </c>
    </row>
    <row r="81" spans="1:4" x14ac:dyDescent="0.2">
      <c r="A81" s="35" t="s">
        <v>59</v>
      </c>
      <c r="B81" s="60" t="s">
        <v>108</v>
      </c>
      <c r="C81" s="26">
        <f t="shared" si="2"/>
        <v>44139</v>
      </c>
      <c r="D81" s="26">
        <f>WORKDAY(C81,5)</f>
        <v>44146</v>
      </c>
    </row>
    <row r="82" spans="1:4" x14ac:dyDescent="0.2">
      <c r="A82" s="35" t="s">
        <v>23</v>
      </c>
      <c r="B82" s="60" t="s">
        <v>109</v>
      </c>
      <c r="C82" s="26">
        <f t="shared" si="2"/>
        <v>44147</v>
      </c>
      <c r="D82" s="26">
        <f>WORKDAY(C82,12)</f>
        <v>44165</v>
      </c>
    </row>
    <row r="83" spans="1:4" x14ac:dyDescent="0.2">
      <c r="A83" s="35" t="s">
        <v>83</v>
      </c>
      <c r="B83" s="60" t="s">
        <v>110</v>
      </c>
      <c r="C83" s="26">
        <f>WORKDAY(D82,2)</f>
        <v>44167</v>
      </c>
      <c r="D83" s="26">
        <f>WORKDAY(C83,1)</f>
        <v>44168</v>
      </c>
    </row>
    <row r="84" spans="1:4" x14ac:dyDescent="0.2">
      <c r="A84" s="35" t="s">
        <v>23</v>
      </c>
      <c r="B84" s="60" t="s">
        <v>111</v>
      </c>
      <c r="C84" s="26">
        <f>WORKDAY(D83,1)</f>
        <v>44169</v>
      </c>
      <c r="D84" s="26">
        <f>WORKDAY(C84,6)</f>
        <v>44179</v>
      </c>
    </row>
    <row r="85" spans="1:4" x14ac:dyDescent="0.2">
      <c r="A85" s="35" t="s">
        <v>83</v>
      </c>
      <c r="B85" s="60" t="s">
        <v>112</v>
      </c>
      <c r="C85" s="26">
        <f>WORKDAY(D84,1)</f>
        <v>44180</v>
      </c>
      <c r="D85" s="26">
        <f>C85+14</f>
        <v>44194</v>
      </c>
    </row>
    <row r="86" spans="1:4" x14ac:dyDescent="0.2">
      <c r="A86" s="35" t="s">
        <v>113</v>
      </c>
      <c r="B86" s="60" t="s">
        <v>114</v>
      </c>
      <c r="C86" s="26">
        <f>D85+1</f>
        <v>44195</v>
      </c>
      <c r="D86" s="26">
        <f>C86+28</f>
        <v>44223</v>
      </c>
    </row>
    <row r="87" spans="1:4" ht="22.25" customHeight="1" x14ac:dyDescent="0.2">
      <c r="A87" s="35" t="s">
        <v>89</v>
      </c>
      <c r="B87" s="60" t="s">
        <v>115</v>
      </c>
      <c r="C87" s="26">
        <f>WORKDAY(D86,5)</f>
        <v>44230</v>
      </c>
      <c r="D87" s="26">
        <f>WORKDAY(C87,13)</f>
        <v>44249</v>
      </c>
    </row>
    <row r="88" spans="1:4" ht="15" customHeight="1" x14ac:dyDescent="0.2">
      <c r="A88" s="35" t="s">
        <v>59</v>
      </c>
      <c r="B88" s="38" t="s">
        <v>116</v>
      </c>
      <c r="C88" s="26">
        <f>WORKDAY(D87,6)</f>
        <v>44257</v>
      </c>
      <c r="D88" s="26">
        <f>WORKDAY(C88,30)</f>
        <v>44299</v>
      </c>
    </row>
    <row r="89" spans="1:4" ht="18.75" customHeight="1" x14ac:dyDescent="0.2">
      <c r="A89" s="22"/>
      <c r="B89" s="40" t="s">
        <v>117</v>
      </c>
      <c r="C89" s="41">
        <f>MIN(C90:C110)</f>
        <v>43814</v>
      </c>
      <c r="D89" s="42">
        <f>MAX(D90:D110)</f>
        <v>44181</v>
      </c>
    </row>
    <row r="90" spans="1:4" x14ac:dyDescent="0.2">
      <c r="A90" s="61" t="s">
        <v>49</v>
      </c>
      <c r="B90" s="43" t="s">
        <v>118</v>
      </c>
      <c r="C90" s="10">
        <v>43814</v>
      </c>
      <c r="D90" s="10">
        <f>C90+28</f>
        <v>43842</v>
      </c>
    </row>
    <row r="91" spans="1:4" x14ac:dyDescent="0.2">
      <c r="A91" s="59" t="s">
        <v>119</v>
      </c>
      <c r="B91" s="44" t="s">
        <v>120</v>
      </c>
      <c r="C91" s="26">
        <v>43854</v>
      </c>
      <c r="D91" s="26">
        <f>WORKDAY(C91,5)</f>
        <v>43861</v>
      </c>
    </row>
    <row r="92" spans="1:4" x14ac:dyDescent="0.2">
      <c r="A92" s="61" t="s">
        <v>77</v>
      </c>
      <c r="B92" s="43" t="s">
        <v>78</v>
      </c>
      <c r="C92" s="10">
        <f>D91+3</f>
        <v>43864</v>
      </c>
      <c r="D92" s="10">
        <f>WORKDAY(C92,12)</f>
        <v>43880</v>
      </c>
    </row>
    <row r="93" spans="1:4" x14ac:dyDescent="0.2">
      <c r="A93" s="61" t="s">
        <v>23</v>
      </c>
      <c r="B93" s="43" t="s">
        <v>121</v>
      </c>
      <c r="C93" s="10">
        <f>D92+1</f>
        <v>43881</v>
      </c>
      <c r="D93" s="10">
        <f>WORKDAY(C93,8)</f>
        <v>43893</v>
      </c>
    </row>
    <row r="94" spans="1:4" x14ac:dyDescent="0.2">
      <c r="A94" s="61" t="s">
        <v>122</v>
      </c>
      <c r="B94" s="50" t="s">
        <v>123</v>
      </c>
      <c r="C94" s="10">
        <f>D93+1</f>
        <v>43894</v>
      </c>
      <c r="D94" s="11">
        <f>WORKDAY(C94, 5)</f>
        <v>43901</v>
      </c>
    </row>
    <row r="95" spans="1:4" x14ac:dyDescent="0.2">
      <c r="A95" s="45" t="s">
        <v>98</v>
      </c>
      <c r="B95" s="46" t="s">
        <v>124</v>
      </c>
      <c r="C95" s="10">
        <f>WORKDAY(D94,1)</f>
        <v>43902</v>
      </c>
      <c r="D95" s="10">
        <f>WORKDAY(C95,11)</f>
        <v>43917</v>
      </c>
    </row>
    <row r="96" spans="1:4" x14ac:dyDescent="0.2">
      <c r="A96" s="59" t="s">
        <v>89</v>
      </c>
      <c r="B96" s="60" t="s">
        <v>90</v>
      </c>
      <c r="C96" s="26">
        <f>WORKDAY(D95,1)</f>
        <v>43920</v>
      </c>
      <c r="D96" s="26">
        <f>WORKDAY(C96,4)</f>
        <v>43924</v>
      </c>
    </row>
    <row r="97" spans="1:4" x14ac:dyDescent="0.2">
      <c r="A97" s="59" t="s">
        <v>125</v>
      </c>
      <c r="B97" s="44" t="s">
        <v>126</v>
      </c>
      <c r="C97" s="26">
        <f>WORKDAY(D96,1)</f>
        <v>43927</v>
      </c>
      <c r="D97" s="26">
        <f>WORKDAY(C97,3)</f>
        <v>43930</v>
      </c>
    </row>
    <row r="98" spans="1:4" x14ac:dyDescent="0.2">
      <c r="A98" s="61" t="s">
        <v>59</v>
      </c>
      <c r="B98" s="44" t="s">
        <v>127</v>
      </c>
      <c r="C98" s="10">
        <f>WORKDAY(D97,2)</f>
        <v>43934</v>
      </c>
      <c r="D98" s="10">
        <f>WORKDAY(C98,2)</f>
        <v>43936</v>
      </c>
    </row>
    <row r="99" spans="1:4" x14ac:dyDescent="0.2">
      <c r="A99" s="61" t="s">
        <v>113</v>
      </c>
      <c r="B99" s="47" t="s">
        <v>128</v>
      </c>
      <c r="C99" s="10">
        <f>WORKDAY(D98,1)</f>
        <v>43937</v>
      </c>
      <c r="D99" s="10">
        <f>WORKDAY(C99,23)</f>
        <v>43970</v>
      </c>
    </row>
    <row r="100" spans="1:4" x14ac:dyDescent="0.2">
      <c r="A100" s="61" t="s">
        <v>65</v>
      </c>
      <c r="B100" s="50" t="s">
        <v>129</v>
      </c>
      <c r="C100" s="10">
        <f>D99+1</f>
        <v>43971</v>
      </c>
      <c r="D100" s="10">
        <f>WORKDAY(C100,11)</f>
        <v>43986</v>
      </c>
    </row>
    <row r="101" spans="1:4" x14ac:dyDescent="0.2">
      <c r="A101" s="59" t="s">
        <v>130</v>
      </c>
      <c r="B101" s="48" t="s">
        <v>131</v>
      </c>
      <c r="C101" s="10">
        <f>D100+1</f>
        <v>43987</v>
      </c>
      <c r="D101" s="49">
        <f>C101+19</f>
        <v>44006</v>
      </c>
    </row>
    <row r="102" spans="1:4" x14ac:dyDescent="0.2">
      <c r="A102" s="61" t="s">
        <v>23</v>
      </c>
      <c r="B102" s="44" t="s">
        <v>132</v>
      </c>
      <c r="C102" s="10">
        <f>D101+1</f>
        <v>44007</v>
      </c>
      <c r="D102" s="11">
        <f>C102+5</f>
        <v>44012</v>
      </c>
    </row>
    <row r="103" spans="1:4" x14ac:dyDescent="0.2">
      <c r="A103" s="61" t="s">
        <v>59</v>
      </c>
      <c r="B103" s="44" t="s">
        <v>133</v>
      </c>
      <c r="C103" s="10">
        <f>D102+1</f>
        <v>44013</v>
      </c>
      <c r="D103" s="11">
        <f>C103+3</f>
        <v>44016</v>
      </c>
    </row>
    <row r="104" spans="1:4" x14ac:dyDescent="0.2">
      <c r="A104" s="59" t="s">
        <v>92</v>
      </c>
      <c r="B104" s="44" t="s">
        <v>93</v>
      </c>
      <c r="C104" s="26">
        <f>WORKDAY(D103,1)</f>
        <v>44018</v>
      </c>
      <c r="D104" s="26">
        <f>WORKDAY(C104,0)</f>
        <v>44018</v>
      </c>
    </row>
    <row r="105" spans="1:4" x14ac:dyDescent="0.2">
      <c r="A105" s="61" t="s">
        <v>130</v>
      </c>
      <c r="B105" s="60" t="s">
        <v>134</v>
      </c>
      <c r="C105" s="26">
        <f>WORKDAY(D104,1)</f>
        <v>44019</v>
      </c>
      <c r="D105" s="26">
        <f>WORKDAY(C105,15)</f>
        <v>44040</v>
      </c>
    </row>
    <row r="106" spans="1:4" x14ac:dyDescent="0.2">
      <c r="A106" s="61" t="s">
        <v>130</v>
      </c>
      <c r="B106" s="50" t="s">
        <v>135</v>
      </c>
      <c r="C106" s="26">
        <f>WORKDAY(D105,1)</f>
        <v>44041</v>
      </c>
      <c r="D106" s="26">
        <f>WORKDAY(C106,13)</f>
        <v>44060</v>
      </c>
    </row>
    <row r="107" spans="1:4" x14ac:dyDescent="0.2">
      <c r="A107" s="61" t="s">
        <v>23</v>
      </c>
      <c r="B107" s="44" t="s">
        <v>136</v>
      </c>
      <c r="C107" s="26">
        <f>WORKDAY(D106,1)</f>
        <v>44061</v>
      </c>
      <c r="D107" s="26">
        <f>WORKDAY(C107,1)</f>
        <v>44062</v>
      </c>
    </row>
    <row r="108" spans="1:4" x14ac:dyDescent="0.2">
      <c r="A108" s="45" t="s">
        <v>137</v>
      </c>
      <c r="B108" s="51" t="s">
        <v>138</v>
      </c>
      <c r="C108" s="10">
        <f>D107+1</f>
        <v>44063</v>
      </c>
      <c r="D108" s="26">
        <f>WORKDAY(C108,50)</f>
        <v>44133</v>
      </c>
    </row>
    <row r="109" spans="1:4" x14ac:dyDescent="0.2">
      <c r="A109" s="61" t="s">
        <v>65</v>
      </c>
      <c r="B109" s="50" t="s">
        <v>129</v>
      </c>
      <c r="C109" s="10">
        <f>D108+1</f>
        <v>44134</v>
      </c>
      <c r="D109" s="11">
        <f>C109+14</f>
        <v>44148</v>
      </c>
    </row>
    <row r="110" spans="1:4" ht="16" customHeight="1" thickBot="1" x14ac:dyDescent="0.25">
      <c r="A110" s="61" t="s">
        <v>23</v>
      </c>
      <c r="B110" s="44" t="s">
        <v>139</v>
      </c>
      <c r="C110" s="52">
        <f>D109+30</f>
        <v>44178</v>
      </c>
      <c r="D110" s="53">
        <f>C110+3</f>
        <v>44181</v>
      </c>
    </row>
    <row r="111" spans="1:4" ht="20" customHeight="1" x14ac:dyDescent="0.2">
      <c r="A111" s="22"/>
      <c r="B111" s="54" t="s">
        <v>140</v>
      </c>
      <c r="C111" s="55">
        <f>MIN(C112:C126)</f>
        <v>44228</v>
      </c>
      <c r="D111" s="56">
        <f>MAX(D112:D126)</f>
        <v>44468</v>
      </c>
    </row>
    <row r="112" spans="1:4" x14ac:dyDescent="0.2">
      <c r="A112" s="61" t="s">
        <v>49</v>
      </c>
      <c r="B112" s="60" t="s">
        <v>49</v>
      </c>
      <c r="C112" s="26">
        <v>44228</v>
      </c>
      <c r="D112" s="57">
        <f>C112+9</f>
        <v>44237</v>
      </c>
    </row>
    <row r="113" spans="1:4" x14ac:dyDescent="0.2">
      <c r="A113" s="61" t="s">
        <v>119</v>
      </c>
      <c r="B113" s="44" t="s">
        <v>120</v>
      </c>
      <c r="C113" s="26">
        <v>44238</v>
      </c>
      <c r="D113" s="57">
        <f>C113+7</f>
        <v>44245</v>
      </c>
    </row>
    <row r="114" spans="1:4" x14ac:dyDescent="0.2">
      <c r="A114" s="61" t="s">
        <v>49</v>
      </c>
      <c r="B114" s="60" t="s">
        <v>49</v>
      </c>
      <c r="C114" s="26">
        <f>WORKDAY(D113,1)</f>
        <v>44246</v>
      </c>
      <c r="D114" s="57">
        <f>WORKDAY(C114,15)</f>
        <v>44267</v>
      </c>
    </row>
    <row r="115" spans="1:4" x14ac:dyDescent="0.2">
      <c r="A115" s="61" t="s">
        <v>72</v>
      </c>
      <c r="B115" s="60" t="s">
        <v>72</v>
      </c>
      <c r="C115" s="26">
        <f>D113+25</f>
        <v>44270</v>
      </c>
      <c r="D115" s="57">
        <f>C115+70</f>
        <v>44340</v>
      </c>
    </row>
    <row r="116" spans="1:4" x14ac:dyDescent="0.2">
      <c r="A116" s="61" t="s">
        <v>77</v>
      </c>
      <c r="B116" s="60" t="s">
        <v>78</v>
      </c>
      <c r="C116" s="26">
        <f>WORKDAY(D115,2)</f>
        <v>44342</v>
      </c>
      <c r="D116" s="57">
        <f>WORKDAY(C116,4)</f>
        <v>44348</v>
      </c>
    </row>
    <row r="117" spans="1:4" x14ac:dyDescent="0.2">
      <c r="A117" s="58" t="s">
        <v>23</v>
      </c>
      <c r="B117" s="60" t="s">
        <v>141</v>
      </c>
      <c r="C117" s="26">
        <f t="shared" ref="C117:C123" si="3">WORKDAY(D116,1)</f>
        <v>44349</v>
      </c>
      <c r="D117" s="57">
        <f>WORKDAY(C117,1)</f>
        <v>44350</v>
      </c>
    </row>
    <row r="118" spans="1:4" x14ac:dyDescent="0.2">
      <c r="A118" s="58" t="s">
        <v>83</v>
      </c>
      <c r="B118" s="60" t="s">
        <v>84</v>
      </c>
      <c r="C118" s="26">
        <f t="shared" si="3"/>
        <v>44351</v>
      </c>
      <c r="D118" s="57">
        <f>WORKDAY(C118,1)</f>
        <v>44354</v>
      </c>
    </row>
    <row r="119" spans="1:4" x14ac:dyDescent="0.2">
      <c r="A119" s="58" t="s">
        <v>59</v>
      </c>
      <c r="B119" s="60" t="s">
        <v>142</v>
      </c>
      <c r="C119" s="26">
        <f t="shared" si="3"/>
        <v>44355</v>
      </c>
      <c r="D119" s="57">
        <f>WORKDAY(C119,3)</f>
        <v>44358</v>
      </c>
    </row>
    <row r="120" spans="1:4" x14ac:dyDescent="0.2">
      <c r="A120" s="58" t="s">
        <v>143</v>
      </c>
      <c r="B120" s="60" t="s">
        <v>144</v>
      </c>
      <c r="C120" s="26">
        <f t="shared" si="3"/>
        <v>44361</v>
      </c>
      <c r="D120" s="57">
        <f>WORKDAY(C120,4)</f>
        <v>44365</v>
      </c>
    </row>
    <row r="121" spans="1:4" x14ac:dyDescent="0.2">
      <c r="A121" s="59" t="s">
        <v>68</v>
      </c>
      <c r="B121" s="60" t="s">
        <v>145</v>
      </c>
      <c r="C121" s="26">
        <f t="shared" si="3"/>
        <v>44368</v>
      </c>
      <c r="D121" s="57">
        <f>WORKDAY(C121,32)</f>
        <v>44412</v>
      </c>
    </row>
    <row r="122" spans="1:4" x14ac:dyDescent="0.2">
      <c r="A122" s="58" t="s">
        <v>80</v>
      </c>
      <c r="B122" s="60" t="s">
        <v>146</v>
      </c>
      <c r="C122" s="26">
        <f t="shared" si="3"/>
        <v>44413</v>
      </c>
      <c r="D122" s="57">
        <f>WORKDAY(C122,1)</f>
        <v>44414</v>
      </c>
    </row>
    <row r="123" spans="1:4" x14ac:dyDescent="0.2">
      <c r="A123" s="58" t="s">
        <v>130</v>
      </c>
      <c r="B123" s="67" t="s">
        <v>147</v>
      </c>
      <c r="C123" s="26">
        <f t="shared" si="3"/>
        <v>44417</v>
      </c>
      <c r="D123" s="11">
        <f>C123+6</f>
        <v>44423</v>
      </c>
    </row>
    <row r="124" spans="1:4" x14ac:dyDescent="0.2">
      <c r="A124" s="61" t="s">
        <v>143</v>
      </c>
      <c r="B124" s="67" t="s">
        <v>148</v>
      </c>
      <c r="C124" s="10">
        <f>D123+1</f>
        <v>44424</v>
      </c>
      <c r="D124" s="11">
        <f>C124+14</f>
        <v>44438</v>
      </c>
    </row>
    <row r="125" spans="1:4" x14ac:dyDescent="0.2">
      <c r="A125" s="61" t="s">
        <v>122</v>
      </c>
      <c r="B125" s="67" t="s">
        <v>149</v>
      </c>
      <c r="C125" s="10">
        <f>D124+1</f>
        <v>44439</v>
      </c>
      <c r="D125" s="11">
        <f>C125+14</f>
        <v>44453</v>
      </c>
    </row>
    <row r="126" spans="1:4" x14ac:dyDescent="0.2">
      <c r="A126" s="59" t="s">
        <v>59</v>
      </c>
      <c r="B126" s="44" t="s">
        <v>150</v>
      </c>
      <c r="C126" s="26">
        <f>D125+1</f>
        <v>44454</v>
      </c>
      <c r="D126" s="57">
        <f>C126+14</f>
        <v>44468</v>
      </c>
    </row>
    <row r="127" spans="1:4" ht="20" customHeight="1" x14ac:dyDescent="0.2">
      <c r="A127" s="22"/>
      <c r="B127" s="62" t="s">
        <v>151</v>
      </c>
      <c r="C127" s="63">
        <f>MIN(C128:C147)</f>
        <v>44228</v>
      </c>
      <c r="D127" s="64">
        <f>MAX(D128:D147)</f>
        <v>44589</v>
      </c>
    </row>
    <row r="128" spans="1:4" x14ac:dyDescent="0.2">
      <c r="A128" s="61" t="s">
        <v>49</v>
      </c>
      <c r="B128" s="50" t="s">
        <v>49</v>
      </c>
      <c r="C128" s="26">
        <v>44228</v>
      </c>
      <c r="D128" s="57">
        <f>C128+9</f>
        <v>44237</v>
      </c>
    </row>
    <row r="129" spans="1:4" x14ac:dyDescent="0.2">
      <c r="A129" s="61" t="s">
        <v>77</v>
      </c>
      <c r="B129" s="44" t="s">
        <v>120</v>
      </c>
      <c r="C129" s="26">
        <v>44238</v>
      </c>
      <c r="D129" s="57">
        <f>C129+7</f>
        <v>44245</v>
      </c>
    </row>
    <row r="130" spans="1:4" x14ac:dyDescent="0.2">
      <c r="A130" s="61" t="s">
        <v>72</v>
      </c>
      <c r="B130" s="50" t="s">
        <v>78</v>
      </c>
      <c r="C130" s="26">
        <f>WORKDAY(D129,2)</f>
        <v>44249</v>
      </c>
      <c r="D130" s="57">
        <f>WORKDAY(C130,12)</f>
        <v>44265</v>
      </c>
    </row>
    <row r="131" spans="1:4" x14ac:dyDescent="0.2">
      <c r="A131" s="59" t="s">
        <v>92</v>
      </c>
      <c r="B131" s="44" t="s">
        <v>93</v>
      </c>
      <c r="C131" s="26">
        <f>WORKDAY(D130,1)</f>
        <v>44266</v>
      </c>
      <c r="D131" s="26">
        <f>WORKDAY(C131,0)</f>
        <v>44266</v>
      </c>
    </row>
    <row r="132" spans="1:4" x14ac:dyDescent="0.2">
      <c r="A132" s="61" t="s">
        <v>23</v>
      </c>
      <c r="B132" s="50" t="s">
        <v>152</v>
      </c>
      <c r="C132" s="10">
        <f>D131+1</f>
        <v>44267</v>
      </c>
      <c r="D132" s="26">
        <f>WORKDAY(C132,7)</f>
        <v>44278</v>
      </c>
    </row>
    <row r="133" spans="1:4" x14ac:dyDescent="0.2">
      <c r="A133" s="65" t="s">
        <v>130</v>
      </c>
      <c r="B133" s="66" t="s">
        <v>153</v>
      </c>
      <c r="C133" s="26">
        <f>WORKDAY(D132,1)</f>
        <v>44279</v>
      </c>
      <c r="D133" s="57">
        <f>WORKDAY(C133,25)</f>
        <v>44314</v>
      </c>
    </row>
    <row r="134" spans="1:4" x14ac:dyDescent="0.2">
      <c r="A134" s="65" t="s">
        <v>130</v>
      </c>
      <c r="B134" s="66" t="s">
        <v>154</v>
      </c>
      <c r="C134" s="26">
        <f>WORKDAY(D133,1)</f>
        <v>44315</v>
      </c>
      <c r="D134" s="57">
        <f>WORKDAY(C134,9)</f>
        <v>44328</v>
      </c>
    </row>
    <row r="135" spans="1:4" x14ac:dyDescent="0.2">
      <c r="A135" s="61" t="s">
        <v>80</v>
      </c>
      <c r="B135" s="50" t="s">
        <v>155</v>
      </c>
      <c r="C135" s="10">
        <f>D134+1</f>
        <v>44329</v>
      </c>
      <c r="D135" s="57">
        <f>WORKDAY(C135,3)</f>
        <v>44334</v>
      </c>
    </row>
    <row r="136" spans="1:4" x14ac:dyDescent="0.2">
      <c r="A136" s="61" t="s">
        <v>130</v>
      </c>
      <c r="B136" s="50" t="s">
        <v>156</v>
      </c>
      <c r="C136" s="26">
        <f>WORKDAY(D135,1)</f>
        <v>44335</v>
      </c>
      <c r="D136" s="57">
        <f>WORKDAY(C136,15)</f>
        <v>44356</v>
      </c>
    </row>
    <row r="137" spans="1:4" x14ac:dyDescent="0.2">
      <c r="A137" s="61" t="s">
        <v>130</v>
      </c>
      <c r="B137" s="50" t="s">
        <v>157</v>
      </c>
      <c r="C137" s="26">
        <f>WORKDAY(D136,1)</f>
        <v>44357</v>
      </c>
      <c r="D137" s="57">
        <f>WORKDAY(C137,13)</f>
        <v>44376</v>
      </c>
    </row>
    <row r="138" spans="1:4" x14ac:dyDescent="0.2">
      <c r="A138" s="65" t="s">
        <v>130</v>
      </c>
      <c r="B138" s="66" t="s">
        <v>43</v>
      </c>
      <c r="C138" s="26">
        <f>WORKDAY(D137,1)</f>
        <v>44377</v>
      </c>
      <c r="D138" s="57">
        <f>WORKDAY(C138,6)</f>
        <v>44385</v>
      </c>
    </row>
    <row r="139" spans="1:4" x14ac:dyDescent="0.2">
      <c r="A139" s="61" t="s">
        <v>143</v>
      </c>
      <c r="B139" s="67" t="s">
        <v>158</v>
      </c>
      <c r="C139" s="26">
        <f>WORKDAY(D138,1)</f>
        <v>44386</v>
      </c>
      <c r="D139" s="11">
        <f>C139+32</f>
        <v>44418</v>
      </c>
    </row>
    <row r="140" spans="1:4" s="69" customFormat="1" ht="18" customHeight="1" x14ac:dyDescent="0.2">
      <c r="A140" s="68" t="s">
        <v>159</v>
      </c>
      <c r="B140" s="60" t="s">
        <v>160</v>
      </c>
      <c r="C140" s="26">
        <f>D139+1</f>
        <v>44419</v>
      </c>
      <c r="D140" s="57">
        <f>C140+15</f>
        <v>44434</v>
      </c>
    </row>
    <row r="141" spans="1:4" s="69" customFormat="1" x14ac:dyDescent="0.2">
      <c r="A141" s="68" t="s">
        <v>122</v>
      </c>
      <c r="B141" s="60" t="s">
        <v>161</v>
      </c>
      <c r="C141" s="26">
        <f>D140+1</f>
        <v>44435</v>
      </c>
      <c r="D141" s="57">
        <f>C141+32</f>
        <v>44467</v>
      </c>
    </row>
    <row r="142" spans="1:4" s="69" customFormat="1" x14ac:dyDescent="0.2">
      <c r="A142" s="68" t="s">
        <v>119</v>
      </c>
      <c r="B142" s="60" t="s">
        <v>162</v>
      </c>
      <c r="C142" s="26">
        <v>44470</v>
      </c>
      <c r="D142" s="57">
        <f>C142+8</f>
        <v>44478</v>
      </c>
    </row>
    <row r="143" spans="1:4" s="69" customFormat="1" ht="18" customHeight="1" x14ac:dyDescent="0.2">
      <c r="A143" s="68" t="s">
        <v>159</v>
      </c>
      <c r="B143" s="60" t="s">
        <v>160</v>
      </c>
      <c r="C143" s="26">
        <f>D142+1</f>
        <v>44479</v>
      </c>
      <c r="D143" s="57">
        <f>C143+15</f>
        <v>44494</v>
      </c>
    </row>
    <row r="144" spans="1:4" s="69" customFormat="1" x14ac:dyDescent="0.2">
      <c r="A144" s="68" t="s">
        <v>163</v>
      </c>
      <c r="B144" s="60" t="s">
        <v>164</v>
      </c>
      <c r="C144" s="26">
        <f>D143+1</f>
        <v>44495</v>
      </c>
      <c r="D144" s="57">
        <f>C144+32</f>
        <v>44527</v>
      </c>
    </row>
    <row r="145" spans="1:4" s="69" customFormat="1" x14ac:dyDescent="0.2">
      <c r="A145" s="68" t="s">
        <v>159</v>
      </c>
      <c r="B145" s="60" t="s">
        <v>160</v>
      </c>
      <c r="C145" s="26">
        <f>D144+1</f>
        <v>44528</v>
      </c>
      <c r="D145" s="57">
        <f>C145+15</f>
        <v>44543</v>
      </c>
    </row>
    <row r="146" spans="1:4" s="69" customFormat="1" ht="19.25" customHeight="1" x14ac:dyDescent="0.2">
      <c r="A146" s="68" t="s">
        <v>165</v>
      </c>
      <c r="B146" s="60" t="s">
        <v>166</v>
      </c>
      <c r="C146" s="26">
        <f>WORKDAY(D145,1)</f>
        <v>44544</v>
      </c>
      <c r="D146" s="57">
        <f>C146+32</f>
        <v>44576</v>
      </c>
    </row>
    <row r="147" spans="1:4" s="69" customFormat="1" x14ac:dyDescent="0.2">
      <c r="A147" s="68" t="s">
        <v>159</v>
      </c>
      <c r="B147" s="60" t="s">
        <v>160</v>
      </c>
      <c r="C147" s="26">
        <f>D146+1</f>
        <v>44577</v>
      </c>
      <c r="D147" s="57">
        <f>C147+12</f>
        <v>44589</v>
      </c>
    </row>
  </sheetData>
  <pageMargins left="0.7" right="0.7" top="0.75" bottom="0.75" header="0.3" footer="0.3"/>
  <pageSetup orientation="portrait"/>
  <headerFooter>
    <oddFooter>&amp;L&amp;"Calibri"&amp;10 &amp;K737373#Caterpillar: Confidential Green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Viresh B Shah</dc:creator>
  <cp:lastModifiedBy>Microsoft Office User</cp:lastModifiedBy>
  <dcterms:created xsi:type="dcterms:W3CDTF">2020-01-07T15:36:17Z</dcterms:created>
  <dcterms:modified xsi:type="dcterms:W3CDTF">2020-03-30T06:27:55Z</dcterms:modified>
</cp:coreProperties>
</file>